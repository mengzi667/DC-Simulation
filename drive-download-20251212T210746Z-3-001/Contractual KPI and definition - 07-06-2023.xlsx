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1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NV-3PO\SC Logistics\DSV\DSV contract\2020 SLA review\"/>
    </mc:Choice>
  </mc:AlternateContent>
  <xr:revisionPtr revIDLastSave="0" documentId="13_ncr:1_{0A46FABA-DE14-424F-AD21-BC70176444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 Nutricia" sheetId="1" r:id="rId1"/>
    <sheet name="Overig" sheetId="4" r:id="rId2"/>
  </sheets>
  <externalReferences>
    <externalReference r:id="rId3"/>
    <externalReference r:id="rId4"/>
  </externalReferences>
  <definedNames>
    <definedName name="Beoordelingsmatrix">[1]Beoordelingsmatrix!$A$1</definedName>
    <definedName name="Bezettingoce" localSheetId="0">'Report Nutricia'!#REF!</definedName>
    <definedName name="Bezettingoce">'[1]Traffic Light Reports'!$A$1353:$S$1413</definedName>
    <definedName name="Bezettingshell" localSheetId="0">'Report Nutricia'!#REF!</definedName>
    <definedName name="Bezettingshell">'[1]Traffic Light Reports'!$A$2268:$S$2328</definedName>
    <definedName name="DDS1_ChartData">#REF!</definedName>
    <definedName name="DDS1_ChartLabels">#REF!</definedName>
    <definedName name="DDS2_ChartData">#REF!</definedName>
    <definedName name="DDS2_ChartLabels">#REF!</definedName>
    <definedName name="Debiteurendagen" localSheetId="0">'Report Nutricia'!#REF!</definedName>
    <definedName name="Debiteurendagen">'[1]Traffic Light Reports'!$A$2573:$S$2633</definedName>
    <definedName name="Energieverbruik" localSheetId="0">'Report Nutricia'!#REF!</definedName>
    <definedName name="Energieverbruik">'[1]Traffic Light Reports'!$A$3061:$S$3121</definedName>
    <definedName name="Extern1">'[1]Rapportage Océ'!$A$63:$S$123</definedName>
    <definedName name="Extern10">'[1]Rapportage Océ'!$A$612:$S$672</definedName>
    <definedName name="Extern11">'[1]Rapportage Océ'!$A$673:$S$733</definedName>
    <definedName name="Extern12">'[1]Rapportage Océ'!$A$734:$S$794</definedName>
    <definedName name="Extern13">'[1]Rapportage Océ'!$A$795:$S$855</definedName>
    <definedName name="Extern14">'[1]Rapportage Océ'!$A$856:$S$916</definedName>
    <definedName name="Extern15">'[1]Rapportage Océ'!$A$917:$S$977</definedName>
    <definedName name="Extern16">'[1]Rapportage Océ'!$A$978:$S$1038</definedName>
    <definedName name="Extern17">'[1]Rapportage Océ'!$A$1039:$S$1099</definedName>
    <definedName name="Extern2">'[1]Rapportage Océ'!$A$124:$S$184</definedName>
    <definedName name="Extern3">'[1]Rapportage Océ'!$A$185:$S$245</definedName>
    <definedName name="Extern4">'[1]Rapportage Océ'!$A$246:$S$306</definedName>
    <definedName name="Extern5">'[1]Rapportage Océ'!$A$307:$S$367</definedName>
    <definedName name="Extern6">'[1]Rapportage Océ'!$A$368:$S$428</definedName>
    <definedName name="Extern7">'[1]Rapportage Océ'!$A$429:$S$489</definedName>
    <definedName name="Extern8">'[1]Rapportage Océ'!$A$490:$S$550</definedName>
    <definedName name="Extern9">'[1]Rapportage Océ'!$A$551:$S$611</definedName>
    <definedName name="Finance" localSheetId="0">'Report Nutricia'!#REF!</definedName>
    <definedName name="Finance">'[1]Traffic Light Reports'!$A$131</definedName>
    <definedName name="GetFileName">[2]Indexen!$I$3</definedName>
    <definedName name="HSE" localSheetId="0">'Report Nutricia'!#REF!</definedName>
    <definedName name="HSE">'[1]Traffic Light Reports'!$A$193</definedName>
    <definedName name="Inhoudintern">[1]Inhoudsopgave!$A$1</definedName>
    <definedName name="Inhoudocé">'[1]Inhoudsopgave Rapportage Océ'!$A$1</definedName>
    <definedName name="Inhoudshell">'[1]Inhoudsopgave Rapportage Shell'!$A$1</definedName>
    <definedName name="inslagdoorloopoce" localSheetId="0">'Report Nutricia'!#REF!</definedName>
    <definedName name="inslagdoorloopoce">'[1]Traffic Light Reports'!$A$255:$S$315</definedName>
    <definedName name="Inslagdoorloopshell" localSheetId="0">'Report Nutricia'!#REF!</definedName>
    <definedName name="Inslagdoorloopshell">'[1]Traffic Light Reports'!$A$1902:$S$1962</definedName>
    <definedName name="Intern" localSheetId="0">'Report Nutricia'!#REF!</definedName>
    <definedName name="Intern">'[1]Traffic Light Reports'!$A$1</definedName>
    <definedName name="Jaartallen">[2]Indexen!$B$3:$B$8</definedName>
    <definedName name="Klachtenoce" localSheetId="0">'Report Nutricia'!#REF!</definedName>
    <definedName name="Klachtenoce">'[1]Traffic Light Reports'!$A$926:$S$986</definedName>
    <definedName name="Klachtenshell" localSheetId="0">'Report Nutricia'!#REF!</definedName>
    <definedName name="Klachtenshell">'[1]Traffic Light Reports'!$A$2085:$S$2145</definedName>
    <definedName name="lijnstopsoce" localSheetId="0">'Report Nutricia'!#REF!</definedName>
    <definedName name="lijnstopsoce">'[1]Traffic Light Reports'!$A$499:$S$559</definedName>
    <definedName name="Océ" localSheetId="0">'Report Nutricia'!#REF!</definedName>
    <definedName name="Océ">'[1]Traffic Light Reports'!$A$7</definedName>
    <definedName name="OKFTotals">#REF!</definedName>
    <definedName name="Ompakminutenoce" localSheetId="0">'Report Nutricia'!#REF!</definedName>
    <definedName name="Ompakminutenoce">'[1]Traffic Light Reports'!$A$987:$S$1047</definedName>
    <definedName name="Omzet" localSheetId="0">'Report Nutricia'!#REF!</definedName>
    <definedName name="Omzet">'[1]Traffic Light Reports'!$A$2451:$S$2511</definedName>
    <definedName name="Operationeelresultaat" localSheetId="0">'Report Nutricia'!#REF!</definedName>
    <definedName name="Operationeelresultaat">'[1]Traffic Light Reports'!$A$2390:$S$2450</definedName>
    <definedName name="Overhead" localSheetId="0">'Report Nutricia'!#REF!</definedName>
    <definedName name="Overhead">'[1]Traffic Light Reports'!$A$2634:$S$2694</definedName>
    <definedName name="Overwerk" localSheetId="0">'Report Nutricia'!#REF!</definedName>
    <definedName name="Overwerk">'[1]Traffic Light Reports'!$A$2878:$S$2938</definedName>
    <definedName name="Pendelp15" localSheetId="0">'Report Nutricia'!#REF!</definedName>
    <definedName name="Pendelp15">'[1]Traffic Light Reports'!$A$1475:$S$1535</definedName>
    <definedName name="pendelp2325" localSheetId="0">'Report Nutricia'!#REF!</definedName>
    <definedName name="pendelp2325">'[1]Traffic Light Reports'!$A$1658:$S$1718</definedName>
    <definedName name="Pendelp2oce" localSheetId="0">'Report Nutricia'!#REF!</definedName>
    <definedName name="Pendelp2oce">'[1]Traffic Light Reports'!$A$1414:$S$1474</definedName>
    <definedName name="Pendelp37" localSheetId="0">'Report Nutricia'!#REF!</definedName>
    <definedName name="Pendelp37">'[1]Traffic Light Reports'!$A$1536:$S$1596</definedName>
    <definedName name="Pendelp6" localSheetId="0">'Report Nutricia'!#REF!</definedName>
    <definedName name="Pendelp6">'[1]Traffic Light Reports'!$A$1597:$S$1657</definedName>
    <definedName name="Personeelskosten" localSheetId="0">'Report Nutricia'!#REF!</definedName>
    <definedName name="Personeelskosten">'[1]Traffic Light Reports'!$A$2695:$S$2755</definedName>
    <definedName name="Pickabilityoce" localSheetId="0">'Report Nutricia'!#REF!</definedName>
    <definedName name="Pickabilityoce">'[1]Traffic Light Reports'!$A$316:$S$376</definedName>
    <definedName name="Productp15oce" localSheetId="0">'Report Nutricia'!#REF!</definedName>
    <definedName name="Productp15oce">'[1]Traffic Light Reports'!$A$1231:$S$1291</definedName>
    <definedName name="Productp2oce" localSheetId="0">'Report Nutricia'!#REF!</definedName>
    <definedName name="Productp2oce">'[1]Traffic Light Reports'!$A$1170:$S$1230</definedName>
    <definedName name="Productp37oce" localSheetId="0">'Report Nutricia'!#REF!</definedName>
    <definedName name="Productp37oce">'[1]Traffic Light Reports'!$A$1292:$S$1352</definedName>
    <definedName name="Productp60oce" localSheetId="0">'Report Nutricia'!#REF!</definedName>
    <definedName name="Productp60oce">'[1]Traffic Light Reports'!$A$1109:$S$1169</definedName>
    <definedName name="Productshell" localSheetId="0">'Report Nutricia'!#REF!</definedName>
    <definedName name="Productshell">'[1]Traffic Light Reports'!$A$2207:$S$2267</definedName>
    <definedName name="Rapportageextern">'[1]Rapportage Océ'!$A$1</definedName>
    <definedName name="Rapportageshellextern">'[1]Rapportage Shell'!$A$1</definedName>
    <definedName name="ReportWeek">[2]Totaalrapport!$V$3</definedName>
    <definedName name="Resultaat" localSheetId="0">'Report Nutricia'!#REF!</definedName>
    <definedName name="Resultaat">'[1]Traffic Light Reports'!$A$2512:$S$2572</definedName>
    <definedName name="Schadesoce" localSheetId="0">'Report Nutricia'!#REF!</definedName>
    <definedName name="Schadesoce">'[1]Traffic Light Reports'!$A$438:$S$498</definedName>
    <definedName name="Schadestotaal" localSheetId="0">'Report Nutricia'!#REF!</definedName>
    <definedName name="Schadestotaal">'[1]Traffic Light Reports'!$A$3000:$S$3060</definedName>
    <definedName name="Schakelbord">[1]Schakelbord!$A$1</definedName>
    <definedName name="Shell" localSheetId="0">'Report Nutricia'!#REF!</definedName>
    <definedName name="Shell">'[1]Traffic Light Reports'!$A$69</definedName>
    <definedName name="Test">'[1]Rapportage Océ'!$B$10</definedName>
    <definedName name="TijdigheidALBoce" localSheetId="0">'Report Nutricia'!#REF!</definedName>
    <definedName name="TijdigheidALBoce">'[1]Traffic Light Reports'!$A$560:$S$620</definedName>
    <definedName name="Tijdigheidoverigoce" localSheetId="0">'Report Nutricia'!#REF!</definedName>
    <definedName name="Tijdigheidoverigoce">'[1]Traffic Light Reports'!$A$865:$S$925</definedName>
    <definedName name="Tijdigheidp15oce" localSheetId="0">'Report Nutricia'!#REF!</definedName>
    <definedName name="Tijdigheidp15oce">'[1]Traffic Light Reports'!$A$743:$S$803</definedName>
    <definedName name="Tijdigheidp2oce" localSheetId="0">'Report Nutricia'!#REF!</definedName>
    <definedName name="Tijdigheidp2oce">'[1]Traffic Light Reports'!$A$682:$S$742</definedName>
    <definedName name="Tijdigheidp37oce" localSheetId="0">'Report Nutricia'!#REF!</definedName>
    <definedName name="Tijdigheidp37oce">'[1]Traffic Light Reports'!$A$804:$S$864</definedName>
    <definedName name="Tijdigheidshell" localSheetId="0">'Report Nutricia'!#REF!</definedName>
    <definedName name="Tijdigheidshell">'[1]Traffic Light Reports'!$A$2024:$S$2084</definedName>
    <definedName name="Tijdigheidspoedoce" localSheetId="0">'Report Nutricia'!#REF!</definedName>
    <definedName name="Tijdigheidspoedoce">'[1]Traffic Light Reports'!$A$621:$S$681</definedName>
    <definedName name="TLRextern">'[1]Rapportage Océ'!$A$1:$S$62</definedName>
    <definedName name="Uitzendkrachten" localSheetId="0">'Report Nutricia'!#REF!</definedName>
    <definedName name="Uitzendkrachten">'[1]Traffic Light Reports'!$A$2756:$S$2816</definedName>
    <definedName name="Verloop" localSheetId="0">'Report Nutricia'!#REF!</definedName>
    <definedName name="Verloop">'[1]Traffic Light Reports'!$A$2939:$S$2999</definedName>
    <definedName name="Volumesinuitoce" localSheetId="0">'Report Nutricia'!#REF!</definedName>
    <definedName name="Volumesinuitoce">'[1]Traffic Light Reports'!$A$1048:$S$1108</definedName>
    <definedName name="Volumesinuitshell" localSheetId="0">'Report Nutricia'!#REF!</definedName>
    <definedName name="Volumesinuitshell">'[1]Traffic Light Reports'!$A$2146:$S$2206</definedName>
    <definedName name="Voorkant">'[1]Voorkant rapportage'!$A$1</definedName>
    <definedName name="Voorraadbetrouwbaarheidoce" localSheetId="0">'Report Nutricia'!#REF!</definedName>
    <definedName name="Voorraadbetrouwbaarheidoce">'[1]Traffic Light Reports'!$A$377:$S$437</definedName>
    <definedName name="Voorraadbetrouwbaarheidshell" localSheetId="0">'Report Nutricia'!#REF!</definedName>
    <definedName name="Voorraadbetrouwbaarheidshell">'[1]Traffic Light Reports'!$A$1963:$S$2023</definedName>
    <definedName name="WFPS_ChartData">[2]STOKKE!#REF!</definedName>
    <definedName name="WFPS_ChartLabels">[2]STOKKE!#REF!</definedName>
    <definedName name="Ziekteverzuim" localSheetId="0">'Report Nutricia'!#REF!</definedName>
    <definedName name="Ziekteverzuim">'[1]Traffic Light Reports'!$A$2817:$S$2877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3" i="1" l="1"/>
  <c r="W23" i="1"/>
  <c r="R23" i="1"/>
  <c r="U23" i="1" s="1"/>
  <c r="P23" i="1"/>
  <c r="Q23" i="1"/>
  <c r="T23" i="1"/>
  <c r="V23" i="1" s="1"/>
  <c r="S23" i="1"/>
  <c r="A10" i="4" l="1"/>
  <c r="A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Harg van der, Judith</author>
  </authors>
  <commentList>
    <comment ref="N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Harg van der, Judith:</t>
        </r>
        <r>
          <rPr>
            <sz val="9"/>
            <color indexed="81"/>
            <rFont val="Tahoma"/>
            <family val="2"/>
          </rPr>
          <t xml:space="preserve">
It's not about the extra notes, its about the damages. Also why link it to number of TU shipped, doesn't always happen linked to orders to be shipped. 
</t>
        </r>
      </text>
    </comment>
  </commentList>
</comments>
</file>

<file path=xl/sharedStrings.xml><?xml version="1.0" encoding="utf-8"?>
<sst xmlns="http://schemas.openxmlformats.org/spreadsheetml/2006/main" count="137" uniqueCount="108">
  <si>
    <t>Nutricia</t>
  </si>
  <si>
    <t>Min.</t>
  </si>
  <si>
    <t>Target</t>
  </si>
  <si>
    <t>Frequency</t>
  </si>
  <si>
    <t>Definition (English)</t>
  </si>
  <si>
    <t>Calculation</t>
  </si>
  <si>
    <t>Total Performance Indicator</t>
  </si>
  <si>
    <t>1</t>
  </si>
  <si>
    <t>Inbound availability</t>
  </si>
  <si>
    <t>stock in on time: within 24h</t>
  </si>
  <si>
    <t>H12</t>
  </si>
  <si>
    <t>I12</t>
  </si>
  <si>
    <t>Monthly</t>
  </si>
  <si>
    <t>Ratio of goods in within required timeframe: in the 24 hrs</t>
  </si>
  <si>
    <t>Total# SSCC from dock to stock and recorded in system to be available within 24hours / Total# SSCC received in the week) x 100%  including both free stock( NUU) and quarantine stock (YUQ)</t>
  </si>
  <si>
    <t>Issue to be resolved: within 72h</t>
  </si>
  <si>
    <t>Ratio of goods in within required timeframe: 72 hours after inbound issue is resolved. Timer starts after Danone provide solution in Recap tool.</t>
  </si>
  <si>
    <t># received SSCCs with errors having putaway &lt;72h / # received SSCCs with errors x 100%</t>
  </si>
  <si>
    <t>Inbound unloading in time: within 1hrs after arrival</t>
  </si>
  <si>
    <t>Ratio of inbound truck unloading within required time frame: 1 hour 
( special LZW trucks has 2x hours time slots in Transwide, therefore, count as 2x trucks )</t>
  </si>
  <si>
    <t>Total unloaded trucks within 1 hour / total registered truck arrived on time x 100%</t>
  </si>
  <si>
    <t>2</t>
  </si>
  <si>
    <t>Outbound performance</t>
  </si>
  <si>
    <t>2,1 Outbound performance  Unit of reporting should be on TU level. ROW and G3 countries ( Germany, Netherlands, Belgium ) should be presented separately.</t>
  </si>
  <si>
    <t>2.1</t>
  </si>
  <si>
    <t>On time In full Performance</t>
  </si>
  <si>
    <t>Number of TUs which are shipped with correct quantity on the right date and right time. Orders missed due to deviations from carrier or Nutricia are excluded.</t>
  </si>
  <si>
    <t>total cases shipped on time in full / total cases ordered x 100%</t>
  </si>
  <si>
    <t>Example of KPI dashboard calculation (dashboard should have option to filter on destination country or Supply point)</t>
  </si>
  <si>
    <t>Note:</t>
  </si>
  <si>
    <t>2.1 needs to be presented as total and separately for ROW and G3 countries ( Germany, Netherlands, Belgium )</t>
  </si>
  <si>
    <t>Danone ordered 1000TR in original order</t>
  </si>
  <si>
    <t>300 TR OOS</t>
  </si>
  <si>
    <t>2TR missed due to DSV picking error</t>
  </si>
  <si>
    <t>100TR didn't ship due to truck no show</t>
  </si>
  <si>
    <t>1TR missed due to DSV loading issue</t>
  </si>
  <si>
    <t>DSV not in FULL</t>
  </si>
  <si>
    <t>DSV not on Time</t>
  </si>
  <si>
    <t>DSV OTIF</t>
  </si>
  <si>
    <t>Danone OTIF</t>
  </si>
  <si>
    <t>2.2</t>
  </si>
  <si>
    <t>Warehouse operation accuracy</t>
  </si>
  <si>
    <t>2.2a</t>
  </si>
  <si>
    <t>warehouse operation accuracy - ROW</t>
  </si>
  <si>
    <t>Number of orders shipped to ROW without accepted complaints ( including order volume, Pick and pack instruction &amp; documentation ) versus total number of shipped orders</t>
  </si>
  <si>
    <t>Total number of orders containing no errors / total orders shipped in the month x 100%</t>
  </si>
  <si>
    <t>2.2b</t>
  </si>
  <si>
    <t>warehouse operation accuracy - per G3 country ( Germany, Netherlands, Belgium)</t>
  </si>
  <si>
    <t>H15</t>
  </si>
  <si>
    <t>I15</t>
  </si>
  <si>
    <t>Number of orders shipped to G3 without accepted complaints ( including order volume, Pick and pack instruction &amp; documentation ) versus total number of shipped orders</t>
  </si>
  <si>
    <t>2.2b needs to be presented as total and per G3 country ( Germany, Netherlands, Belgium )</t>
  </si>
  <si>
    <t>3</t>
  </si>
  <si>
    <t>Inventory</t>
  </si>
  <si>
    <t>3.1</t>
  </si>
  <si>
    <t>Cycle count results storage locations; 4 times per year</t>
  </si>
  <si>
    <t>I17</t>
  </si>
  <si>
    <t>Quarterly</t>
  </si>
  <si>
    <t>Number of stock corrections versus total stock-id's</t>
  </si>
  <si>
    <t>Absolute Stock differences in cases  (Minus &amp; Plus added in absolute value) / Total expected number in cases of stock checks x 100%</t>
  </si>
  <si>
    <t>3.1a</t>
  </si>
  <si>
    <t>Cycle count results pickface locations, monthly</t>
  </si>
  <si>
    <t>3.2</t>
  </si>
  <si>
    <t>Damages in Warehouse</t>
  </si>
  <si>
    <t>H14</t>
  </si>
  <si>
    <t>I14</t>
  </si>
  <si>
    <t>Number of TU's damaged in warehouse, caused by DSV</t>
  </si>
  <si>
    <t xml:space="preserve">Total cases damaged per month / Total cases inbound + shipped per month) x 100% </t>
  </si>
  <si>
    <t>4</t>
  </si>
  <si>
    <t>Other</t>
  </si>
  <si>
    <t>4.1</t>
  </si>
  <si>
    <t xml:space="preserve">VAL ( only V2S) </t>
  </si>
  <si>
    <t>H17</t>
  </si>
  <si>
    <t>number of complaints in cases due to V2S activity error by DSV.</t>
  </si>
  <si>
    <t>Total # accepted V2S complaints in cases / total V2S cases shipped out of the month x 100%</t>
  </si>
  <si>
    <t>4.2</t>
  </si>
  <si>
    <t>VAL (only V2P)</t>
  </si>
  <si>
    <t>number of complaints in cases due to V2P activity error by DSV.</t>
  </si>
  <si>
    <t>Total # accepted V2P complaints in cases / total V2P cases shipped out of the month x 100%</t>
  </si>
  <si>
    <t>4.2a</t>
  </si>
  <si>
    <t>VAL ((Spain Blue Stickering)</t>
  </si>
  <si>
    <t>number of complaints in cases due to Spain blue Stickering activity error by DSV.</t>
  </si>
  <si>
    <t>Total # accepted Spain blue stickering complaints in cases / total Spain blue stickering cases shipped out of the month x 100%</t>
  </si>
  <si>
    <t>4.3</t>
  </si>
  <si>
    <t>VAL - US striping</t>
  </si>
  <si>
    <t>number of complaints in cases due to US striping activity error by DSV.</t>
  </si>
  <si>
    <t>Total # accepted stripping complaints in cases / total shipped out stripped cases of the month x 100%</t>
  </si>
  <si>
    <t>4.4</t>
  </si>
  <si>
    <t>Returns</t>
  </si>
  <si>
    <t>ROW and G3 returns sorting per SKU/SSCC reference and confirm SKU and quantity to the CBU within the agreed timelines.</t>
  </si>
  <si>
    <t>total sorted cases per SKU/SSCC reference and confirming the goods and received quantity to the CBU (PO or blind receipt) according to the agreed timelines in the SLA / total received return SKU/SSCC x 100%</t>
  </si>
  <si>
    <t>Customer complaint follow-up in 5 working days</t>
  </si>
  <si>
    <t>Number of times where DSV reply within the agreed timelines (critical complaint 48h, others 5 working days)</t>
  </si>
  <si>
    <t>Number of times where DSV did reply within the agreed timelines / total received complaints x 100%</t>
  </si>
  <si>
    <t>Critical complaints less than 12x in first year</t>
  </si>
  <si>
    <t>12</t>
  </si>
  <si>
    <t>6</t>
  </si>
  <si>
    <t>Yearly</t>
  </si>
  <si>
    <t>total number of critical complaints caused by DSV received in first year from Danone.</t>
  </si>
  <si>
    <t>4.5</t>
  </si>
  <si>
    <t>LTI ( Loss time incident)  in first year</t>
  </si>
  <si>
    <t xml:space="preserve">LTI should always be prevented. In case, incident happens, DSV needs to inform Danone warehouse leadership immediately and followed  by preventive actions. </t>
  </si>
  <si>
    <t>Cycle count</t>
  </si>
  <si>
    <t>boekingen van Lost / Found naar Suspense</t>
  </si>
  <si>
    <t>Aantal tellingen</t>
  </si>
  <si>
    <t>Damages</t>
  </si>
  <si>
    <t xml:space="preserve">Boekingen met extra note: damage in whs </t>
  </si>
  <si>
    <t>Aantal pallets in + aantal pallets 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</si>
</sst>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Black"/>
      <family val="2"/>
    </font>
    <font>
      <b/>
      <u/>
      <sz val="10"/>
      <color indexed="18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sz val="8"/>
      <color indexed="9"/>
      <name val="Arial Black"/>
      <family val="2"/>
    </font>
    <font>
      <sz val="8"/>
      <color indexed="10"/>
      <name val="Arial Black"/>
      <family val="2"/>
    </font>
    <font>
      <b/>
      <sz val="16"/>
      <name val="Arial Black"/>
      <family val="2"/>
    </font>
    <font>
      <sz val="8"/>
      <color indexed="9"/>
      <name val="Arial"/>
      <family val="2"/>
    </font>
    <font>
      <i/>
      <sz val="18"/>
      <name val="Arial Black"/>
      <family val="2"/>
    </font>
    <font>
      <b/>
      <sz val="12"/>
      <name val="Arial Black"/>
      <family val="2"/>
    </font>
    <font>
      <sz val="16"/>
      <name val="Arial Black"/>
      <family val="2"/>
    </font>
    <font>
      <sz val="16"/>
      <color indexed="10"/>
      <name val="Arial Black"/>
      <family val="2"/>
    </font>
    <font>
      <b/>
      <sz val="8"/>
      <name val="Arial"/>
      <family val="2"/>
    </font>
    <font>
      <u/>
      <sz val="10"/>
      <name val="Arial Black"/>
      <family val="2"/>
    </font>
    <font>
      <sz val="10"/>
      <color indexed="10"/>
      <name val="Arial Black"/>
      <family val="2"/>
    </font>
    <font>
      <sz val="10"/>
      <name val="Arial Black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sz val="10"/>
      <name val="Arial"/>
      <family val="2"/>
    </font>
    <font>
      <sz val="18"/>
      <name val="Arial Black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4" fillId="0" borderId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6" fillId="2" borderId="0" xfId="0" applyFont="1" applyFill="1"/>
    <xf numFmtId="0" fontId="3" fillId="2" borderId="0" xfId="0" applyFont="1" applyFill="1"/>
    <xf numFmtId="0" fontId="13" fillId="2" borderId="0" xfId="0" applyFont="1" applyFill="1"/>
    <xf numFmtId="0" fontId="6" fillId="3" borderId="5" xfId="0" applyFont="1" applyFill="1" applyBorder="1" applyAlignment="1">
      <alignment vertical="top"/>
    </xf>
    <xf numFmtId="10" fontId="0" fillId="0" borderId="0" xfId="5" applyNumberFormat="1" applyFont="1"/>
    <xf numFmtId="0" fontId="0" fillId="2" borderId="0" xfId="0" applyFill="1" applyAlignment="1">
      <alignment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6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vertical="top"/>
    </xf>
    <xf numFmtId="0" fontId="8" fillId="3" borderId="1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49" fontId="9" fillId="3" borderId="0" xfId="0" applyNumberFormat="1" applyFont="1" applyFill="1" applyAlignment="1">
      <alignment vertical="top"/>
    </xf>
    <xf numFmtId="0" fontId="3" fillId="3" borderId="2" xfId="0" applyFont="1" applyFill="1" applyBorder="1" applyAlignment="1">
      <alignment vertical="top"/>
    </xf>
    <xf numFmtId="49" fontId="12" fillId="3" borderId="2" xfId="0" applyNumberFormat="1" applyFont="1" applyFill="1" applyBorder="1" applyAlignment="1">
      <alignment vertical="top"/>
    </xf>
    <xf numFmtId="0" fontId="8" fillId="3" borderId="2" xfId="0" applyFont="1" applyFill="1" applyBorder="1" applyAlignment="1">
      <alignment vertical="top"/>
    </xf>
    <xf numFmtId="0" fontId="13" fillId="3" borderId="0" xfId="0" applyFont="1" applyFill="1" applyAlignment="1">
      <alignment vertical="top"/>
    </xf>
    <xf numFmtId="0" fontId="14" fillId="3" borderId="0" xfId="0" applyFont="1" applyFill="1" applyAlignment="1">
      <alignment vertical="top"/>
    </xf>
    <xf numFmtId="0" fontId="13" fillId="3" borderId="0" xfId="0" applyFont="1" applyFill="1" applyAlignment="1">
      <alignment horizontal="center" vertical="top"/>
    </xf>
    <xf numFmtId="0" fontId="3" fillId="3" borderId="6" xfId="0" applyFont="1" applyFill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0" fontId="3" fillId="3" borderId="11" xfId="0" applyFont="1" applyFill="1" applyBorder="1" applyAlignment="1">
      <alignment vertical="top"/>
    </xf>
    <xf numFmtId="0" fontId="3" fillId="3" borderId="9" xfId="0" applyFont="1" applyFill="1" applyBorder="1" applyAlignment="1">
      <alignment vertical="top"/>
    </xf>
    <xf numFmtId="10" fontId="3" fillId="3" borderId="12" xfId="0" applyNumberFormat="1" applyFont="1" applyFill="1" applyBorder="1" applyAlignment="1">
      <alignment horizontal="center" vertical="top"/>
    </xf>
    <xf numFmtId="0" fontId="17" fillId="3" borderId="0" xfId="0" applyFont="1" applyFill="1" applyAlignment="1">
      <alignment vertical="top"/>
    </xf>
    <xf numFmtId="0" fontId="18" fillId="3" borderId="9" xfId="0" applyFont="1" applyFill="1" applyBorder="1" applyAlignment="1">
      <alignment vertical="top"/>
    </xf>
    <xf numFmtId="0" fontId="16" fillId="3" borderId="0" xfId="0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7" fillId="3" borderId="0" xfId="0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10" fillId="3" borderId="0" xfId="0" applyFont="1" applyFill="1" applyAlignment="1">
      <alignment vertical="top"/>
    </xf>
    <xf numFmtId="0" fontId="6" fillId="3" borderId="9" xfId="0" applyFont="1" applyFill="1" applyBorder="1" applyAlignment="1">
      <alignment vertical="top"/>
    </xf>
    <xf numFmtId="10" fontId="6" fillId="3" borderId="12" xfId="0" applyNumberFormat="1" applyFont="1" applyFill="1" applyBorder="1" applyAlignment="1">
      <alignment horizontal="center" vertical="top"/>
    </xf>
    <xf numFmtId="0" fontId="2" fillId="3" borderId="0" xfId="1" applyFont="1" applyFill="1" applyBorder="1" applyAlignment="1" applyProtection="1">
      <alignment vertical="top"/>
    </xf>
    <xf numFmtId="0" fontId="20" fillId="3" borderId="5" xfId="0" applyFont="1" applyFill="1" applyBorder="1" applyAlignment="1">
      <alignment vertical="top"/>
    </xf>
    <xf numFmtId="0" fontId="6" fillId="3" borderId="10" xfId="0" applyFont="1" applyFill="1" applyBorder="1" applyAlignment="1">
      <alignment horizontal="center" vertical="top"/>
    </xf>
    <xf numFmtId="49" fontId="0" fillId="2" borderId="0" xfId="0" applyNumberFormat="1" applyFill="1" applyAlignment="1">
      <alignment vertical="top"/>
    </xf>
    <xf numFmtId="49" fontId="3" fillId="3" borderId="0" xfId="0" applyNumberFormat="1" applyFont="1" applyFill="1" applyAlignment="1">
      <alignment vertical="top"/>
    </xf>
    <xf numFmtId="0" fontId="22" fillId="3" borderId="0" xfId="0" applyFont="1" applyFill="1" applyAlignment="1">
      <alignment vertical="top"/>
    </xf>
    <xf numFmtId="0" fontId="11" fillId="3" borderId="2" xfId="0" applyFont="1" applyFill="1" applyBorder="1" applyAlignment="1">
      <alignment vertical="top"/>
    </xf>
    <xf numFmtId="49" fontId="13" fillId="3" borderId="0" xfId="0" applyNumberFormat="1" applyFont="1" applyFill="1" applyAlignment="1">
      <alignment vertical="top"/>
    </xf>
    <xf numFmtId="49" fontId="3" fillId="3" borderId="6" xfId="0" applyNumberFormat="1" applyFont="1" applyFill="1" applyBorder="1" applyAlignment="1">
      <alignment vertical="top"/>
    </xf>
    <xf numFmtId="49" fontId="16" fillId="3" borderId="0" xfId="0" applyNumberFormat="1" applyFont="1" applyFill="1" applyAlignment="1">
      <alignment vertical="top"/>
    </xf>
    <xf numFmtId="49" fontId="19" fillId="3" borderId="0" xfId="0" applyNumberFormat="1" applyFont="1" applyFill="1" applyAlignment="1">
      <alignment vertical="top"/>
    </xf>
    <xf numFmtId="0" fontId="3" fillId="3" borderId="3" xfId="0" applyFont="1" applyFill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6" fillId="3" borderId="3" xfId="0" applyFont="1" applyFill="1" applyBorder="1" applyAlignment="1">
      <alignment vertical="top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49" fontId="3" fillId="3" borderId="4" xfId="0" applyNumberFormat="1" applyFont="1" applyFill="1" applyBorder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15" xfId="0" applyFont="1" applyFill="1" applyBorder="1" applyAlignment="1">
      <alignment vertical="top"/>
    </xf>
    <xf numFmtId="0" fontId="6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3" fillId="3" borderId="3" xfId="0" applyFont="1" applyFill="1" applyBorder="1" applyAlignment="1">
      <alignment vertical="top"/>
    </xf>
    <xf numFmtId="0" fontId="13" fillId="3" borderId="13" xfId="0" applyFont="1" applyFill="1" applyBorder="1" applyAlignment="1">
      <alignment vertical="top"/>
    </xf>
    <xf numFmtId="49" fontId="25" fillId="3" borderId="0" xfId="0" applyNumberFormat="1" applyFont="1" applyFill="1" applyAlignment="1">
      <alignment vertical="top"/>
    </xf>
    <xf numFmtId="0" fontId="26" fillId="0" borderId="0" xfId="0" applyFont="1" applyAlignment="1">
      <alignment vertical="top"/>
    </xf>
    <xf numFmtId="0" fontId="19" fillId="3" borderId="0" xfId="1" applyFont="1" applyFill="1" applyBorder="1" applyAlignment="1" applyProtection="1">
      <alignment horizontal="right" vertical="top"/>
    </xf>
    <xf numFmtId="49" fontId="19" fillId="3" borderId="0" xfId="0" applyNumberFormat="1" applyFont="1" applyFill="1" applyAlignment="1">
      <alignment horizontal="right" vertical="top"/>
    </xf>
    <xf numFmtId="0" fontId="26" fillId="0" borderId="0" xfId="0" applyFont="1" applyAlignment="1">
      <alignment horizontal="right" vertical="top"/>
    </xf>
    <xf numFmtId="0" fontId="3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top" wrapText="1"/>
    </xf>
    <xf numFmtId="0" fontId="6" fillId="4" borderId="0" xfId="0" applyFont="1" applyFill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15" fillId="0" borderId="0" xfId="0" applyFont="1"/>
    <xf numFmtId="49" fontId="15" fillId="3" borderId="13" xfId="0" applyNumberFormat="1" applyFont="1" applyFill="1" applyBorder="1" applyAlignment="1">
      <alignment horizontal="center" vertical="top"/>
    </xf>
    <xf numFmtId="49" fontId="19" fillId="0" borderId="0" xfId="1" applyNumberFormat="1" applyFont="1" applyFill="1" applyBorder="1" applyAlignment="1" applyProtection="1">
      <alignment horizontal="right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20" fillId="3" borderId="0" xfId="0" applyFont="1" applyFill="1" applyAlignment="1">
      <alignment vertical="top"/>
    </xf>
    <xf numFmtId="0" fontId="6" fillId="3" borderId="0" xfId="0" applyFont="1" applyFill="1" applyAlignment="1">
      <alignment horizontal="center" vertical="top"/>
    </xf>
    <xf numFmtId="49" fontId="15" fillId="3" borderId="12" xfId="0" applyNumberFormat="1" applyFont="1" applyFill="1" applyBorder="1" applyAlignment="1">
      <alignment horizontal="center" vertical="top"/>
    </xf>
    <xf numFmtId="0" fontId="26" fillId="0" borderId="5" xfId="0" applyFont="1" applyBorder="1" applyAlignment="1">
      <alignment horizontal="right" vertical="top"/>
    </xf>
    <xf numFmtId="0" fontId="3" fillId="0" borderId="3" xfId="0" applyFont="1" applyBorder="1" applyAlignment="1">
      <alignment vertical="top"/>
    </xf>
    <xf numFmtId="49" fontId="25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3" fillId="0" borderId="0" xfId="0" applyFont="1" applyAlignment="1">
      <alignment vertical="top"/>
    </xf>
    <xf numFmtId="49" fontId="29" fillId="0" borderId="0" xfId="1" applyNumberFormat="1" applyFont="1" applyFill="1" applyBorder="1" applyAlignment="1" applyProtection="1">
      <alignment horizontal="right" vertical="top"/>
    </xf>
    <xf numFmtId="0" fontId="29" fillId="0" borderId="0" xfId="0" applyFont="1" applyAlignment="1">
      <alignment vertical="top"/>
    </xf>
    <xf numFmtId="164" fontId="3" fillId="3" borderId="12" xfId="0" applyNumberFormat="1" applyFont="1" applyFill="1" applyBorder="1" applyAlignment="1">
      <alignment horizontal="center" vertical="top"/>
    </xf>
    <xf numFmtId="0" fontId="19" fillId="0" borderId="0" xfId="0" applyFont="1" applyAlignment="1">
      <alignment vertical="top"/>
    </xf>
    <xf numFmtId="0" fontId="3" fillId="4" borderId="0" xfId="0" applyFont="1" applyFill="1" applyAlignment="1">
      <alignment wrapText="1"/>
    </xf>
    <xf numFmtId="0" fontId="3" fillId="4" borderId="0" xfId="0" applyFont="1" applyFill="1"/>
    <xf numFmtId="0" fontId="3" fillId="4" borderId="16" xfId="0" applyFont="1" applyFill="1" applyBorder="1" applyAlignment="1">
      <alignment horizontal="left" vertical="top" wrapText="1"/>
    </xf>
    <xf numFmtId="0" fontId="3" fillId="4" borderId="16" xfId="0" applyFont="1" applyFill="1" applyBorder="1" applyAlignment="1">
      <alignment horizontal="left" vertical="top"/>
    </xf>
    <xf numFmtId="0" fontId="3" fillId="4" borderId="16" xfId="0" applyFont="1" applyFill="1" applyBorder="1" applyAlignment="1">
      <alignment vertical="top"/>
    </xf>
    <xf numFmtId="0" fontId="3" fillId="5" borderId="0" xfId="0" applyFont="1" applyFill="1"/>
    <xf numFmtId="9" fontId="3" fillId="4" borderId="16" xfId="0" applyNumberFormat="1" applyFont="1" applyFill="1" applyBorder="1"/>
    <xf numFmtId="10" fontId="3" fillId="4" borderId="16" xfId="0" applyNumberFormat="1" applyFont="1" applyFill="1" applyBorder="1"/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00000000-0005-0000-0000-000004000000}"/>
    <cellStyle name="Percent" xfId="5" builtinId="5"/>
    <cellStyle name="Percent 2" xfId="4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% Mispicks (waarde)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9.7542425517792506E-5</c:v>
              </c:pt>
              <c:pt idx="1">
                <c:v>0</c:v>
              </c:pt>
              <c:pt idx="2">
                <c:v>4.8062938115084097E-5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2.9692368438551799E-5</c:v>
              </c:pt>
              <c:pt idx="8">
                <c:v>5.6870700287559301E-5</c:v>
              </c:pt>
              <c:pt idx="9">
                <c:v>1.32049279585571E-4</c:v>
              </c:pt>
              <c:pt idx="10">
                <c:v>1.18835445919075E-4</c:v>
              </c:pt>
              <c:pt idx="11">
                <c:v>2.5264772226300101E-5</c:v>
              </c:pt>
            </c:numLit>
          </c:val>
          <c:extLst>
            <c:ext xmlns:c16="http://schemas.microsoft.com/office/drawing/2014/chart" uri="{C3380CC4-5D6E-409C-BE32-E72D297353CC}">
              <c16:uniqueId val="{00000000-05AE-40C2-AFCB-2EFE29732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13504"/>
        <c:axId val="110269184"/>
      </c:barChart>
      <c:lineChart>
        <c:grouping val="standard"/>
        <c:varyColors val="0"/>
        <c:ser>
          <c:idx val="0"/>
          <c:order val="1"/>
          <c:tx>
            <c:v>% Mispicks cumulatief (waarde)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5.4837584214034798E-5</c:v>
              </c:pt>
              <c:pt idx="1">
                <c:v>4.4456108756019397E-5</c:v>
              </c:pt>
              <c:pt idx="2">
                <c:v>4.5155417571560002E-5</c:v>
              </c:pt>
              <c:pt idx="3">
                <c:v>3.7797097929884699E-5</c:v>
              </c:pt>
              <c:pt idx="4">
                <c:v>3.4640072250709803E-5</c:v>
              </c:pt>
              <c:pt idx="5">
                <c:v>2.9979751081883701E-5</c:v>
              </c:pt>
              <c:pt idx="6">
                <c:v>2.6495510220959401E-5</c:v>
              </c:pt>
              <c:pt idx="7">
                <c:v>2.6803283632520601E-5</c:v>
              </c:pt>
              <c:pt idx="8">
                <c:v>2.9101476253247801E-5</c:v>
              </c:pt>
              <c:pt idx="9">
                <c:v>1.32049279585571E-4</c:v>
              </c:pt>
              <c:pt idx="10">
                <c:v>1.2585838780961701E-4</c:v>
              </c:pt>
              <c:pt idx="11">
                <c:v>8.9877854875526996E-5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05AE-40C2-AFCB-2EFE29732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71104"/>
        <c:axId val="110272896"/>
      </c:lineChart>
      <c:catAx>
        <c:axId val="10781350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one"/>
        <c:crossAx val="110269184"/>
        <c:crosses val="autoZero"/>
        <c:auto val="0"/>
        <c:lblAlgn val="ctr"/>
        <c:lblOffset val="100"/>
        <c:noMultiLvlLbl val="0"/>
      </c:catAx>
      <c:valAx>
        <c:axId val="11026918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Waarde mispicks tov uitslag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7813504"/>
        <c:crosses val="autoZero"/>
        <c:crossBetween val="between"/>
        <c:majorUnit val="1.0000000000000002E-4"/>
        <c:minorUnit val="1.0000000000000002E-4"/>
      </c:valAx>
      <c:catAx>
        <c:axId val="110271104"/>
        <c:scaling>
          <c:orientation val="minMax"/>
        </c:scaling>
        <c:delete val="1"/>
        <c:axPos val="b"/>
        <c:majorTickMark val="out"/>
        <c:minorTickMark val="none"/>
        <c:tickLblPos val="none"/>
        <c:crossAx val="110272896"/>
        <c:crosses val="autoZero"/>
        <c:auto val="0"/>
        <c:lblAlgn val="ctr"/>
        <c:lblOffset val="100"/>
        <c:noMultiLvlLbl val="0"/>
      </c:catAx>
      <c:valAx>
        <c:axId val="1102728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1027110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Resultaat Océ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0.206882599020936</c:v>
              </c:pt>
              <c:pt idx="1">
                <c:v>0.18575840264824101</c:v>
              </c:pt>
              <c:pt idx="2">
                <c:v>0.17034657853565999</c:v>
              </c:pt>
              <c:pt idx="3">
                <c:v>0.14814314473540999</c:v>
              </c:pt>
              <c:pt idx="4">
                <c:v>0.100044806092411</c:v>
              </c:pt>
              <c:pt idx="5">
                <c:v>0.148142797405314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2B8-4384-A8A3-9A4A96B5D22B}"/>
            </c:ext>
          </c:extLst>
        </c:ser>
        <c:ser>
          <c:idx val="3"/>
          <c:order val="2"/>
          <c:tx>
            <c:v>Resultaat Shell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0.13623343229375701</c:v>
              </c:pt>
              <c:pt idx="1">
                <c:v>0.15300355621912901</c:v>
              </c:pt>
              <c:pt idx="2">
                <c:v>-1.40379904147355E-2</c:v>
              </c:pt>
              <c:pt idx="3">
                <c:v>2.9325118205008299E-2</c:v>
              </c:pt>
              <c:pt idx="4">
                <c:v>-0.13767273239564001</c:v>
              </c:pt>
              <c:pt idx="5">
                <c:v>-6.8048923481986906E-2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2B8-4384-A8A3-9A4A96B5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94528"/>
        <c:axId val="111896448"/>
      </c:barChart>
      <c:lineChart>
        <c:grouping val="standard"/>
        <c:varyColors val="0"/>
        <c:ser>
          <c:idx val="0"/>
          <c:order val="1"/>
          <c:tx>
            <c:v>Resultaat Océ gemiddeld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0.175627995030227</c:v>
              </c:pt>
              <c:pt idx="1">
                <c:v>0.177582670500919</c:v>
              </c:pt>
              <c:pt idx="2">
                <c:v>0.176303031550992</c:v>
              </c:pt>
              <c:pt idx="3">
                <c:v>0.17199316186329</c:v>
              </c:pt>
              <c:pt idx="4">
                <c:v>0.16515783713243601</c:v>
              </c:pt>
              <c:pt idx="5">
                <c:v>0.16306815028239599</c:v>
              </c:pt>
              <c:pt idx="6">
                <c:v>0.16306815028239599</c:v>
              </c:pt>
              <c:pt idx="7">
                <c:v>0.16306815028239599</c:v>
              </c:pt>
              <c:pt idx="8">
                <c:v>0.16306815028239599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E2B8-4384-A8A3-9A4A96B5D22B}"/>
            </c:ext>
          </c:extLst>
        </c:ser>
        <c:ser>
          <c:idx val="4"/>
          <c:order val="3"/>
          <c:tx>
            <c:v>Resultaat Shell gemiddeld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0.11229731659829301</c:v>
              </c:pt>
              <c:pt idx="1">
                <c:v>0.120084191127258</c:v>
              </c:pt>
              <c:pt idx="2">
                <c:v>0.100235220868889</c:v>
              </c:pt>
              <c:pt idx="3">
                <c:v>9.28284173939945E-2</c:v>
              </c:pt>
              <c:pt idx="4">
                <c:v>7.5757075701658405E-2</c:v>
              </c:pt>
              <c:pt idx="5">
                <c:v>6.7287568937393405E-2</c:v>
              </c:pt>
              <c:pt idx="6">
                <c:v>6.7287568937393405E-2</c:v>
              </c:pt>
              <c:pt idx="7">
                <c:v>6.7287568937393405E-2</c:v>
              </c:pt>
              <c:pt idx="8">
                <c:v>6.7287568937393405E-2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E2B8-4384-A8A3-9A4A96B5D22B}"/>
            </c:ext>
          </c:extLst>
        </c:ser>
        <c:ser>
          <c:idx val="2"/>
          <c:order val="4"/>
          <c:tx>
            <c:v>Doel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0.125</c:v>
              </c:pt>
              <c:pt idx="1">
                <c:v>0.125</c:v>
              </c:pt>
              <c:pt idx="2">
                <c:v>0.125</c:v>
              </c:pt>
              <c:pt idx="3">
                <c:v>0.125</c:v>
              </c:pt>
              <c:pt idx="4">
                <c:v>0.125</c:v>
              </c:pt>
              <c:pt idx="5">
                <c:v>0.125</c:v>
              </c:pt>
              <c:pt idx="6">
                <c:v>0.125</c:v>
              </c:pt>
              <c:pt idx="7">
                <c:v>0.125</c:v>
              </c:pt>
              <c:pt idx="8">
                <c:v>0.125</c:v>
              </c:pt>
              <c:pt idx="9">
                <c:v>0.125</c:v>
              </c:pt>
              <c:pt idx="10">
                <c:v>0.125</c:v>
              </c:pt>
              <c:pt idx="11">
                <c:v>0.125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4-E2B8-4384-A8A3-9A4A96B5D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94528"/>
        <c:axId val="111896448"/>
      </c:lineChart>
      <c:catAx>
        <c:axId val="11189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964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896448"/>
        <c:scaling>
          <c:orientation val="minMax"/>
          <c:max val="0.25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Resultaat (% v/d omzet)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9452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v>Volumes UIT Dozen/bakken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13646</c:v>
              </c:pt>
              <c:pt idx="1">
                <c:v>14899</c:v>
              </c:pt>
              <c:pt idx="2">
                <c:v>18883</c:v>
              </c:pt>
              <c:pt idx="3">
                <c:v>18824</c:v>
              </c:pt>
              <c:pt idx="4">
                <c:v>7596</c:v>
              </c:pt>
              <c:pt idx="5">
                <c:v>22455</c:v>
              </c:pt>
              <c:pt idx="6">
                <c:v>19416</c:v>
              </c:pt>
              <c:pt idx="7">
                <c:v>16828</c:v>
              </c:pt>
              <c:pt idx="8">
                <c:v>13644</c:v>
              </c:pt>
              <c:pt idx="9">
                <c:v>14115</c:v>
              </c:pt>
              <c:pt idx="10">
                <c:v>11275</c:v>
              </c:pt>
              <c:pt idx="11">
                <c:v>15723</c:v>
              </c:pt>
            </c:numLit>
          </c:val>
          <c:extLst>
            <c:ext xmlns:c16="http://schemas.microsoft.com/office/drawing/2014/chart" uri="{C3380CC4-5D6E-409C-BE32-E72D297353CC}">
              <c16:uniqueId val="{00000000-E9BC-48A6-91DD-573F45714041}"/>
            </c:ext>
          </c:extLst>
        </c:ser>
        <c:ser>
          <c:idx val="2"/>
          <c:order val="1"/>
          <c:tx>
            <c:v>Volumes UIT Pallets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5674</c:v>
              </c:pt>
              <c:pt idx="1">
                <c:v>6206</c:v>
              </c:pt>
              <c:pt idx="2">
                <c:v>8237</c:v>
              </c:pt>
              <c:pt idx="3">
                <c:v>7778</c:v>
              </c:pt>
              <c:pt idx="4">
                <c:v>4721</c:v>
              </c:pt>
              <c:pt idx="5">
                <c:v>7824</c:v>
              </c:pt>
              <c:pt idx="6">
                <c:v>7655</c:v>
              </c:pt>
              <c:pt idx="7">
                <c:v>7390</c:v>
              </c:pt>
              <c:pt idx="8">
                <c:v>6811</c:v>
              </c:pt>
              <c:pt idx="9">
                <c:v>6725</c:v>
              </c:pt>
              <c:pt idx="10">
                <c:v>5730</c:v>
              </c:pt>
              <c:pt idx="11">
                <c:v>6999</c:v>
              </c:pt>
            </c:numLit>
          </c:val>
          <c:extLst>
            <c:ext xmlns:c16="http://schemas.microsoft.com/office/drawing/2014/chart" uri="{C3380CC4-5D6E-409C-BE32-E72D297353CC}">
              <c16:uniqueId val="{00000001-E9BC-48A6-91DD-573F45714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917696"/>
        <c:axId val="111485696"/>
      </c:barChart>
      <c:catAx>
        <c:axId val="111917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4856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48569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UITSLAG (LOM's)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917696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v>Productiviteit UIT Werkelijk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19.310988205504099</c:v>
              </c:pt>
              <c:pt idx="1">
                <c:v>18.707628658587101</c:v>
              </c:pt>
              <c:pt idx="2">
                <c:v>18.739635157545599</c:v>
              </c:pt>
              <c:pt idx="3">
                <c:v>17.836333769150801</c:v>
              </c:pt>
              <c:pt idx="4">
                <c:v>14.4368040632936</c:v>
              </c:pt>
              <c:pt idx="5">
                <c:v>22.1854630145667</c:v>
              </c:pt>
              <c:pt idx="6">
                <c:v>24.667183015171499</c:v>
              </c:pt>
              <c:pt idx="7">
                <c:v>22.077578741054701</c:v>
              </c:pt>
              <c:pt idx="8">
                <c:v>22.181857615355401</c:v>
              </c:pt>
              <c:pt idx="9">
                <c:v>21.281230853019199</c:v>
              </c:pt>
              <c:pt idx="10">
                <c:v>20.596309903508399</c:v>
              </c:pt>
              <c:pt idx="11">
                <c:v>20.645415310062798</c:v>
              </c:pt>
            </c:numLit>
          </c:val>
          <c:extLst>
            <c:ext xmlns:c16="http://schemas.microsoft.com/office/drawing/2014/chart" uri="{C3380CC4-5D6E-409C-BE32-E72D297353CC}">
              <c16:uniqueId val="{00000000-3933-4E92-85C3-B5CD3E83E9B2}"/>
            </c:ext>
          </c:extLst>
        </c:ser>
        <c:ser>
          <c:idx val="2"/>
          <c:order val="1"/>
          <c:tx>
            <c:v>Productiviteit UIT Budget</c:v>
          </c:tx>
          <c:spPr>
            <a:gradFill rotWithShape="0">
              <a:gsLst>
                <a:gs pos="0">
                  <a:srgbClr val="008000"/>
                </a:gs>
                <a:gs pos="100000">
                  <a:srgbClr val="CCE6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19.123979213066001</c:v>
              </c:pt>
              <c:pt idx="1">
                <c:v>19.120755461441899</c:v>
              </c:pt>
              <c:pt idx="2">
                <c:v>19.037590818152999</c:v>
              </c:pt>
              <c:pt idx="3">
                <c:v>19.135376204862599</c:v>
              </c:pt>
              <c:pt idx="4">
                <c:v>18.378553132227498</c:v>
              </c:pt>
              <c:pt idx="5">
                <c:v>21.440000456790301</c:v>
              </c:pt>
              <c:pt idx="6">
                <c:v>23.2206321748702</c:v>
              </c:pt>
              <c:pt idx="7">
                <c:v>22.044085744193399</c:v>
              </c:pt>
              <c:pt idx="8">
                <c:v>21.497635312664201</c:v>
              </c:pt>
              <c:pt idx="9">
                <c:v>21.331331672864899</c:v>
              </c:pt>
              <c:pt idx="10">
                <c:v>21.239877594354301</c:v>
              </c:pt>
              <c:pt idx="11">
                <c:v>22.1084894186329</c:v>
              </c:pt>
            </c:numLit>
          </c:val>
          <c:extLst>
            <c:ext xmlns:c16="http://schemas.microsoft.com/office/drawing/2014/chart" uri="{C3380CC4-5D6E-409C-BE32-E72D297353CC}">
              <c16:uniqueId val="{00000001-3933-4E92-85C3-B5CD3E83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506560"/>
        <c:axId val="111508480"/>
      </c:barChart>
      <c:lineChart>
        <c:grouping val="standard"/>
        <c:varyColors val="0"/>
        <c:ser>
          <c:idx val="0"/>
          <c:order val="2"/>
          <c:tx>
            <c:v>Productiviteit UIT cumulatief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19.5309105191375</c:v>
              </c:pt>
              <c:pt idx="1">
                <c:v>19.374756939499399</c:v>
              </c:pt>
              <c:pt idx="2">
                <c:v>19.250465315027299</c:v>
              </c:pt>
              <c:pt idx="3">
                <c:v>19.013128224156201</c:v>
              </c:pt>
              <c:pt idx="4">
                <c:v>18.612257256326401</c:v>
              </c:pt>
              <c:pt idx="5">
                <c:v>19.051425711652701</c:v>
              </c:pt>
              <c:pt idx="6">
                <c:v>19.556509005979901</c:v>
              </c:pt>
              <c:pt idx="7">
                <c:v>19.7644572278992</c:v>
              </c:pt>
              <c:pt idx="8">
                <c:v>19.9212109219513</c:v>
              </c:pt>
              <c:pt idx="9">
                <c:v>21.281230853019199</c:v>
              </c:pt>
              <c:pt idx="10">
                <c:v>20.967920660424401</c:v>
              </c:pt>
              <c:pt idx="11">
                <c:v>20.845757160311798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933-4E92-85C3-B5CD3E83E9B2}"/>
            </c:ext>
          </c:extLst>
        </c:ser>
        <c:ser>
          <c:idx val="1"/>
          <c:order val="3"/>
          <c:tx>
            <c:v>Productiviteit UIT budget cumulatief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19.246255114075399</c:v>
              </c:pt>
              <c:pt idx="1">
                <c:v>19.223147885572502</c:v>
              </c:pt>
              <c:pt idx="2">
                <c:v>19.187520076533598</c:v>
              </c:pt>
              <c:pt idx="3">
                <c:v>19.179291463366599</c:v>
              </c:pt>
              <c:pt idx="4">
                <c:v>19.1226821422093</c:v>
              </c:pt>
              <c:pt idx="5">
                <c:v>19.4231476636946</c:v>
              </c:pt>
              <c:pt idx="6">
                <c:v>19.7903094332707</c:v>
              </c:pt>
              <c:pt idx="7">
                <c:v>19.978509032843501</c:v>
              </c:pt>
              <c:pt idx="8">
                <c:v>20.080965446696801</c:v>
              </c:pt>
              <c:pt idx="9">
                <c:v>21.331331672864899</c:v>
              </c:pt>
              <c:pt idx="10">
                <c:v>21.2901411091838</c:v>
              </c:pt>
              <c:pt idx="11">
                <c:v>21.589947718631102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3933-4E92-85C3-B5CD3E83E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06560"/>
        <c:axId val="111508480"/>
      </c:lineChart>
      <c:catAx>
        <c:axId val="111506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084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50848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UITSLAG LOM's/uur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506560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1"/>
          <c:tx>
            <c:v>Bezetting bakken/D1-D2-D3 dozen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square"/>
            <c:size val="5"/>
            <c:spPr>
              <a:noFill/>
              <a:ln w="9525">
                <a:noFill/>
              </a:ln>
            </c:spPr>
          </c:marker>
          <c:val>
            <c:numLit>
              <c:formatCode>General</c:formatCode>
              <c:ptCount val="12"/>
              <c:pt idx="0">
                <c:v>0.89639999999999898</c:v>
              </c:pt>
              <c:pt idx="1">
                <c:v>0.93300000000000005</c:v>
              </c:pt>
              <c:pt idx="2">
                <c:v>0.89800000000000002</c:v>
              </c:pt>
              <c:pt idx="3">
                <c:v>0.95899999999999996</c:v>
              </c:pt>
              <c:pt idx="4">
                <c:v>1.0660000000000001</c:v>
              </c:pt>
              <c:pt idx="5">
                <c:v>0.91971924886106804</c:v>
              </c:pt>
              <c:pt idx="6">
                <c:v>0.9889</c:v>
              </c:pt>
              <c:pt idx="7">
                <c:v>0.94259999999999899</c:v>
              </c:pt>
              <c:pt idx="8">
                <c:v>0.94210000000000005</c:v>
              </c:pt>
              <c:pt idx="9">
                <c:v>0.90820000000000001</c:v>
              </c:pt>
              <c:pt idx="10">
                <c:v>0.8841</c:v>
              </c:pt>
              <c:pt idx="11">
                <c:v>0.81289999999999996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75AC-495D-A026-028031AA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50080"/>
        <c:axId val="111972352"/>
      </c:lineChart>
      <c:lineChart>
        <c:grouping val="standard"/>
        <c:varyColors val="0"/>
        <c:ser>
          <c:idx val="1"/>
          <c:order val="0"/>
          <c:tx>
            <c:v>Bezetting D4/D5-dozen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0.98039999999999905</c:v>
              </c:pt>
              <c:pt idx="1">
                <c:v>0.993999999999999</c:v>
              </c:pt>
              <c:pt idx="2">
                <c:v>0.94099999999999895</c:v>
              </c:pt>
              <c:pt idx="3">
                <c:v>0.91400000000000003</c:v>
              </c:pt>
              <c:pt idx="4">
                <c:v>1.0189999999999899</c:v>
              </c:pt>
              <c:pt idx="5">
                <c:v>0.84860000000000002</c:v>
              </c:pt>
              <c:pt idx="6">
                <c:v>0.97729999999999895</c:v>
              </c:pt>
              <c:pt idx="7">
                <c:v>0.92090000000000005</c:v>
              </c:pt>
              <c:pt idx="8">
                <c:v>0.88249999999999895</c:v>
              </c:pt>
              <c:pt idx="9">
                <c:v>0.86639999999999895</c:v>
              </c:pt>
              <c:pt idx="10">
                <c:v>0.82350000000000001</c:v>
              </c:pt>
              <c:pt idx="11">
                <c:v>0.78890000000000005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75AC-495D-A026-028031AA226A}"/>
            </c:ext>
          </c:extLst>
        </c:ser>
        <c:ser>
          <c:idx val="4"/>
          <c:order val="2"/>
          <c:tx>
            <c:v>Bezetting pallets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0.93720000000000003</c:v>
              </c:pt>
              <c:pt idx="1">
                <c:v>0.85899999999999999</c:v>
              </c:pt>
              <c:pt idx="2">
                <c:v>0.82599999999999996</c:v>
              </c:pt>
              <c:pt idx="3">
                <c:v>0.85399999999999998</c:v>
              </c:pt>
              <c:pt idx="4">
                <c:v>0.82599999999999996</c:v>
              </c:pt>
              <c:pt idx="5">
                <c:v>0.87768043933054396</c:v>
              </c:pt>
              <c:pt idx="6">
                <c:v>0.89549999999999896</c:v>
              </c:pt>
              <c:pt idx="7">
                <c:v>0.84</c:v>
              </c:pt>
              <c:pt idx="8">
                <c:v>0.86570000000000003</c:v>
              </c:pt>
              <c:pt idx="9">
                <c:v>0.81269999999999998</c:v>
              </c:pt>
              <c:pt idx="10">
                <c:v>0.80730000000000002</c:v>
              </c:pt>
              <c:pt idx="11">
                <c:v>0.88090000000000002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75AC-495D-A026-028031AA2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73888"/>
        <c:axId val="111975808"/>
      </c:lineChart>
      <c:catAx>
        <c:axId val="111950080"/>
        <c:scaling>
          <c:orientation val="minMax"/>
        </c:scaling>
        <c:delete val="1"/>
        <c:axPos val="b"/>
        <c:majorTickMark val="out"/>
        <c:minorTickMark val="none"/>
        <c:tickLblPos val="none"/>
        <c:crossAx val="111972352"/>
        <c:crosses val="autoZero"/>
        <c:auto val="0"/>
        <c:lblAlgn val="ctr"/>
        <c:lblOffset val="100"/>
        <c:noMultiLvlLbl val="0"/>
      </c:catAx>
      <c:valAx>
        <c:axId val="111972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one"/>
        <c:crossAx val="111950080"/>
        <c:crosses val="autoZero"/>
        <c:crossBetween val="between"/>
      </c:valAx>
      <c:catAx>
        <c:axId val="111973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119758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975808"/>
        <c:scaling>
          <c:orientation val="minMax"/>
          <c:max val="1.100000000000000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Bezettingsgraad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1197388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v>Ziekteverzuim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8.1275572831423795E-2</c:v>
              </c:pt>
              <c:pt idx="1">
                <c:v>5.8299926720979299E-2</c:v>
              </c:pt>
              <c:pt idx="2">
                <c:v>6.0029037301764503E-2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2DD-49E8-B9AA-F612892E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751168"/>
        <c:axId val="111753088"/>
      </c:barChart>
      <c:lineChart>
        <c:grouping val="standard"/>
        <c:varyColors val="0"/>
        <c:ser>
          <c:idx val="0"/>
          <c:order val="1"/>
          <c:tx>
            <c:v>Ziekteverzuim cumulatief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7.7243350431991598E-2</c:v>
              </c:pt>
              <c:pt idx="1">
                <c:v>7.3764506119088705E-2</c:v>
              </c:pt>
              <c:pt idx="2">
                <c:v>7.1355948246598896E-2</c:v>
              </c:pt>
              <c:pt idx="3">
                <c:v>7.1355948246598896E-2</c:v>
              </c:pt>
              <c:pt idx="4">
                <c:v>7.1355948246598896E-2</c:v>
              </c:pt>
              <c:pt idx="5">
                <c:v>7.1355948246598896E-2</c:v>
              </c:pt>
              <c:pt idx="6">
                <c:v>7.1355948246598896E-2</c:v>
              </c:pt>
              <c:pt idx="7">
                <c:v>7.1355948246598896E-2</c:v>
              </c:pt>
              <c:pt idx="8">
                <c:v>7.1355948246598896E-2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2DD-49E8-B9AA-F612892EAE22}"/>
            </c:ext>
          </c:extLst>
        </c:ser>
        <c:ser>
          <c:idx val="1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0.05</c:v>
              </c:pt>
              <c:pt idx="1">
                <c:v>0.05</c:v>
              </c:pt>
              <c:pt idx="2">
                <c:v>0.05</c:v>
              </c:pt>
              <c:pt idx="3">
                <c:v>0.05</c:v>
              </c:pt>
              <c:pt idx="4">
                <c:v>0.05</c:v>
              </c:pt>
              <c:pt idx="5">
                <c:v>0.05</c:v>
              </c:pt>
              <c:pt idx="6">
                <c:v>0.05</c:v>
              </c:pt>
              <c:pt idx="7">
                <c:v>0.05</c:v>
              </c:pt>
              <c:pt idx="8">
                <c:v>0.05</c:v>
              </c:pt>
              <c:pt idx="9">
                <c:v>0.05</c:v>
              </c:pt>
              <c:pt idx="10">
                <c:v>0.05</c:v>
              </c:pt>
              <c:pt idx="11">
                <c:v>0.05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12DD-49E8-B9AA-F612892EA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51168"/>
        <c:axId val="111753088"/>
      </c:lineChart>
      <c:catAx>
        <c:axId val="11175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7530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75308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Verzuim totaal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75116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0"/>
          <c:tx>
            <c:v>Verzuim poort 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3.5087719298245598E-2</c:v>
              </c:pt>
              <c:pt idx="2">
                <c:v>3.03030303030303E-2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0B57-49D0-B20D-C0730737D23D}"/>
            </c:ext>
          </c:extLst>
        </c:ser>
        <c:ser>
          <c:idx val="2"/>
          <c:order val="1"/>
          <c:tx>
            <c:v>Verzuim poort 15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6.5000000000000002E-2</c:v>
              </c:pt>
              <c:pt idx="1">
                <c:v>2.6315789473684201E-3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0B57-49D0-B20D-C0730737D23D}"/>
            </c:ext>
          </c:extLst>
        </c:ser>
        <c:ser>
          <c:idx val="0"/>
          <c:order val="2"/>
          <c:tx>
            <c:v>Verzuim poort 37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0.1875</c:v>
              </c:pt>
              <c:pt idx="1">
                <c:v>0</c:v>
              </c:pt>
              <c:pt idx="2">
                <c:v>3.6363636363636299E-2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0B57-49D0-B20D-C0730737D23D}"/>
            </c:ext>
          </c:extLst>
        </c:ser>
        <c:ser>
          <c:idx val="1"/>
          <c:order val="3"/>
          <c:tx>
            <c:v>Verzuim poort 60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4.8907766990291202E-2</c:v>
              </c:pt>
              <c:pt idx="1">
                <c:v>9.5809913132345395E-2</c:v>
              </c:pt>
              <c:pt idx="2">
                <c:v>8.6514416004707204E-2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0B57-49D0-B20D-C0730737D23D}"/>
            </c:ext>
          </c:extLst>
        </c:ser>
        <c:ser>
          <c:idx val="3"/>
          <c:order val="4"/>
          <c:tx>
            <c:v>Verzuim overhead</c:v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0.153048155737704</c:v>
              </c:pt>
              <c:pt idx="1">
                <c:v>3.8444877626164102E-2</c:v>
              </c:pt>
              <c:pt idx="2">
                <c:v>5.9156378600822998E-2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4-0B57-49D0-B20D-C0730737D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01472"/>
        <c:axId val="111803392"/>
      </c:lineChart>
      <c:catAx>
        <c:axId val="111801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033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803392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Verzuim per afdeling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01472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v>Overwerk 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2.8836117117532201E-2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C63-40FF-BF4F-7E321A9F7007}"/>
            </c:ext>
          </c:extLst>
        </c:ser>
        <c:ser>
          <c:idx val="0"/>
          <c:order val="1"/>
          <c:tx>
            <c:v>Overwerk incl uren voor 6:00 uur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1.8588571365020699E-2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C63-40FF-BF4F-7E321A9F7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711360"/>
        <c:axId val="111713280"/>
      </c:barChart>
      <c:lineChart>
        <c:grouping val="standard"/>
        <c:varyColors val="0"/>
        <c:ser>
          <c:idx val="1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0.02</c:v>
              </c:pt>
              <c:pt idx="1">
                <c:v>0.02</c:v>
              </c:pt>
              <c:pt idx="2">
                <c:v>0.02</c:v>
              </c:pt>
              <c:pt idx="3">
                <c:v>0.02</c:v>
              </c:pt>
              <c:pt idx="4">
                <c:v>0.02</c:v>
              </c:pt>
              <c:pt idx="5">
                <c:v>0.02</c:v>
              </c:pt>
              <c:pt idx="6">
                <c:v>0.02</c:v>
              </c:pt>
              <c:pt idx="7">
                <c:v>0.02</c:v>
              </c:pt>
              <c:pt idx="8">
                <c:v>0.02</c:v>
              </c:pt>
              <c:pt idx="9">
                <c:v>0.02</c:v>
              </c:pt>
              <c:pt idx="10">
                <c:v>0.02</c:v>
              </c:pt>
              <c:pt idx="11">
                <c:v>0.02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2C63-40FF-BF4F-7E321A9F7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711360"/>
        <c:axId val="111713280"/>
      </c:lineChart>
      <c:catAx>
        <c:axId val="11171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7132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713280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Overwerk totaal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711360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4"/>
          <c:order val="0"/>
          <c:tx>
            <c:v>Overwerk poort 2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1.9174434087882799E-2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8302-451F-9A09-5CAD1584345A}"/>
            </c:ext>
          </c:extLst>
        </c:ser>
        <c:ser>
          <c:idx val="2"/>
          <c:order val="1"/>
          <c:tx>
            <c:v>Overwerk poort 15</c:v>
          </c:tx>
          <c:spPr>
            <a:ln w="25400">
              <a:solidFill>
                <a:srgbClr val="FF99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2.2839386288599699E-2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8302-451F-9A09-5CAD1584345A}"/>
            </c:ext>
          </c:extLst>
        </c:ser>
        <c:ser>
          <c:idx val="0"/>
          <c:order val="2"/>
          <c:tx>
            <c:v>Overwerk poort 37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4.9896049896049899E-2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8302-451F-9A09-5CAD1584345A}"/>
            </c:ext>
          </c:extLst>
        </c:ser>
        <c:ser>
          <c:idx val="1"/>
          <c:order val="3"/>
          <c:tx>
            <c:v>Overwerk poort 60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2.9477179940283899E-2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8302-451F-9A09-5CAD15843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25664"/>
        <c:axId val="111827584"/>
      </c:lineChart>
      <c:catAx>
        <c:axId val="111825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2758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82758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Overwerk per afdeling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2566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4"/>
          <c:order val="0"/>
          <c:tx>
            <c:v>Productiviteit UIT Werkelijk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7.11230001123102</c:v>
              </c:pt>
              <c:pt idx="1">
                <c:v>7.1184569045620396</c:v>
              </c:pt>
              <c:pt idx="2">
                <c:v>5.1813587871982003</c:v>
              </c:pt>
              <c:pt idx="3">
                <c:v>6.1565274222536903</c:v>
              </c:pt>
              <c:pt idx="4">
                <c:v>4.73153494785831</c:v>
              </c:pt>
              <c:pt idx="5">
                <c:v>3.7084597474070402</c:v>
              </c:pt>
              <c:pt idx="6">
                <c:v>4.5419354838709598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021-4D61-8D9C-09C0973D556E}"/>
            </c:ext>
          </c:extLst>
        </c:ser>
        <c:ser>
          <c:idx val="2"/>
          <c:order val="1"/>
          <c:tx>
            <c:v>Productiviteit UIT Budget</c:v>
          </c:tx>
          <c:spPr>
            <a:gradFill rotWithShape="0">
              <a:gsLst>
                <a:gs pos="0">
                  <a:srgbClr val="008000"/>
                </a:gs>
                <a:gs pos="100000">
                  <a:srgbClr val="CCE6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4.9273209549071604</c:v>
              </c:pt>
              <c:pt idx="1">
                <c:v>6.3154121863799197</c:v>
              </c:pt>
              <c:pt idx="2">
                <c:v>7.1099468371985504</c:v>
              </c:pt>
              <c:pt idx="3">
                <c:v>7.1094339622641503</c:v>
              </c:pt>
              <c:pt idx="4">
                <c:v>7.2398786759857501</c:v>
              </c:pt>
              <c:pt idx="5">
                <c:v>7.1219512195121899</c:v>
              </c:pt>
              <c:pt idx="6">
                <c:v>6.7154213036565897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D021-4D61-8D9C-09C0973D5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855104"/>
        <c:axId val="111857024"/>
      </c:barChart>
      <c:lineChart>
        <c:grouping val="standard"/>
        <c:varyColors val="0"/>
        <c:ser>
          <c:idx val="0"/>
          <c:order val="2"/>
          <c:tx>
            <c:v>Productiviteit UIT cumulatief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6.1881650177337999</c:v>
              </c:pt>
              <c:pt idx="1">
                <c:v>6.3966219430868199</c:v>
              </c:pt>
              <c:pt idx="2">
                <c:v>6.1392291159100996</c:v>
              </c:pt>
              <c:pt idx="3">
                <c:v>6.1414272278245203</c:v>
              </c:pt>
              <c:pt idx="4">
                <c:v>6.0366272019147003</c:v>
              </c:pt>
              <c:pt idx="5">
                <c:v>5.8428344142629802</c:v>
              </c:pt>
              <c:pt idx="6">
                <c:v>5.8082518818592002</c:v>
              </c:pt>
              <c:pt idx="7">
                <c:v>5.8082518818592002</c:v>
              </c:pt>
              <c:pt idx="8">
                <c:v>5.8082518818592002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D021-4D61-8D9C-09C0973D556E}"/>
            </c:ext>
          </c:extLst>
        </c:ser>
        <c:ser>
          <c:idx val="1"/>
          <c:order val="3"/>
          <c:tx>
            <c:v>Productiviteit UIT budget cumulatief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5.7103893773551002</c:v>
              </c:pt>
              <c:pt idx="1">
                <c:v>5.8501448875396704</c:v>
              </c:pt>
              <c:pt idx="2">
                <c:v>6.0414984376645702</c:v>
              </c:pt>
              <c:pt idx="3">
                <c:v>6.1593561619589998</c:v>
              </c:pt>
              <c:pt idx="4">
                <c:v>6.2133835345006601</c:v>
              </c:pt>
              <c:pt idx="5">
                <c:v>6.2555451107135696</c:v>
              </c:pt>
              <c:pt idx="6">
                <c:v>6.2644629627916801</c:v>
              </c:pt>
              <c:pt idx="7">
                <c:v>6.2644629627916801</c:v>
              </c:pt>
              <c:pt idx="8">
                <c:v>6.2644629627916801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D021-4D61-8D9C-09C0973D5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855104"/>
        <c:axId val="111857024"/>
      </c:lineChart>
      <c:catAx>
        <c:axId val="111855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570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185702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UITSLAG (pallets/uur)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85510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Resultaat FMLV totaal 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0.19741280439629499</c:v>
              </c:pt>
              <c:pt idx="1">
                <c:v>0.18126368914282001</c:v>
              </c:pt>
              <c:pt idx="2">
                <c:v>0.14917635208649599</c:v>
              </c:pt>
              <c:pt idx="3">
                <c:v>0.13733761011704701</c:v>
              </c:pt>
              <c:pt idx="4">
                <c:v>7.6162146574620795E-2</c:v>
              </c:pt>
              <c:pt idx="5">
                <c:v>0.135131620526451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55EF-4A9F-B8EF-7D9DF32C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67104"/>
        <c:axId val="112369024"/>
      </c:barChart>
      <c:lineChart>
        <c:grouping val="standard"/>
        <c:varyColors val="0"/>
        <c:ser>
          <c:idx val="4"/>
          <c:order val="1"/>
          <c:tx>
            <c:v>Resultaat FMLV totaal gemiddeld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0.166857224911313</c:v>
              </c:pt>
              <c:pt idx="1">
                <c:v>0.16963367107340899</c:v>
              </c:pt>
              <c:pt idx="2">
                <c:v>0.16609517398289</c:v>
              </c:pt>
              <c:pt idx="3">
                <c:v>0.161872492915732</c:v>
              </c:pt>
              <c:pt idx="4">
                <c:v>0.15395466009963099</c:v>
              </c:pt>
              <c:pt idx="5">
                <c:v>0.151784662567826</c:v>
              </c:pt>
              <c:pt idx="6">
                <c:v>0.151784662567826</c:v>
              </c:pt>
              <c:pt idx="7">
                <c:v>0.151784662567826</c:v>
              </c:pt>
              <c:pt idx="8">
                <c:v>0.151784662567826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55EF-4A9F-B8EF-7D9DF32C2D80}"/>
            </c:ext>
          </c:extLst>
        </c:ser>
        <c:ser>
          <c:idx val="2"/>
          <c:order val="2"/>
          <c:tx>
            <c:v>Doel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0.125</c:v>
              </c:pt>
              <c:pt idx="1">
                <c:v>0.125</c:v>
              </c:pt>
              <c:pt idx="2">
                <c:v>0.125</c:v>
              </c:pt>
              <c:pt idx="3">
                <c:v>0.125</c:v>
              </c:pt>
              <c:pt idx="4">
                <c:v>0.125</c:v>
              </c:pt>
              <c:pt idx="5">
                <c:v>0.125</c:v>
              </c:pt>
              <c:pt idx="6">
                <c:v>0.125</c:v>
              </c:pt>
              <c:pt idx="7">
                <c:v>0.125</c:v>
              </c:pt>
              <c:pt idx="8">
                <c:v>0.125</c:v>
              </c:pt>
              <c:pt idx="9">
                <c:v>0.125</c:v>
              </c:pt>
              <c:pt idx="10">
                <c:v>0.125</c:v>
              </c:pt>
              <c:pt idx="11">
                <c:v>0.125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55EF-4A9F-B8EF-7D9DF32C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67104"/>
        <c:axId val="112369024"/>
      </c:lineChart>
      <c:catAx>
        <c:axId val="1123671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690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2369024"/>
        <c:scaling>
          <c:orientation val="minMax"/>
          <c:max val="0.25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Resultaat (% v/d omzet)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6710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Werkelijk vs budget Océ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1.0985414926635</c:v>
              </c:pt>
              <c:pt idx="1">
                <c:v>1.18160047904151</c:v>
              </c:pt>
              <c:pt idx="2">
                <c:v>1.10079605406013</c:v>
              </c:pt>
              <c:pt idx="3">
                <c:v>1.12585977352438</c:v>
              </c:pt>
              <c:pt idx="4">
                <c:v>1.09768041651868</c:v>
              </c:pt>
              <c:pt idx="5">
                <c:v>1.13587301739532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DBB-4810-907C-AEBF5225FEED}"/>
            </c:ext>
          </c:extLst>
        </c:ser>
        <c:ser>
          <c:idx val="0"/>
          <c:order val="1"/>
          <c:tx>
            <c:v>Werkelijk vs Budget Shell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0.86660997302368303</c:v>
              </c:pt>
              <c:pt idx="1">
                <c:v>0.85610564845494896</c:v>
              </c:pt>
              <c:pt idx="2">
                <c:v>0.77735378823247803</c:v>
              </c:pt>
              <c:pt idx="3">
                <c:v>0.60124715605855705</c:v>
              </c:pt>
              <c:pt idx="4">
                <c:v>0.45231730184913899</c:v>
              </c:pt>
              <c:pt idx="5">
                <c:v>0.40841731730271402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DBB-4810-907C-AEBF5225F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89984"/>
        <c:axId val="112491904"/>
      </c:barChart>
      <c:lineChart>
        <c:grouping val="standard"/>
        <c:varyColors val="0"/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4DBB-4810-907C-AEBF5225F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89984"/>
        <c:axId val="112491904"/>
      </c:lineChart>
      <c:catAx>
        <c:axId val="11248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4919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2491904"/>
        <c:scaling>
          <c:orientation val="minMax"/>
          <c:max val="2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Werkelijke omzet vs budget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48998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Werkelijk vs budget totaal FM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1.0604980778189601</c:v>
              </c:pt>
              <c:pt idx="1">
                <c:v>1.12301003140141</c:v>
              </c:pt>
              <c:pt idx="2">
                <c:v>1.05060586810431</c:v>
              </c:pt>
              <c:pt idx="3">
                <c:v>1.04309006432674</c:v>
              </c:pt>
              <c:pt idx="4">
                <c:v>0.96006057933804101</c:v>
              </c:pt>
              <c:pt idx="5">
                <c:v>1.0259002712834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2B1-412D-BFD0-CD51FE10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395776"/>
        <c:axId val="112397696"/>
      </c:barChart>
      <c:lineChart>
        <c:grouping val="standard"/>
        <c:varyColors val="0"/>
        <c:ser>
          <c:idx val="4"/>
          <c:order val="1"/>
          <c:tx>
            <c:v>Werkelijk vs budget totaal FM cumulatief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1.0610353574325</c:v>
              </c:pt>
              <c:pt idx="1">
                <c:v>1.0724414278512699</c:v>
              </c:pt>
              <c:pt idx="2">
                <c:v>1.0685998490917299</c:v>
              </c:pt>
              <c:pt idx="3">
                <c:v>1.0647761870157899</c:v>
              </c:pt>
              <c:pt idx="4">
                <c:v>1.0541545817439799</c:v>
              </c:pt>
              <c:pt idx="5">
                <c:v>1.0508181930865801</c:v>
              </c:pt>
              <c:pt idx="6">
                <c:v>0.94224056550845803</c:v>
              </c:pt>
              <c:pt idx="7">
                <c:v>0.85227187972212404</c:v>
              </c:pt>
              <c:pt idx="8">
                <c:v>0.77839746620704997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22B1-412D-BFD0-CD51FE10D01D}"/>
            </c:ext>
          </c:extLst>
        </c:ser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22B1-412D-BFD0-CD51FE10D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395776"/>
        <c:axId val="112397696"/>
      </c:lineChart>
      <c:catAx>
        <c:axId val="112395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976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2397696"/>
        <c:scaling>
          <c:orientation val="minMax"/>
          <c:max val="1.25"/>
          <c:min val="0.75000000000000011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Werkelijke omzet vs budget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395776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Werkelijk vs budget totaal FM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1.7476170128744799</c:v>
              </c:pt>
              <c:pt idx="1">
                <c:v>2.0962788052986201</c:v>
              </c:pt>
              <c:pt idx="2">
                <c:v>1.1927245918393501</c:v>
              </c:pt>
              <c:pt idx="3">
                <c:v>1.1067023774721501</c:v>
              </c:pt>
              <c:pt idx="4">
                <c:v>1.2006349358669199</c:v>
              </c:pt>
              <c:pt idx="5">
                <c:v>1.1289107425385501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3965-4A9F-BFFB-CE1943E6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436736"/>
        <c:axId val="112438656"/>
      </c:barChart>
      <c:lineChart>
        <c:grouping val="standard"/>
        <c:varyColors val="0"/>
        <c:ser>
          <c:idx val="4"/>
          <c:order val="1"/>
          <c:tx>
            <c:v>Werkelijk vs budget totaal FM cumulatief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1.4826979143399599</c:v>
              </c:pt>
              <c:pt idx="1">
                <c:v>1.57780356483022</c:v>
              </c:pt>
              <c:pt idx="2">
                <c:v>1.50244686880067</c:v>
              </c:pt>
              <c:pt idx="3">
                <c:v>1.4383691540084</c:v>
              </c:pt>
              <c:pt idx="4">
                <c:v>1.4254700886680101</c:v>
              </c:pt>
              <c:pt idx="5">
                <c:v>1.38804573020669</c:v>
              </c:pt>
              <c:pt idx="6">
                <c:v>1.2424263599163301</c:v>
              </c:pt>
              <c:pt idx="7">
                <c:v>1.1203477028191799</c:v>
              </c:pt>
              <c:pt idx="8">
                <c:v>1.0244058918997501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3965-4A9F-BFFB-CE1943E631D1}"/>
            </c:ext>
          </c:extLst>
        </c:ser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3965-4A9F-BFFB-CE1943E63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36736"/>
        <c:axId val="112438656"/>
      </c:lineChart>
      <c:catAx>
        <c:axId val="11243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4386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243865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Werkelijk resultaat vs budget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436736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Kosten per uur uitzend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15.883712066106</c:v>
              </c:pt>
              <c:pt idx="1">
                <c:v>15.7874405364074</c:v>
              </c:pt>
              <c:pt idx="2">
                <c:v>15.517982351098899</c:v>
              </c:pt>
              <c:pt idx="3">
                <c:v>16.230197043998899</c:v>
              </c:pt>
              <c:pt idx="4">
                <c:v>16.044589826319701</c:v>
              </c:pt>
              <c:pt idx="5">
                <c:v>16.2252726033621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05A-4B07-84C1-56D57B839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027904"/>
        <c:axId val="112034176"/>
      </c:barChart>
      <c:lineChart>
        <c:grouping val="standard"/>
        <c:varyColors val="0"/>
        <c:ser>
          <c:idx val="0"/>
          <c:order val="1"/>
          <c:tx>
            <c:v>Kosten per uur uitzend gemiddeld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16.092022069819802</c:v>
              </c:pt>
              <c:pt idx="1">
                <c:v>16.035994775613599</c:v>
              </c:pt>
              <c:pt idx="2">
                <c:v>15.937455738752799</c:v>
              </c:pt>
              <c:pt idx="3">
                <c:v>15.9873639963023</c:v>
              </c:pt>
              <c:pt idx="4">
                <c:v>15.991832166632699</c:v>
              </c:pt>
              <c:pt idx="5">
                <c:v>16.020781770887101</c:v>
              </c:pt>
              <c:pt idx="6">
                <c:v>16.020781770887101</c:v>
              </c:pt>
              <c:pt idx="7">
                <c:v>16.020781770887101</c:v>
              </c:pt>
              <c:pt idx="8">
                <c:v>16.020781770887101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705A-4B07-84C1-56D57B839EFA}"/>
            </c:ext>
          </c:extLst>
        </c:ser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16.34</c:v>
              </c:pt>
              <c:pt idx="1">
                <c:v>16.34</c:v>
              </c:pt>
              <c:pt idx="2">
                <c:v>16.34</c:v>
              </c:pt>
              <c:pt idx="3">
                <c:v>16.34</c:v>
              </c:pt>
              <c:pt idx="4">
                <c:v>16.34</c:v>
              </c:pt>
              <c:pt idx="5">
                <c:v>16.34</c:v>
              </c:pt>
              <c:pt idx="6">
                <c:v>16.34</c:v>
              </c:pt>
              <c:pt idx="7">
                <c:v>16.34</c:v>
              </c:pt>
              <c:pt idx="8">
                <c:v>16.34</c:v>
              </c:pt>
              <c:pt idx="9">
                <c:v>16.34</c:v>
              </c:pt>
              <c:pt idx="10">
                <c:v>16.34</c:v>
              </c:pt>
              <c:pt idx="11">
                <c:v>16.34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705A-4B07-84C1-56D57B839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27904"/>
        <c:axId val="112034176"/>
      </c:lineChart>
      <c:catAx>
        <c:axId val="112027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0341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2034176"/>
        <c:scaling>
          <c:orientation val="minMax"/>
          <c:max val="20"/>
          <c:min val="14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Personeelskosten per uur (€)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[$€-2]\ #,##0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02790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Kosten per uur vast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16.736674371214999</c:v>
              </c:pt>
              <c:pt idx="1">
                <c:v>16.590674349514</c:v>
              </c:pt>
              <c:pt idx="2">
                <c:v>17.1085941884904</c:v>
              </c:pt>
              <c:pt idx="3">
                <c:v>16.474270803432699</c:v>
              </c:pt>
              <c:pt idx="4">
                <c:v>14.7212647346481</c:v>
              </c:pt>
              <c:pt idx="5">
                <c:v>17.183105941724801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779C-4F5C-8A1E-5D462F9D4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080384"/>
        <c:axId val="112082304"/>
      </c:barChart>
      <c:lineChart>
        <c:grouping val="standard"/>
        <c:varyColors val="0"/>
        <c:ser>
          <c:idx val="4"/>
          <c:order val="1"/>
          <c:tx>
            <c:v>Kosten per uur vast gemiddeld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16.822964818533201</c:v>
              </c:pt>
              <c:pt idx="1">
                <c:v>16.781404388418199</c:v>
              </c:pt>
              <c:pt idx="2">
                <c:v>16.838356476045799</c:v>
              </c:pt>
              <c:pt idx="3">
                <c:v>16.785392498395499</c:v>
              </c:pt>
              <c:pt idx="4">
                <c:v>16.613007670599298</c:v>
              </c:pt>
              <c:pt idx="5">
                <c:v>16.675458414568102</c:v>
              </c:pt>
              <c:pt idx="6">
                <c:v>16.675458414568102</c:v>
              </c:pt>
              <c:pt idx="7">
                <c:v>16.675458414568102</c:v>
              </c:pt>
              <c:pt idx="8">
                <c:v>16.675458414568102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779C-4F5C-8A1E-5D462F9D4C28}"/>
            </c:ext>
          </c:extLst>
        </c:ser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16.5</c:v>
              </c:pt>
              <c:pt idx="1">
                <c:v>16.5</c:v>
              </c:pt>
              <c:pt idx="2">
                <c:v>16.5</c:v>
              </c:pt>
              <c:pt idx="3">
                <c:v>16.5</c:v>
              </c:pt>
              <c:pt idx="4">
                <c:v>16.5</c:v>
              </c:pt>
              <c:pt idx="5">
                <c:v>16.5</c:v>
              </c:pt>
              <c:pt idx="6">
                <c:v>16.5</c:v>
              </c:pt>
              <c:pt idx="7">
                <c:v>16.5</c:v>
              </c:pt>
              <c:pt idx="8">
                <c:v>16.5</c:v>
              </c:pt>
              <c:pt idx="9">
                <c:v>16.5</c:v>
              </c:pt>
              <c:pt idx="10">
                <c:v>16.5</c:v>
              </c:pt>
              <c:pt idx="11">
                <c:v>16.5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779C-4F5C-8A1E-5D462F9D4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80384"/>
        <c:axId val="112082304"/>
      </c:lineChart>
      <c:catAx>
        <c:axId val="112080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08230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2082304"/>
        <c:scaling>
          <c:orientation val="minMax"/>
          <c:max val="20"/>
          <c:min val="14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Personeelskosten per uur (€)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[$€-2]\ #,##0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08038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 uitzenduren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0.32743867293129802</c:v>
              </c:pt>
              <c:pt idx="1">
                <c:v>0.35623650651039901</c:v>
              </c:pt>
              <c:pt idx="2">
                <c:v>0.374974958379099</c:v>
              </c:pt>
              <c:pt idx="3">
                <c:v>0.39859285307466702</c:v>
              </c:pt>
              <c:pt idx="4">
                <c:v>0.34452094158493302</c:v>
              </c:pt>
              <c:pt idx="5">
                <c:v>0.39281942977824702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475-4B7D-B9E8-A040F4728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117248"/>
        <c:axId val="112119168"/>
      </c:barChart>
      <c:lineChart>
        <c:grouping val="standard"/>
        <c:varyColors val="0"/>
        <c:ser>
          <c:idx val="1"/>
          <c:order val="1"/>
          <c:tx>
            <c:v>% uitzenduren gemiddeld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0.34850322951712798</c:v>
              </c:pt>
              <c:pt idx="1">
                <c:v>0.34990045252157598</c:v>
              </c:pt>
              <c:pt idx="2">
                <c:v>0.35440864616839102</c:v>
              </c:pt>
              <c:pt idx="3">
                <c:v>0.36123543236142203</c:v>
              </c:pt>
              <c:pt idx="4">
                <c:v>0.35987222015076797</c:v>
              </c:pt>
              <c:pt idx="5">
                <c:v>0.36365474228302103</c:v>
              </c:pt>
              <c:pt idx="6">
                <c:v>0.36365474228302103</c:v>
              </c:pt>
              <c:pt idx="7">
                <c:v>0.36365474228302103</c:v>
              </c:pt>
              <c:pt idx="8">
                <c:v>0.36365474228302103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F475-4B7D-B9E8-A040F472864A}"/>
            </c:ext>
          </c:extLst>
        </c:ser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0.3</c:v>
              </c:pt>
              <c:pt idx="1">
                <c:v>0.3</c:v>
              </c:pt>
              <c:pt idx="2">
                <c:v>0.3</c:v>
              </c:pt>
              <c:pt idx="3">
                <c:v>0.3</c:v>
              </c:pt>
              <c:pt idx="4">
                <c:v>0.3</c:v>
              </c:pt>
              <c:pt idx="5">
                <c:v>0.3</c:v>
              </c:pt>
              <c:pt idx="6">
                <c:v>0.3</c:v>
              </c:pt>
              <c:pt idx="7">
                <c:v>0.3</c:v>
              </c:pt>
              <c:pt idx="8">
                <c:v>0.3</c:v>
              </c:pt>
              <c:pt idx="9">
                <c:v>0.3</c:v>
              </c:pt>
              <c:pt idx="10">
                <c:v>0.3</c:v>
              </c:pt>
              <c:pt idx="11">
                <c:v>0.3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475-4B7D-B9E8-A040F4728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17248"/>
        <c:axId val="112119168"/>
      </c:lineChart>
      <c:catAx>
        <c:axId val="11211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11916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1211916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Uitzenduren (% van totale uren)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11724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v>Verbruik Electra laag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12285</c:v>
              </c:pt>
              <c:pt idx="1">
                <c:v>11319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514-4219-942D-92845EB05E39}"/>
            </c:ext>
          </c:extLst>
        </c:ser>
        <c:ser>
          <c:idx val="0"/>
          <c:order val="1"/>
          <c:tx>
            <c:v>Verbruik Electra hoog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24132</c:v>
              </c:pt>
              <c:pt idx="1">
                <c:v>21951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514-4219-942D-92845EB0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175360"/>
        <c:axId val="112185728"/>
      </c:barChart>
      <c:lineChart>
        <c:grouping val="standard"/>
        <c:varyColors val="0"/>
        <c:ser>
          <c:idx val="2"/>
          <c:order val="2"/>
          <c:tx>
            <c:v>% Verbruik laag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0.33734244995469098</c:v>
              </c:pt>
              <c:pt idx="1">
                <c:v>0.34021641118124402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A514-4219-942D-92845EB05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87648"/>
        <c:axId val="112197632"/>
      </c:lineChart>
      <c:catAx>
        <c:axId val="11217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18572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1218572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Verbruik electra (kWh)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175360"/>
        <c:crosses val="autoZero"/>
        <c:crossBetween val="between"/>
      </c:valAx>
      <c:catAx>
        <c:axId val="112187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2197632"/>
        <c:crosses val="autoZero"/>
        <c:auto val="0"/>
        <c:lblAlgn val="ctr"/>
        <c:lblOffset val="100"/>
        <c:noMultiLvlLbl val="0"/>
      </c:catAx>
      <c:valAx>
        <c:axId val="112197632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Verbruik laag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187648"/>
        <c:crosses val="max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v>Verbruik Water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C143-488A-8E89-AD22F8F73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36416"/>
        <c:axId val="112237952"/>
      </c:lineChart>
      <c:lineChart>
        <c:grouping val="standard"/>
        <c:varyColors val="0"/>
        <c:ser>
          <c:idx val="1"/>
          <c:order val="0"/>
          <c:tx>
            <c:v>Verbruik Gas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C143-488A-8E89-AD22F8F73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40128"/>
        <c:axId val="112242048"/>
      </c:lineChart>
      <c:catAx>
        <c:axId val="112236416"/>
        <c:scaling>
          <c:orientation val="minMax"/>
        </c:scaling>
        <c:delete val="1"/>
        <c:axPos val="b"/>
        <c:majorTickMark val="out"/>
        <c:minorTickMark val="none"/>
        <c:tickLblPos val="none"/>
        <c:crossAx val="112237952"/>
        <c:crosses val="autoZero"/>
        <c:auto val="0"/>
        <c:lblAlgn val="ctr"/>
        <c:lblOffset val="100"/>
        <c:noMultiLvlLbl val="0"/>
      </c:catAx>
      <c:valAx>
        <c:axId val="112237952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Verbruik Water (m3)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236416"/>
        <c:crosses val="max"/>
        <c:crossBetween val="between"/>
      </c:valAx>
      <c:catAx>
        <c:axId val="112240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1224204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224204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Verbruik Gas (m3)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24012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0"/>
          <c:tx>
            <c:v>Aantal incidenten/schades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4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556-4EF6-8631-0BDD4EA0C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258432"/>
        <c:axId val="113194496"/>
      </c:barChart>
      <c:catAx>
        <c:axId val="1122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1944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19449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Aantal incidenten met schade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2258432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2"/>
          <c:order val="1"/>
          <c:tx>
            <c:v>Totale kosten FM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444.7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79A-4571-8B4D-D3BC8DB0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16896"/>
        <c:axId val="113230976"/>
      </c:lineChart>
      <c:lineChart>
        <c:grouping val="standard"/>
        <c:varyColors val="0"/>
        <c:ser>
          <c:idx val="1"/>
          <c:order val="0"/>
          <c:tx>
            <c:v>Totaal schadebedrag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444.7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479A-4571-8B4D-D3BC8DB0A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32512"/>
        <c:axId val="113234688"/>
      </c:lineChart>
      <c:catAx>
        <c:axId val="113216896"/>
        <c:scaling>
          <c:orientation val="minMax"/>
        </c:scaling>
        <c:delete val="1"/>
        <c:axPos val="b"/>
        <c:majorTickMark val="out"/>
        <c:minorTickMark val="none"/>
        <c:tickLblPos val="none"/>
        <c:crossAx val="113230976"/>
        <c:crosses val="autoZero"/>
        <c:auto val="0"/>
        <c:lblAlgn val="ctr"/>
        <c:lblOffset val="100"/>
        <c:noMultiLvlLbl val="0"/>
      </c:catAx>
      <c:valAx>
        <c:axId val="113230976"/>
        <c:scaling>
          <c:orientation val="minMax"/>
          <c:min val="0"/>
        </c:scaling>
        <c:delete val="1"/>
        <c:axPos val="r"/>
        <c:numFmt formatCode="General" sourceLinked="1"/>
        <c:majorTickMark val="out"/>
        <c:minorTickMark val="none"/>
        <c:tickLblPos val="none"/>
        <c:crossAx val="113216896"/>
        <c:crosses val="max"/>
        <c:crossBetween val="between"/>
      </c:valAx>
      <c:catAx>
        <c:axId val="11323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0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11323468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1323468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Schadebedragen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[$€-2]\ #,##0_-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32512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Afboekingen</c:v>
          </c:tx>
          <c:spPr>
            <a:noFill/>
            <a:ln w="25400">
              <a:noFill/>
            </a:ln>
          </c:spPr>
          <c:invertIfNegative val="0"/>
          <c:cat>
            <c:strLit>
              <c:ptCount val="13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  <c:pt idx="12">
                <c:v>Totaal</c:v>
              </c:pt>
            </c:strLit>
          </c:cat>
          <c:val>
            <c:numLit>
              <c:formatCode>General</c:formatCode>
              <c:ptCount val="13"/>
              <c:pt idx="0">
                <c:v>0</c:v>
              </c:pt>
              <c:pt idx="1">
                <c:v>709.1</c:v>
              </c:pt>
              <c:pt idx="2">
                <c:v>5243.13</c:v>
              </c:pt>
              <c:pt idx="3">
                <c:v>789.85999999999899</c:v>
              </c:pt>
              <c:pt idx="4">
                <c:v>79.8</c:v>
              </c:pt>
              <c:pt idx="5">
                <c:v>1018.12</c:v>
              </c:pt>
              <c:pt idx="6">
                <c:v>4770.6400000000003</c:v>
              </c:pt>
              <c:pt idx="7">
                <c:v>9570.51</c:v>
              </c:pt>
              <c:pt idx="8">
                <c:v>4407.1099999999997</c:v>
              </c:pt>
              <c:pt idx="9">
                <c:v>4.88</c:v>
              </c:pt>
              <c:pt idx="10">
                <c:v>0</c:v>
              </c:pt>
              <c:pt idx="11">
                <c:v>785</c:v>
              </c:pt>
              <c:pt idx="12">
                <c:v>27378.15</c:v>
              </c:pt>
            </c:numLit>
          </c:val>
          <c:extLst>
            <c:ext xmlns:c16="http://schemas.microsoft.com/office/drawing/2014/chart" uri="{C3380CC4-5D6E-409C-BE32-E72D297353CC}">
              <c16:uniqueId val="{00000000-F6C5-4CEE-A043-A9453CF0172B}"/>
            </c:ext>
          </c:extLst>
        </c:ser>
        <c:ser>
          <c:idx val="1"/>
          <c:order val="1"/>
          <c:tx>
            <c:v>Bijboekingen</c:v>
          </c:tx>
          <c:spPr>
            <a:noFill/>
            <a:ln w="25400">
              <a:noFill/>
            </a:ln>
          </c:spPr>
          <c:invertIfNegative val="0"/>
          <c:cat>
            <c:strLit>
              <c:ptCount val="13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  <c:pt idx="12">
                <c:v>Totaal</c:v>
              </c:pt>
            </c:strLit>
          </c:cat>
          <c:val>
            <c:numLit>
              <c:formatCode>General</c:formatCode>
              <c:ptCount val="13"/>
              <c:pt idx="0">
                <c:v>1403.4</c:v>
              </c:pt>
              <c:pt idx="1">
                <c:v>10635.32</c:v>
              </c:pt>
              <c:pt idx="2">
                <c:v>519.64</c:v>
              </c:pt>
              <c:pt idx="3">
                <c:v>95.2</c:v>
              </c:pt>
              <c:pt idx="4">
                <c:v>539</c:v>
              </c:pt>
              <c:pt idx="5">
                <c:v>4542.0600000000004</c:v>
              </c:pt>
              <c:pt idx="6">
                <c:v>10850.13</c:v>
              </c:pt>
              <c:pt idx="7">
                <c:v>9594.75</c:v>
              </c:pt>
              <c:pt idx="8">
                <c:v>0</c:v>
              </c:pt>
              <c:pt idx="9">
                <c:v>938.88</c:v>
              </c:pt>
              <c:pt idx="10">
                <c:v>10847.72</c:v>
              </c:pt>
              <c:pt idx="11">
                <c:v>566.79999999999905</c:v>
              </c:pt>
              <c:pt idx="12">
                <c:v>50532.9</c:v>
              </c:pt>
            </c:numLit>
          </c:val>
          <c:extLst>
            <c:ext xmlns:c16="http://schemas.microsoft.com/office/drawing/2014/chart" uri="{C3380CC4-5D6E-409C-BE32-E72D297353CC}">
              <c16:uniqueId val="{00000001-F6C5-4CEE-A043-A9453CF0172B}"/>
            </c:ext>
          </c:extLst>
        </c:ser>
        <c:ser>
          <c:idx val="2"/>
          <c:order val="2"/>
          <c:tx>
            <c:v>Saldo verschil</c:v>
          </c:tx>
          <c:spPr>
            <a:noFill/>
            <a:ln w="25400">
              <a:noFill/>
            </a:ln>
          </c:spPr>
          <c:invertIfNegative val="0"/>
          <c:cat>
            <c:strLit>
              <c:ptCount val="13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  <c:pt idx="12">
                <c:v>Totaal</c:v>
              </c:pt>
            </c:strLit>
          </c:cat>
          <c:val>
            <c:numLit>
              <c:formatCode>General</c:formatCode>
              <c:ptCount val="13"/>
              <c:pt idx="0">
                <c:v>1403.4</c:v>
              </c:pt>
              <c:pt idx="1">
                <c:v>9926.2199999999903</c:v>
              </c:pt>
              <c:pt idx="2">
                <c:v>-4723.49</c:v>
              </c:pt>
              <c:pt idx="3">
                <c:v>-694.66</c:v>
              </c:pt>
              <c:pt idx="4">
                <c:v>459.2</c:v>
              </c:pt>
              <c:pt idx="5">
                <c:v>3523.94</c:v>
              </c:pt>
              <c:pt idx="6">
                <c:v>6079.49</c:v>
              </c:pt>
              <c:pt idx="7">
                <c:v>24.2399999999997</c:v>
              </c:pt>
              <c:pt idx="8">
                <c:v>-4407.1099999999997</c:v>
              </c:pt>
              <c:pt idx="9">
                <c:v>934</c:v>
              </c:pt>
              <c:pt idx="10">
                <c:v>10847.72</c:v>
              </c:pt>
              <c:pt idx="11">
                <c:v>-218.2</c:v>
              </c:pt>
              <c:pt idx="12">
                <c:v>23154.749999999902</c:v>
              </c:pt>
            </c:numLit>
          </c:val>
          <c:extLst>
            <c:ext xmlns:c16="http://schemas.microsoft.com/office/drawing/2014/chart" uri="{C3380CC4-5D6E-409C-BE32-E72D297353CC}">
              <c16:uniqueId val="{00000002-F6C5-4CEE-A043-A9453CF0172B}"/>
            </c:ext>
          </c:extLst>
        </c:ser>
        <c:ser>
          <c:idx val="3"/>
          <c:order val="3"/>
          <c:tx>
            <c:v>Absoluut verschil</c:v>
          </c:tx>
          <c:spPr>
            <a:noFill/>
            <a:ln w="25400">
              <a:noFill/>
            </a:ln>
          </c:spPr>
          <c:invertIfNegative val="0"/>
          <c:val>
            <c:numLit>
              <c:formatCode>General</c:formatCode>
              <c:ptCount val="13"/>
              <c:pt idx="0">
                <c:v>1403.4</c:v>
              </c:pt>
              <c:pt idx="1">
                <c:v>11344.42</c:v>
              </c:pt>
              <c:pt idx="2">
                <c:v>5762.7699999999904</c:v>
              </c:pt>
              <c:pt idx="3">
                <c:v>885.06</c:v>
              </c:pt>
              <c:pt idx="4">
                <c:v>618.79999999999905</c:v>
              </c:pt>
              <c:pt idx="5">
                <c:v>5560.18</c:v>
              </c:pt>
              <c:pt idx="6">
                <c:v>15620.77</c:v>
              </c:pt>
              <c:pt idx="7">
                <c:v>19165.259999999998</c:v>
              </c:pt>
              <c:pt idx="8">
                <c:v>4407.1099999999997</c:v>
              </c:pt>
              <c:pt idx="9">
                <c:v>943.76</c:v>
              </c:pt>
              <c:pt idx="10">
                <c:v>10847.72</c:v>
              </c:pt>
              <c:pt idx="11">
                <c:v>1351.8</c:v>
              </c:pt>
              <c:pt idx="12">
                <c:v>77911.05</c:v>
              </c:pt>
            </c:numLit>
          </c:val>
          <c:extLst>
            <c:ext xmlns:c16="http://schemas.microsoft.com/office/drawing/2014/chart" uri="{C3380CC4-5D6E-409C-BE32-E72D297353CC}">
              <c16:uniqueId val="{00000003-F6C5-4CEE-A043-A9453CF0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65664"/>
        <c:axId val="113275648"/>
      </c:barChart>
      <c:catAx>
        <c:axId val="11326566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113275648"/>
        <c:crosses val="autoZero"/>
        <c:auto val="1"/>
        <c:lblAlgn val="ctr"/>
        <c:lblOffset val="100"/>
        <c:noMultiLvlLbl val="0"/>
      </c:catAx>
      <c:valAx>
        <c:axId val="11327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113265664"/>
        <c:crosses val="autoZero"/>
        <c:crossBetween val="between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Tijdigheid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B20-4F5F-B5C8-0A002654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290624"/>
        <c:axId val="113325568"/>
      </c:barChart>
      <c:lineChart>
        <c:grouping val="standard"/>
        <c:varyColors val="0"/>
        <c:ser>
          <c:idx val="1"/>
          <c:order val="1"/>
          <c:tx>
            <c:v>Tijdigheid cumulatief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1-DB20-4F5F-B5C8-0A0026545E28}"/>
            </c:ext>
          </c:extLst>
        </c:ser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0.97499999999999998</c:v>
              </c:pt>
              <c:pt idx="1">
                <c:v>0.97499999999999998</c:v>
              </c:pt>
              <c:pt idx="2">
                <c:v>0.97499999999999998</c:v>
              </c:pt>
              <c:pt idx="3">
                <c:v>0.97499999999999998</c:v>
              </c:pt>
              <c:pt idx="4">
                <c:v>0.97499999999999998</c:v>
              </c:pt>
              <c:pt idx="5">
                <c:v>0.97499999999999998</c:v>
              </c:pt>
              <c:pt idx="6">
                <c:v>0.97499999999999998</c:v>
              </c:pt>
              <c:pt idx="7">
                <c:v>0.97499999999999998</c:v>
              </c:pt>
              <c:pt idx="8">
                <c:v>0.97499999999999998</c:v>
              </c:pt>
              <c:pt idx="9">
                <c:v>0.97499999999999998</c:v>
              </c:pt>
              <c:pt idx="10">
                <c:v>0.97499999999999998</c:v>
              </c:pt>
              <c:pt idx="11">
                <c:v>0.97499999999999998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B20-4F5F-B5C8-0A0026545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90624"/>
        <c:axId val="113325568"/>
      </c:lineChart>
      <c:catAx>
        <c:axId val="11329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325568"/>
        <c:crosses val="autoZero"/>
        <c:auto val="0"/>
        <c:lblAlgn val="ctr"/>
        <c:lblOffset val="100"/>
        <c:tickLblSkip val="2"/>
        <c:tickMarkSkip val="1"/>
        <c:noMultiLvlLbl val="0"/>
      </c:catAx>
      <c:valAx>
        <c:axId val="113325568"/>
        <c:scaling>
          <c:orientation val="minMax"/>
          <c:max val="1"/>
          <c:min val="0.95000000000000007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Tijdigheid leveringen 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29062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F2">
                <a:gamma/>
                <a:tint val="25490"/>
                <a:invGamma/>
              </a:srgbClr>
            </a:gs>
          </a:gsLst>
          <a:lin ang="5400000" scaled="1"/>
        </a:gra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v>ALB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11466</c:v>
              </c:pt>
              <c:pt idx="1">
                <c:v>12854</c:v>
              </c:pt>
              <c:pt idx="2">
                <c:v>16982</c:v>
              </c:pt>
              <c:pt idx="3">
                <c:v>15585</c:v>
              </c:pt>
              <c:pt idx="4">
                <c:v>5451</c:v>
              </c:pt>
              <c:pt idx="5">
                <c:v>16773</c:v>
              </c:pt>
              <c:pt idx="6">
                <c:v>14968</c:v>
              </c:pt>
              <c:pt idx="7">
                <c:v>13560</c:v>
              </c:pt>
              <c:pt idx="8">
                <c:v>12011</c:v>
              </c:pt>
              <c:pt idx="9">
                <c:v>12187</c:v>
              </c:pt>
              <c:pt idx="10">
                <c:v>9470</c:v>
              </c:pt>
              <c:pt idx="11">
                <c:v>11820</c:v>
              </c:pt>
            </c:numLit>
          </c:val>
          <c:extLst>
            <c:ext xmlns:c16="http://schemas.microsoft.com/office/drawing/2014/chart" uri="{C3380CC4-5D6E-409C-BE32-E72D297353CC}">
              <c16:uniqueId val="{00000000-1E8C-436B-82F1-AAD9581C770C}"/>
            </c:ext>
          </c:extLst>
        </c:ser>
        <c:ser>
          <c:idx val="2"/>
          <c:order val="1"/>
          <c:tx>
            <c:v>HLB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3211</c:v>
              </c:pt>
              <c:pt idx="1">
                <c:v>3260</c:v>
              </c:pt>
              <c:pt idx="2">
                <c:v>4009</c:v>
              </c:pt>
              <c:pt idx="3">
                <c:v>4504</c:v>
              </c:pt>
              <c:pt idx="4">
                <c:v>2424</c:v>
              </c:pt>
              <c:pt idx="5">
                <c:v>4425</c:v>
              </c:pt>
              <c:pt idx="6">
                <c:v>3295</c:v>
              </c:pt>
              <c:pt idx="7">
                <c:v>3882</c:v>
              </c:pt>
              <c:pt idx="8">
                <c:v>3272</c:v>
              </c:pt>
              <c:pt idx="9">
                <c:v>2981</c:v>
              </c:pt>
              <c:pt idx="10">
                <c:v>2292</c:v>
              </c:pt>
              <c:pt idx="11">
                <c:v>3066</c:v>
              </c:pt>
            </c:numLit>
          </c:val>
          <c:extLst>
            <c:ext xmlns:c16="http://schemas.microsoft.com/office/drawing/2014/chart" uri="{C3380CC4-5D6E-409C-BE32-E72D297353CC}">
              <c16:uniqueId val="{00000001-1E8C-436B-82F1-AAD9581C7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363584"/>
        <c:axId val="113365760"/>
      </c:barChart>
      <c:catAx>
        <c:axId val="113363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365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365760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Uitslag (leveringen)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36358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4"/>
          <c:order val="0"/>
          <c:tx>
            <c:v>HLB Spoed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367</c:v>
              </c:pt>
              <c:pt idx="1">
                <c:v>397</c:v>
              </c:pt>
              <c:pt idx="2">
                <c:v>457</c:v>
              </c:pt>
              <c:pt idx="3">
                <c:v>481</c:v>
              </c:pt>
              <c:pt idx="4">
                <c:v>150</c:v>
              </c:pt>
              <c:pt idx="5">
                <c:v>346</c:v>
              </c:pt>
              <c:pt idx="6">
                <c:v>365</c:v>
              </c:pt>
              <c:pt idx="7">
                <c:v>146</c:v>
              </c:pt>
              <c:pt idx="8">
                <c:v>35</c:v>
              </c:pt>
              <c:pt idx="9">
                <c:v>16</c:v>
              </c:pt>
              <c:pt idx="10">
                <c:v>8</c:v>
              </c:pt>
              <c:pt idx="11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6882-49DE-9CA5-2C06CAC03458}"/>
            </c:ext>
          </c:extLst>
        </c:ser>
        <c:ser>
          <c:idx val="2"/>
          <c:order val="1"/>
          <c:tx>
            <c:v>OL Spoed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14</c:v>
              </c:pt>
              <c:pt idx="1">
                <c:v>29</c:v>
              </c:pt>
              <c:pt idx="2">
                <c:v>4</c:v>
              </c:pt>
              <c:pt idx="3">
                <c:v>1</c:v>
              </c:pt>
              <c:pt idx="4">
                <c:v>5</c:v>
              </c:pt>
              <c:pt idx="5">
                <c:v>6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882-49DE-9CA5-2C06CAC03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018752"/>
        <c:axId val="113041408"/>
      </c:barChart>
      <c:catAx>
        <c:axId val="11301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0414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04140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Uitslag (leveringen)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018752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HLB Spoed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0</c:v>
              </c:pt>
              <c:pt idx="1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4343-4BA0-A39C-A8EB2FDFB7E1}"/>
            </c:ext>
          </c:extLst>
        </c:ser>
        <c:ser>
          <c:idx val="1"/>
          <c:order val="1"/>
          <c:tx>
            <c:v>OL Spoed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1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4343-4BA0-A39C-A8EB2FDF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076864"/>
        <c:axId val="113087232"/>
      </c:barChart>
      <c:lineChart>
        <c:grouping val="standard"/>
        <c:varyColors val="0"/>
        <c:ser>
          <c:idx val="3"/>
          <c:order val="2"/>
          <c:tx>
            <c:v>Cumulatief HLB Spoed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4343-4BA0-A39C-A8EB2FDFB7E1}"/>
            </c:ext>
          </c:extLst>
        </c:ser>
        <c:ser>
          <c:idx val="4"/>
          <c:order val="3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0.96</c:v>
              </c:pt>
              <c:pt idx="1">
                <c:v>0.96</c:v>
              </c:pt>
              <c:pt idx="2">
                <c:v>0.96</c:v>
              </c:pt>
              <c:pt idx="3">
                <c:v>0.96</c:v>
              </c:pt>
              <c:pt idx="4">
                <c:v>0.96</c:v>
              </c:pt>
              <c:pt idx="5">
                <c:v>0.96</c:v>
              </c:pt>
              <c:pt idx="6">
                <c:v>0.96</c:v>
              </c:pt>
              <c:pt idx="7">
                <c:v>0.96</c:v>
              </c:pt>
              <c:pt idx="8">
                <c:v>0.96</c:v>
              </c:pt>
              <c:pt idx="9">
                <c:v>0.96</c:v>
              </c:pt>
              <c:pt idx="10">
                <c:v>0.96</c:v>
              </c:pt>
              <c:pt idx="11">
                <c:v>0.96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4343-4BA0-A39C-A8EB2FDFB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76864"/>
        <c:axId val="113087232"/>
      </c:lineChart>
      <c:catAx>
        <c:axId val="113076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08723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087232"/>
        <c:scaling>
          <c:orientation val="minMax"/>
          <c:max val="1"/>
          <c:min val="0.30000000000000004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Tijdigheid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076864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HLB Spoed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0.89451476793248896</c:v>
              </c:pt>
              <c:pt idx="1">
                <c:v>0.82747603833865802</c:v>
              </c:pt>
              <c:pt idx="2">
                <c:v>0.85209003215434098</c:v>
              </c:pt>
              <c:pt idx="3">
                <c:v>0.87598944591029004</c:v>
              </c:pt>
              <c:pt idx="4">
                <c:v>0.89285714285714202</c:v>
              </c:pt>
              <c:pt idx="5">
                <c:v>0.84897959183673399</c:v>
              </c:pt>
              <c:pt idx="6">
                <c:v>0.73076923076922995</c:v>
              </c:pt>
              <c:pt idx="7">
                <c:v>0.77669902912621303</c:v>
              </c:pt>
              <c:pt idx="8">
                <c:v>1</c:v>
              </c:pt>
              <c:pt idx="9">
                <c:v>0.6</c:v>
              </c:pt>
              <c:pt idx="10">
                <c:v>0.85714285714285698</c:v>
              </c:pt>
              <c:pt idx="1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DFC-497D-B34B-E706E29F1806}"/>
            </c:ext>
          </c:extLst>
        </c:ser>
        <c:ser>
          <c:idx val="1"/>
          <c:order val="1"/>
          <c:tx>
            <c:v>OL Spoed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0.5</c:v>
              </c:pt>
              <c:pt idx="1">
                <c:v>1</c:v>
              </c:pt>
              <c:pt idx="2">
                <c:v>0.66666666666666596</c:v>
              </c:pt>
              <c:pt idx="3">
                <c:v>0</c:v>
              </c:pt>
              <c:pt idx="4">
                <c:v>1</c:v>
              </c:pt>
              <c:pt idx="5">
                <c:v>0.66666666666666596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DFC-497D-B34B-E706E29F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110400"/>
        <c:axId val="113649152"/>
      </c:barChart>
      <c:lineChart>
        <c:grouping val="standard"/>
        <c:varyColors val="0"/>
        <c:ser>
          <c:idx val="3"/>
          <c:order val="2"/>
          <c:tx>
            <c:v>Cumulatief HLB Spoed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0.82803374432186805</c:v>
              </c:pt>
              <c:pt idx="1">
                <c:v>0.82793959007551199</c:v>
              </c:pt>
              <c:pt idx="2">
                <c:v>0.83140877598152396</c:v>
              </c:pt>
              <c:pt idx="3">
                <c:v>0.83805031446540801</c:v>
              </c:pt>
              <c:pt idx="4">
                <c:v>0.84036144578313199</c:v>
              </c:pt>
              <c:pt idx="5">
                <c:v>0.841089279558773</c:v>
              </c:pt>
              <c:pt idx="6">
                <c:v>0.83285486443381096</c:v>
              </c:pt>
              <c:pt idx="7">
                <c:v>0.83106856084002401</c:v>
              </c:pt>
              <c:pt idx="8">
                <c:v>0.83226004293161504</c:v>
              </c:pt>
              <c:pt idx="9">
                <c:v>0.6</c:v>
              </c:pt>
              <c:pt idx="10">
                <c:v>0.70588235294117596</c:v>
              </c:pt>
              <c:pt idx="11">
                <c:v>0.81481481481481399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9DFC-497D-B34B-E706E29F1806}"/>
            </c:ext>
          </c:extLst>
        </c:ser>
        <c:ser>
          <c:idx val="4"/>
          <c:order val="3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0.96</c:v>
              </c:pt>
              <c:pt idx="1">
                <c:v>0.96</c:v>
              </c:pt>
              <c:pt idx="2">
                <c:v>0.96</c:v>
              </c:pt>
              <c:pt idx="3">
                <c:v>0.96</c:v>
              </c:pt>
              <c:pt idx="4">
                <c:v>0.96</c:v>
              </c:pt>
              <c:pt idx="5">
                <c:v>0.96</c:v>
              </c:pt>
              <c:pt idx="6">
                <c:v>0.96</c:v>
              </c:pt>
              <c:pt idx="7">
                <c:v>0.96</c:v>
              </c:pt>
              <c:pt idx="8">
                <c:v>0.96</c:v>
              </c:pt>
              <c:pt idx="9">
                <c:v>0.96</c:v>
              </c:pt>
              <c:pt idx="10">
                <c:v>0.96</c:v>
              </c:pt>
              <c:pt idx="11">
                <c:v>0.96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DFC-497D-B34B-E706E29F1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110400"/>
        <c:axId val="113649152"/>
      </c:lineChart>
      <c:catAx>
        <c:axId val="113110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6491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649152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Tijdigheid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110400"/>
        <c:crosses val="autoZero"/>
        <c:crossBetween val="between"/>
        <c:majorUnit val="0.2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HLB Spoed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0.96666666666666601</c:v>
              </c:pt>
              <c:pt idx="1">
                <c:v>0.94736842105263097</c:v>
              </c:pt>
              <c:pt idx="2">
                <c:v>0.87155963302752304</c:v>
              </c:pt>
              <c:pt idx="3">
                <c:v>0.84883720930232498</c:v>
              </c:pt>
              <c:pt idx="4">
                <c:v>0.97222222222222199</c:v>
              </c:pt>
              <c:pt idx="5">
                <c:v>0.91954022988505701</c:v>
              </c:pt>
              <c:pt idx="6">
                <c:v>0.875</c:v>
              </c:pt>
              <c:pt idx="7">
                <c:v>0.84375</c:v>
              </c:pt>
              <c:pt idx="8">
                <c:v>1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EBE5-48B7-9AF6-AAF7346C6D62}"/>
            </c:ext>
          </c:extLst>
        </c:ser>
        <c:ser>
          <c:idx val="1"/>
          <c:order val="1"/>
          <c:tx>
            <c:v>OL Spoed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0</c:v>
              </c:pt>
              <c:pt idx="1">
                <c:v>0.5</c:v>
              </c:pt>
              <c:pt idx="2">
                <c:v>0</c:v>
              </c:pt>
              <c:pt idx="3">
                <c:v>0</c:v>
              </c:pt>
              <c:pt idx="4">
                <c:v>1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BE5-48B7-9AF6-AAF7346C6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688960"/>
        <c:axId val="113690880"/>
      </c:barChart>
      <c:lineChart>
        <c:grouping val="standard"/>
        <c:varyColors val="0"/>
        <c:ser>
          <c:idx val="3"/>
          <c:order val="2"/>
          <c:tx>
            <c:v>Cumulatief HLB Spoed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0.93824228028503498</c:v>
              </c:pt>
              <c:pt idx="1">
                <c:v>0.93963782696177001</c:v>
              </c:pt>
              <c:pt idx="2">
                <c:v>0.92739273927392696</c:v>
              </c:pt>
              <c:pt idx="3">
                <c:v>0.91763005780346796</c:v>
              </c:pt>
              <c:pt idx="4">
                <c:v>0.92032967032966995</c:v>
              </c:pt>
              <c:pt idx="5">
                <c:v>0.92024539877300604</c:v>
              </c:pt>
              <c:pt idx="6">
                <c:v>0.91477885652642899</c:v>
              </c:pt>
              <c:pt idx="7">
                <c:v>0.91240875912408703</c:v>
              </c:pt>
              <c:pt idx="8">
                <c:v>0.91249999999999898</c:v>
              </c:pt>
              <c:pt idx="9">
                <c:v>0</c:v>
              </c:pt>
              <c:pt idx="10">
                <c:v>1</c:v>
              </c:pt>
              <c:pt idx="11">
                <c:v>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EBE5-48B7-9AF6-AAF7346C6D62}"/>
            </c:ext>
          </c:extLst>
        </c:ser>
        <c:ser>
          <c:idx val="4"/>
          <c:order val="3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0.96</c:v>
              </c:pt>
              <c:pt idx="1">
                <c:v>0.96</c:v>
              </c:pt>
              <c:pt idx="2">
                <c:v>0.96</c:v>
              </c:pt>
              <c:pt idx="3">
                <c:v>0.96</c:v>
              </c:pt>
              <c:pt idx="4">
                <c:v>0.96</c:v>
              </c:pt>
              <c:pt idx="5">
                <c:v>0.96</c:v>
              </c:pt>
              <c:pt idx="6">
                <c:v>0.96</c:v>
              </c:pt>
              <c:pt idx="7">
                <c:v>0.96</c:v>
              </c:pt>
              <c:pt idx="8">
                <c:v>0.96</c:v>
              </c:pt>
              <c:pt idx="9">
                <c:v>0.96</c:v>
              </c:pt>
              <c:pt idx="10">
                <c:v>0.96</c:v>
              </c:pt>
              <c:pt idx="11">
                <c:v>0.96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EBE5-48B7-9AF6-AAF7346C6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688960"/>
        <c:axId val="113690880"/>
      </c:lineChart>
      <c:catAx>
        <c:axId val="113688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69088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690880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Tijdigheid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688960"/>
        <c:crosses val="autoZero"/>
        <c:crossBetween val="between"/>
        <c:majorUnit val="0.2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HLB Spoed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0.96296296296296202</c:v>
              </c:pt>
              <c:pt idx="1">
                <c:v>0.82758620689655105</c:v>
              </c:pt>
              <c:pt idx="2">
                <c:v>0.65</c:v>
              </c:pt>
              <c:pt idx="3">
                <c:v>0.66666666666666596</c:v>
              </c:pt>
              <c:pt idx="4">
                <c:v>0.8</c:v>
              </c:pt>
              <c:pt idx="5">
                <c:v>0.75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94F1-44A2-BCA6-857C9CA937C3}"/>
            </c:ext>
          </c:extLst>
        </c:ser>
        <c:ser>
          <c:idx val="1"/>
          <c:order val="1"/>
          <c:tx>
            <c:v>OL Spoed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val>
            <c:numLit>
              <c:formatCode>General</c:formatCode>
              <c:ptCount val="12"/>
              <c:pt idx="0">
                <c:v>0.5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94F1-44A2-BCA6-857C9CA9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476736"/>
        <c:axId val="113478656"/>
      </c:barChart>
      <c:lineChart>
        <c:grouping val="standard"/>
        <c:varyColors val="0"/>
        <c:ser>
          <c:idx val="3"/>
          <c:order val="2"/>
          <c:tx>
            <c:v>Cumulatief HLB Spoed</c:v>
          </c:tx>
          <c:spPr>
            <a:ln w="25400">
              <a:solidFill>
                <a:srgbClr val="0066CC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0.930894308943089</c:v>
              </c:pt>
              <c:pt idx="1">
                <c:v>0.91118421052631504</c:v>
              </c:pt>
              <c:pt idx="2">
                <c:v>0.89506172839506104</c:v>
              </c:pt>
              <c:pt idx="3">
                <c:v>0.88690476190476097</c:v>
              </c:pt>
              <c:pt idx="4">
                <c:v>0.885630498533724</c:v>
              </c:pt>
              <c:pt idx="5">
                <c:v>0.87671232876712302</c:v>
              </c:pt>
              <c:pt idx="6">
                <c:v>0.87967914438502604</c:v>
              </c:pt>
              <c:pt idx="7">
                <c:v>0.88250652741514302</c:v>
              </c:pt>
              <c:pt idx="8">
                <c:v>0.88311688311688297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2-94F1-44A2-BCA6-857C9CA937C3}"/>
            </c:ext>
          </c:extLst>
        </c:ser>
        <c:ser>
          <c:idx val="4"/>
          <c:order val="3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0.96</c:v>
              </c:pt>
              <c:pt idx="1">
                <c:v>0.96</c:v>
              </c:pt>
              <c:pt idx="2">
                <c:v>0.96</c:v>
              </c:pt>
              <c:pt idx="3">
                <c:v>0.96</c:v>
              </c:pt>
              <c:pt idx="4">
                <c:v>0.96</c:v>
              </c:pt>
              <c:pt idx="5">
                <c:v>0.96</c:v>
              </c:pt>
              <c:pt idx="6">
                <c:v>0.96</c:v>
              </c:pt>
              <c:pt idx="7">
                <c:v>0.96</c:v>
              </c:pt>
              <c:pt idx="8">
                <c:v>0.96</c:v>
              </c:pt>
              <c:pt idx="9">
                <c:v>0.96</c:v>
              </c:pt>
              <c:pt idx="10">
                <c:v>0.96</c:v>
              </c:pt>
              <c:pt idx="11">
                <c:v>0.96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4F1-44A2-BCA6-857C9CA93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76736"/>
        <c:axId val="113478656"/>
      </c:lineChart>
      <c:catAx>
        <c:axId val="113476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4786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47865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Tijdigheid (%)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476736"/>
        <c:crosses val="autoZero"/>
        <c:crossBetween val="between"/>
        <c:majorUnit val="0.2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ALB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693</c:v>
              </c:pt>
              <c:pt idx="1">
                <c:v>560</c:v>
              </c:pt>
              <c:pt idx="2">
                <c:v>1056</c:v>
              </c:pt>
              <c:pt idx="3">
                <c:v>822</c:v>
              </c:pt>
              <c:pt idx="4">
                <c:v>397</c:v>
              </c:pt>
              <c:pt idx="5">
                <c:v>1158</c:v>
              </c:pt>
              <c:pt idx="6">
                <c:v>1156</c:v>
              </c:pt>
              <c:pt idx="7">
                <c:v>931</c:v>
              </c:pt>
              <c:pt idx="8">
                <c:v>999</c:v>
              </c:pt>
              <c:pt idx="9">
                <c:v>1049</c:v>
              </c:pt>
              <c:pt idx="10">
                <c:v>1041</c:v>
              </c:pt>
              <c:pt idx="11">
                <c:v>1102</c:v>
              </c:pt>
            </c:numLit>
          </c:val>
          <c:extLst>
            <c:ext xmlns:c16="http://schemas.microsoft.com/office/drawing/2014/chart" uri="{C3380CC4-5D6E-409C-BE32-E72D297353CC}">
              <c16:uniqueId val="{00000000-E810-4900-92B8-C56F4495D1D8}"/>
            </c:ext>
          </c:extLst>
        </c:ser>
        <c:ser>
          <c:idx val="1"/>
          <c:order val="1"/>
          <c:tx>
            <c:v>HLB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243</c:v>
              </c:pt>
              <c:pt idx="1">
                <c:v>202</c:v>
              </c:pt>
              <c:pt idx="2">
                <c:v>458</c:v>
              </c:pt>
              <c:pt idx="3">
                <c:v>259</c:v>
              </c:pt>
              <c:pt idx="4">
                <c:v>88</c:v>
              </c:pt>
              <c:pt idx="5">
                <c:v>402</c:v>
              </c:pt>
              <c:pt idx="6">
                <c:v>315</c:v>
              </c:pt>
              <c:pt idx="7">
                <c:v>165</c:v>
              </c:pt>
              <c:pt idx="8">
                <c:v>138</c:v>
              </c:pt>
              <c:pt idx="9">
                <c:v>192</c:v>
              </c:pt>
              <c:pt idx="10">
                <c:v>76</c:v>
              </c:pt>
              <c:pt idx="11">
                <c:v>147</c:v>
              </c:pt>
            </c:numLit>
          </c:val>
          <c:extLst>
            <c:ext xmlns:c16="http://schemas.microsoft.com/office/drawing/2014/chart" uri="{C3380CC4-5D6E-409C-BE32-E72D297353CC}">
              <c16:uniqueId val="{00000001-E810-4900-92B8-C56F4495D1D8}"/>
            </c:ext>
          </c:extLst>
        </c:ser>
        <c:ser>
          <c:idx val="4"/>
          <c:order val="2"/>
          <c:tx>
            <c:v>HLB Spoed</c:v>
          </c:tx>
          <c:spPr>
            <a:gradFill rotWithShape="0">
              <a:gsLst>
                <a:gs pos="0">
                  <a:srgbClr val="FF9900"/>
                </a:gs>
                <a:gs pos="100000">
                  <a:srgbClr val="FFEB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21</c:v>
              </c:pt>
              <c:pt idx="1">
                <c:v>4</c:v>
              </c:pt>
              <c:pt idx="2">
                <c:v>34</c:v>
              </c:pt>
              <c:pt idx="3">
                <c:v>12</c:v>
              </c:pt>
              <c:pt idx="4">
                <c:v>2</c:v>
              </c:pt>
              <c:pt idx="5">
                <c:v>7</c:v>
              </c:pt>
              <c:pt idx="6">
                <c:v>14</c:v>
              </c:pt>
              <c:pt idx="7">
                <c:v>9</c:v>
              </c:pt>
              <c:pt idx="8">
                <c:v>11</c:v>
              </c:pt>
              <c:pt idx="9">
                <c:v>4</c:v>
              </c:pt>
              <c:pt idx="10">
                <c:v>0</c:v>
              </c:pt>
              <c:pt idx="1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E810-4900-92B8-C56F4495D1D8}"/>
            </c:ext>
          </c:extLst>
        </c:ser>
        <c:ser>
          <c:idx val="2"/>
          <c:order val="3"/>
          <c:tx>
            <c:v>OL Spoed</c:v>
          </c:tx>
          <c:spPr>
            <a:gradFill rotWithShape="0">
              <a:gsLst>
                <a:gs pos="0">
                  <a:srgbClr val="008000"/>
                </a:gs>
                <a:gs pos="100000">
                  <a:srgbClr val="CCE6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</c:v>
              </c:pt>
              <c:pt idx="1">
                <c:v>0</c:v>
              </c:pt>
              <c:pt idx="2">
                <c:v>1</c:v>
              </c:pt>
              <c:pt idx="3">
                <c:v>0</c:v>
              </c:pt>
              <c:pt idx="4">
                <c:v>0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E810-4900-92B8-C56F4495D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26272"/>
        <c:axId val="113528192"/>
      </c:barChart>
      <c:catAx>
        <c:axId val="11352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52819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528192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Volumes (leveringen)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526272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ALB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8210</c:v>
              </c:pt>
              <c:pt idx="1">
                <c:v>9516</c:v>
              </c:pt>
              <c:pt idx="2">
                <c:v>12507</c:v>
              </c:pt>
              <c:pt idx="3">
                <c:v>11069</c:v>
              </c:pt>
              <c:pt idx="4">
                <c:v>3072</c:v>
              </c:pt>
              <c:pt idx="5">
                <c:v>12303</c:v>
              </c:pt>
              <c:pt idx="6">
                <c:v>10682</c:v>
              </c:pt>
              <c:pt idx="7">
                <c:v>9786</c:v>
              </c:pt>
              <c:pt idx="8">
                <c:v>8484</c:v>
              </c:pt>
              <c:pt idx="9">
                <c:v>8461</c:v>
              </c:pt>
              <c:pt idx="10">
                <c:v>5926</c:v>
              </c:pt>
              <c:pt idx="11">
                <c:v>8009</c:v>
              </c:pt>
            </c:numLit>
          </c:val>
          <c:extLst>
            <c:ext xmlns:c16="http://schemas.microsoft.com/office/drawing/2014/chart" uri="{C3380CC4-5D6E-409C-BE32-E72D297353CC}">
              <c16:uniqueId val="{00000000-ED88-4470-AAC4-6740060B79D2}"/>
            </c:ext>
          </c:extLst>
        </c:ser>
        <c:ser>
          <c:idx val="1"/>
          <c:order val="1"/>
          <c:tx>
            <c:v>HLB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1191</c:v>
              </c:pt>
              <c:pt idx="1">
                <c:v>1350</c:v>
              </c:pt>
              <c:pt idx="2">
                <c:v>1376</c:v>
              </c:pt>
              <c:pt idx="3">
                <c:v>2261</c:v>
              </c:pt>
              <c:pt idx="4">
                <c:v>826</c:v>
              </c:pt>
              <c:pt idx="5">
                <c:v>1931</c:v>
              </c:pt>
              <c:pt idx="6">
                <c:v>1152</c:v>
              </c:pt>
              <c:pt idx="7">
                <c:v>1548</c:v>
              </c:pt>
              <c:pt idx="8">
                <c:v>1208</c:v>
              </c:pt>
              <c:pt idx="9">
                <c:v>723</c:v>
              </c:pt>
              <c:pt idx="10">
                <c:v>543</c:v>
              </c:pt>
              <c:pt idx="11">
                <c:v>891</c:v>
              </c:pt>
            </c:numLit>
          </c:val>
          <c:extLst>
            <c:ext xmlns:c16="http://schemas.microsoft.com/office/drawing/2014/chart" uri="{C3380CC4-5D6E-409C-BE32-E72D297353CC}">
              <c16:uniqueId val="{00000001-ED88-4470-AAC4-6740060B79D2}"/>
            </c:ext>
          </c:extLst>
        </c:ser>
        <c:ser>
          <c:idx val="4"/>
          <c:order val="2"/>
          <c:tx>
            <c:v>HLB Spoed</c:v>
          </c:tx>
          <c:spPr>
            <a:gradFill rotWithShape="0">
              <a:gsLst>
                <a:gs pos="0">
                  <a:srgbClr val="FF9900"/>
                </a:gs>
                <a:gs pos="100000">
                  <a:srgbClr val="FFEB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237</c:v>
              </c:pt>
              <c:pt idx="1">
                <c:v>313</c:v>
              </c:pt>
              <c:pt idx="2">
                <c:v>311</c:v>
              </c:pt>
              <c:pt idx="3">
                <c:v>379</c:v>
              </c:pt>
              <c:pt idx="4">
                <c:v>112</c:v>
              </c:pt>
              <c:pt idx="5">
                <c:v>245</c:v>
              </c:pt>
              <c:pt idx="6">
                <c:v>234</c:v>
              </c:pt>
              <c:pt idx="7">
                <c:v>103</c:v>
              </c:pt>
              <c:pt idx="8">
                <c:v>23</c:v>
              </c:pt>
              <c:pt idx="9">
                <c:v>10</c:v>
              </c:pt>
              <c:pt idx="10">
                <c:v>7</c:v>
              </c:pt>
              <c:pt idx="1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2-ED88-4470-AAC4-6740060B79D2}"/>
            </c:ext>
          </c:extLst>
        </c:ser>
        <c:ser>
          <c:idx val="2"/>
          <c:order val="3"/>
          <c:tx>
            <c:v>OL Spoed</c:v>
          </c:tx>
          <c:spPr>
            <a:gradFill rotWithShape="0">
              <a:gsLst>
                <a:gs pos="0">
                  <a:srgbClr val="008000"/>
                </a:gs>
                <a:gs pos="100000">
                  <a:srgbClr val="CCE6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6</c:v>
              </c:pt>
              <c:pt idx="1">
                <c:v>27</c:v>
              </c:pt>
              <c:pt idx="2">
                <c:v>3</c:v>
              </c:pt>
              <c:pt idx="3">
                <c:v>0</c:v>
              </c:pt>
              <c:pt idx="4">
                <c:v>2</c:v>
              </c:pt>
              <c:pt idx="5">
                <c:v>3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ED88-4470-AAC4-6740060B7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584000"/>
        <c:axId val="113594368"/>
      </c:barChart>
      <c:catAx>
        <c:axId val="113584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5943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59436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Volumes (leveringen)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584000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ALB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2038</c:v>
              </c:pt>
              <c:pt idx="1">
                <c:v>2176</c:v>
              </c:pt>
              <c:pt idx="2">
                <c:v>2635</c:v>
              </c:pt>
              <c:pt idx="3">
                <c:v>3008</c:v>
              </c:pt>
              <c:pt idx="4">
                <c:v>1711</c:v>
              </c:pt>
              <c:pt idx="5">
                <c:v>2835</c:v>
              </c:pt>
              <c:pt idx="6">
                <c:v>2586</c:v>
              </c:pt>
              <c:pt idx="7">
                <c:v>2264</c:v>
              </c:pt>
              <c:pt idx="8">
                <c:v>2140</c:v>
              </c:pt>
              <c:pt idx="9">
                <c:v>2162</c:v>
              </c:pt>
              <c:pt idx="10">
                <c:v>1966</c:v>
              </c:pt>
              <c:pt idx="11">
                <c:v>2448</c:v>
              </c:pt>
            </c:numLit>
          </c:val>
          <c:extLst>
            <c:ext xmlns:c16="http://schemas.microsoft.com/office/drawing/2014/chart" uri="{C3380CC4-5D6E-409C-BE32-E72D297353CC}">
              <c16:uniqueId val="{00000000-91D4-4895-81B6-FB813836FEBC}"/>
            </c:ext>
          </c:extLst>
        </c:ser>
        <c:ser>
          <c:idx val="1"/>
          <c:order val="1"/>
          <c:tx>
            <c:v>HLB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1678</c:v>
              </c:pt>
              <c:pt idx="1">
                <c:v>1506</c:v>
              </c:pt>
              <c:pt idx="2">
                <c:v>2072</c:v>
              </c:pt>
              <c:pt idx="3">
                <c:v>1894</c:v>
              </c:pt>
              <c:pt idx="4">
                <c:v>1473</c:v>
              </c:pt>
              <c:pt idx="5">
                <c:v>1690</c:v>
              </c:pt>
              <c:pt idx="6">
                <c:v>1765</c:v>
              </c:pt>
              <c:pt idx="7">
                <c:v>1956</c:v>
              </c:pt>
              <c:pt idx="8">
                <c:v>1876</c:v>
              </c:pt>
              <c:pt idx="9">
                <c:v>2010</c:v>
              </c:pt>
              <c:pt idx="10">
                <c:v>1638</c:v>
              </c:pt>
              <c:pt idx="11">
                <c:v>1891</c:v>
              </c:pt>
            </c:numLit>
          </c:val>
          <c:extLst>
            <c:ext xmlns:c16="http://schemas.microsoft.com/office/drawing/2014/chart" uri="{C3380CC4-5D6E-409C-BE32-E72D297353CC}">
              <c16:uniqueId val="{00000001-91D4-4895-81B6-FB813836FEBC}"/>
            </c:ext>
          </c:extLst>
        </c:ser>
        <c:ser>
          <c:idx val="4"/>
          <c:order val="2"/>
          <c:tx>
            <c:v>HLB Spoed</c:v>
          </c:tx>
          <c:spPr>
            <a:gradFill rotWithShape="0">
              <a:gsLst>
                <a:gs pos="0">
                  <a:srgbClr val="FF9900"/>
                </a:gs>
                <a:gs pos="100000">
                  <a:srgbClr val="FFEB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60</c:v>
              </c:pt>
              <c:pt idx="1">
                <c:v>76</c:v>
              </c:pt>
              <c:pt idx="2">
                <c:v>109</c:v>
              </c:pt>
              <c:pt idx="3">
                <c:v>86</c:v>
              </c:pt>
              <c:pt idx="4">
                <c:v>36</c:v>
              </c:pt>
              <c:pt idx="5">
                <c:v>87</c:v>
              </c:pt>
              <c:pt idx="6">
                <c:v>112</c:v>
              </c:pt>
              <c:pt idx="7">
                <c:v>32</c:v>
              </c:pt>
              <c:pt idx="8">
                <c:v>1</c:v>
              </c:pt>
              <c:pt idx="9">
                <c:v>0</c:v>
              </c:pt>
              <c:pt idx="10">
                <c:v>1</c:v>
              </c:pt>
              <c:pt idx="11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2-91D4-4895-81B6-FB813836FEBC}"/>
            </c:ext>
          </c:extLst>
        </c:ser>
        <c:ser>
          <c:idx val="2"/>
          <c:order val="3"/>
          <c:tx>
            <c:v>OL Spoed</c:v>
          </c:tx>
          <c:spPr>
            <a:gradFill rotWithShape="0">
              <a:gsLst>
                <a:gs pos="0">
                  <a:srgbClr val="008000"/>
                </a:gs>
                <a:gs pos="100000">
                  <a:srgbClr val="CCE6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5</c:v>
              </c:pt>
              <c:pt idx="1">
                <c:v>2</c:v>
              </c:pt>
              <c:pt idx="2">
                <c:v>0</c:v>
              </c:pt>
              <c:pt idx="3">
                <c:v>1</c:v>
              </c:pt>
              <c:pt idx="4">
                <c:v>3</c:v>
              </c:pt>
              <c:pt idx="5">
                <c:v>1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91D4-4895-81B6-FB813836F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621248"/>
        <c:axId val="114033024"/>
      </c:barChart>
      <c:catAx>
        <c:axId val="113621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330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03302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Volumes (leveringen)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62124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Rekken per pendel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21.4545454545454</c:v>
              </c:pt>
              <c:pt idx="3">
                <c:v>18.272727272727199</c:v>
              </c:pt>
              <c:pt idx="4">
                <c:v>9.5454545454545396</c:v>
              </c:pt>
              <c:pt idx="5">
                <c:v>21.818181818181799</c:v>
              </c:pt>
              <c:pt idx="6">
                <c:v>23.761904761904699</c:v>
              </c:pt>
              <c:pt idx="7">
                <c:v>21.818181818181799</c:v>
              </c:pt>
              <c:pt idx="8">
                <c:v>15.2173913043478</c:v>
              </c:pt>
              <c:pt idx="9">
                <c:v>18.3333333333333</c:v>
              </c:pt>
              <c:pt idx="10">
                <c:v>16.7</c:v>
              </c:pt>
              <c:pt idx="11">
                <c:v>18.363636363636299</c:v>
              </c:pt>
            </c:numLit>
          </c:val>
          <c:extLst>
            <c:ext xmlns:c16="http://schemas.microsoft.com/office/drawing/2014/chart" uri="{C3380CC4-5D6E-409C-BE32-E72D297353CC}">
              <c16:uniqueId val="{00000000-A526-48D4-B101-EC94FECCDDC3}"/>
            </c:ext>
          </c:extLst>
        </c:ser>
        <c:ser>
          <c:idx val="1"/>
          <c:order val="1"/>
          <c:tx>
            <c:v>Pallets per pendel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17.545454545454501</c:v>
              </c:pt>
              <c:pt idx="3">
                <c:v>15.272727272727201</c:v>
              </c:pt>
              <c:pt idx="4">
                <c:v>6</c:v>
              </c:pt>
              <c:pt idx="5">
                <c:v>17.9545454545454</c:v>
              </c:pt>
              <c:pt idx="6">
                <c:v>19.1428571428571</c:v>
              </c:pt>
              <c:pt idx="7">
                <c:v>17.9545454545454</c:v>
              </c:pt>
              <c:pt idx="8">
                <c:v>13.869565217391299</c:v>
              </c:pt>
              <c:pt idx="9">
                <c:v>16.904761904761799</c:v>
              </c:pt>
              <c:pt idx="10">
                <c:v>16.55</c:v>
              </c:pt>
              <c:pt idx="11">
                <c:v>16.090909090909001</c:v>
              </c:pt>
            </c:numLit>
          </c:val>
          <c:extLst>
            <c:ext xmlns:c16="http://schemas.microsoft.com/office/drawing/2014/chart" uri="{C3380CC4-5D6E-409C-BE32-E72D297353CC}">
              <c16:uniqueId val="{00000001-A526-48D4-B101-EC94FECCD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058368"/>
        <c:axId val="114060288"/>
      </c:barChart>
      <c:catAx>
        <c:axId val="114058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602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06028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Rekken en pallets per pendel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05836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Rekken per pendel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19.0324675324675</c:v>
              </c:pt>
              <c:pt idx="3">
                <c:v>19.681818181818102</c:v>
              </c:pt>
              <c:pt idx="4">
                <c:v>12.736363636363601</c:v>
              </c:pt>
              <c:pt idx="5">
                <c:v>18.948051948051901</c:v>
              </c:pt>
              <c:pt idx="6">
                <c:v>16.605442176870699</c:v>
              </c:pt>
              <c:pt idx="7">
                <c:v>18.948051948051901</c:v>
              </c:pt>
              <c:pt idx="8">
                <c:v>11.807453416149</c:v>
              </c:pt>
              <c:pt idx="9">
                <c:v>16.007936507936499</c:v>
              </c:pt>
              <c:pt idx="10">
                <c:v>13.341666666666599</c:v>
              </c:pt>
              <c:pt idx="11">
                <c:v>16.295454545454501</c:v>
              </c:pt>
            </c:numLit>
          </c:val>
          <c:extLst>
            <c:ext xmlns:c16="http://schemas.microsoft.com/office/drawing/2014/chart" uri="{C3380CC4-5D6E-409C-BE32-E72D297353CC}">
              <c16:uniqueId val="{00000000-2299-4D18-A567-15F8048CC1B7}"/>
            </c:ext>
          </c:extLst>
        </c:ser>
        <c:ser>
          <c:idx val="1"/>
          <c:order val="1"/>
          <c:tx>
            <c:v>Pallets per pendel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11.8701298701298</c:v>
              </c:pt>
              <c:pt idx="3">
                <c:v>12.701298701298599</c:v>
              </c:pt>
              <c:pt idx="4">
                <c:v>7.3363636363636298</c:v>
              </c:pt>
              <c:pt idx="5">
                <c:v>12.9805194805194</c:v>
              </c:pt>
              <c:pt idx="6">
                <c:v>11.9931972789115</c:v>
              </c:pt>
              <c:pt idx="7">
                <c:v>12.9805194805194</c:v>
              </c:pt>
              <c:pt idx="8">
                <c:v>10.322981366459601</c:v>
              </c:pt>
              <c:pt idx="9">
                <c:v>13.031746031746</c:v>
              </c:pt>
              <c:pt idx="10">
                <c:v>10.35</c:v>
              </c:pt>
              <c:pt idx="11">
                <c:v>12.6893939393939</c:v>
              </c:pt>
            </c:numLit>
          </c:val>
          <c:extLst>
            <c:ext xmlns:c16="http://schemas.microsoft.com/office/drawing/2014/chart" uri="{C3380CC4-5D6E-409C-BE32-E72D297353CC}">
              <c16:uniqueId val="{00000001-2299-4D18-A567-15F8048C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111616"/>
        <c:axId val="114113536"/>
      </c:barChart>
      <c:lineChart>
        <c:grouping val="standard"/>
        <c:varyColors val="0"/>
        <c:ser>
          <c:idx val="2"/>
          <c:order val="2"/>
          <c:tx>
            <c:v>Norm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2"/>
              <c:pt idx="0">
                <c:v>29.3</c:v>
              </c:pt>
              <c:pt idx="1">
                <c:v>29.3</c:v>
              </c:pt>
              <c:pt idx="2">
                <c:v>29.3</c:v>
              </c:pt>
              <c:pt idx="3">
                <c:v>29.3</c:v>
              </c:pt>
              <c:pt idx="4">
                <c:v>29.3</c:v>
              </c:pt>
              <c:pt idx="5">
                <c:v>29.3</c:v>
              </c:pt>
              <c:pt idx="6">
                <c:v>29.3</c:v>
              </c:pt>
              <c:pt idx="7">
                <c:v>29.3</c:v>
              </c:pt>
              <c:pt idx="8">
                <c:v>29.3</c:v>
              </c:pt>
              <c:pt idx="9">
                <c:v>29.3</c:v>
              </c:pt>
              <c:pt idx="10">
                <c:v>29.3</c:v>
              </c:pt>
              <c:pt idx="11">
                <c:v>29.3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299-4D18-A567-15F8048C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111616"/>
        <c:axId val="114113536"/>
      </c:lineChart>
      <c:catAx>
        <c:axId val="114111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1135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11353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Rekken en pallets per pendel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111616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Rekken per pendel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5.0519480519480497</c:v>
              </c:pt>
              <c:pt idx="3">
                <c:v>5.6787878787878698</c:v>
              </c:pt>
              <c:pt idx="4">
                <c:v>4.27972027972028</c:v>
              </c:pt>
              <c:pt idx="5">
                <c:v>5.8051948051947999</c:v>
              </c:pt>
              <c:pt idx="6">
                <c:v>5.75510204081632</c:v>
              </c:pt>
              <c:pt idx="7">
                <c:v>5.8051948051947999</c:v>
              </c:pt>
              <c:pt idx="8">
                <c:v>3.9316770186335401</c:v>
              </c:pt>
              <c:pt idx="9">
                <c:v>4.6394557823129201</c:v>
              </c:pt>
              <c:pt idx="10">
                <c:v>4.2714285714285696</c:v>
              </c:pt>
              <c:pt idx="11">
                <c:v>5.0194805194805099</c:v>
              </c:pt>
            </c:numLit>
          </c:val>
          <c:extLst>
            <c:ext xmlns:c16="http://schemas.microsoft.com/office/drawing/2014/chart" uri="{C3380CC4-5D6E-409C-BE32-E72D297353CC}">
              <c16:uniqueId val="{00000000-51C8-40F0-B1AA-AC3434ED7083}"/>
            </c:ext>
          </c:extLst>
        </c:ser>
        <c:ser>
          <c:idx val="1"/>
          <c:order val="1"/>
          <c:tx>
            <c:v>Pallets per pendel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25.3441558441558</c:v>
              </c:pt>
              <c:pt idx="3">
                <c:v>24.290909090909</c:v>
              </c:pt>
              <c:pt idx="4">
                <c:v>19.867132867132799</c:v>
              </c:pt>
              <c:pt idx="5">
                <c:v>23.915584415584402</c:v>
              </c:pt>
              <c:pt idx="6">
                <c:v>24.401360544217599</c:v>
              </c:pt>
              <c:pt idx="7">
                <c:v>23.915584415584402</c:v>
              </c:pt>
              <c:pt idx="8">
                <c:v>20.708074534161401</c:v>
              </c:pt>
              <c:pt idx="9">
                <c:v>23.78231292517</c:v>
              </c:pt>
              <c:pt idx="10">
                <c:v>21.514285714285698</c:v>
              </c:pt>
              <c:pt idx="11">
                <c:v>23.870129870129801</c:v>
              </c:pt>
            </c:numLit>
          </c:val>
          <c:extLst>
            <c:ext xmlns:c16="http://schemas.microsoft.com/office/drawing/2014/chart" uri="{C3380CC4-5D6E-409C-BE32-E72D297353CC}">
              <c16:uniqueId val="{00000001-51C8-40F0-B1AA-AC3434ED7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139136"/>
        <c:axId val="114141056"/>
      </c:barChart>
      <c:catAx>
        <c:axId val="11413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14105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141056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Rekken en pallets per pendel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139136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Rekken per pendel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19.590909090909001</c:v>
              </c:pt>
              <c:pt idx="3">
                <c:v>19.681818181818102</c:v>
              </c:pt>
              <c:pt idx="4">
                <c:v>7.2272727272727204</c:v>
              </c:pt>
              <c:pt idx="5">
                <c:v>21.863636363636299</c:v>
              </c:pt>
              <c:pt idx="6">
                <c:v>21.3333333333333</c:v>
              </c:pt>
              <c:pt idx="7">
                <c:v>21.863636363636299</c:v>
              </c:pt>
              <c:pt idx="8">
                <c:v>11.043478260869501</c:v>
              </c:pt>
              <c:pt idx="9">
                <c:v>10.714285714285699</c:v>
              </c:pt>
              <c:pt idx="10">
                <c:v>10.15</c:v>
              </c:pt>
              <c:pt idx="11">
                <c:v>14.2272727272727</c:v>
              </c:pt>
            </c:numLit>
          </c:val>
          <c:extLst>
            <c:ext xmlns:c16="http://schemas.microsoft.com/office/drawing/2014/chart" uri="{C3380CC4-5D6E-409C-BE32-E72D297353CC}">
              <c16:uniqueId val="{00000000-3851-40E6-BDBB-BF85FF88EC21}"/>
            </c:ext>
          </c:extLst>
        </c:ser>
        <c:ser>
          <c:idx val="1"/>
          <c:order val="1"/>
          <c:tx>
            <c:v>Pallets per pendel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9.7727272727272698</c:v>
              </c:pt>
              <c:pt idx="3">
                <c:v>7</c:v>
              </c:pt>
              <c:pt idx="4">
                <c:v>3.9090909090908998</c:v>
              </c:pt>
              <c:pt idx="5">
                <c:v>10.136363636363599</c:v>
              </c:pt>
              <c:pt idx="6">
                <c:v>9.0952380952380896</c:v>
              </c:pt>
              <c:pt idx="7">
                <c:v>10.136363636363599</c:v>
              </c:pt>
              <c:pt idx="8">
                <c:v>4.6521739130434696</c:v>
              </c:pt>
              <c:pt idx="9">
                <c:v>5.9047619047618998</c:v>
              </c:pt>
              <c:pt idx="10">
                <c:v>6.05</c:v>
              </c:pt>
              <c:pt idx="11">
                <c:v>7.4545454545454497</c:v>
              </c:pt>
            </c:numLit>
          </c:val>
          <c:extLst>
            <c:ext xmlns:c16="http://schemas.microsoft.com/office/drawing/2014/chart" uri="{C3380CC4-5D6E-409C-BE32-E72D297353CC}">
              <c16:uniqueId val="{00000001-3851-40E6-BDBB-BF85FF88E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154496"/>
        <c:axId val="114181248"/>
      </c:barChart>
      <c:catAx>
        <c:axId val="114154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18124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4181248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Rekken en pallets per pendel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154496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Rekken per pendel</c:v>
          </c:tx>
          <c:spPr>
            <a:gradFill rotWithShape="0">
              <a:gsLst>
                <a:gs pos="0">
                  <a:srgbClr val="0066CC"/>
                </a:gs>
                <a:gs pos="100000">
                  <a:srgbClr val="CCE0F5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11.545454545454501</c:v>
              </c:pt>
              <c:pt idx="3">
                <c:v>12.909090909090899</c:v>
              </c:pt>
              <c:pt idx="4">
                <c:v>11.636363636363599</c:v>
              </c:pt>
              <c:pt idx="5">
                <c:v>11.4545454545454</c:v>
              </c:pt>
              <c:pt idx="6">
                <c:v>11.5714285714285</c:v>
              </c:pt>
              <c:pt idx="7">
                <c:v>11.4545454545454</c:v>
              </c:pt>
              <c:pt idx="8">
                <c:v>11.173913043478199</c:v>
              </c:pt>
              <c:pt idx="9">
                <c:v>11.857142857142801</c:v>
              </c:pt>
              <c:pt idx="10">
                <c:v>12.75</c:v>
              </c:pt>
              <c:pt idx="11">
                <c:v>11.909090909090899</c:v>
              </c:pt>
            </c:numLit>
          </c:val>
          <c:extLst>
            <c:ext xmlns:c16="http://schemas.microsoft.com/office/drawing/2014/chart" uri="{C3380CC4-5D6E-409C-BE32-E72D297353CC}">
              <c16:uniqueId val="{00000000-084D-4B90-B1E5-6FB7707B0097}"/>
            </c:ext>
          </c:extLst>
        </c:ser>
        <c:ser>
          <c:idx val="1"/>
          <c:order val="1"/>
          <c:tx>
            <c:v>Pallets per pendel</c:v>
          </c:tx>
          <c:spPr>
            <a:gradFill rotWithShape="0">
              <a:gsLst>
                <a:gs pos="0">
                  <a:srgbClr val="FF0000"/>
                </a:gs>
                <a:gs pos="100000">
                  <a:srgbClr val="FFCCCC">
                    <a:gamma/>
                    <a:tint val="20000"/>
                    <a:invGamma/>
                  </a:srgbClr>
                </a:gs>
              </a:gsLst>
              <a:lin ang="0" scaled="1"/>
            </a:gra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10.545454545454501</c:v>
              </c:pt>
              <c:pt idx="3">
                <c:v>7.5454545454545396</c:v>
              </c:pt>
              <c:pt idx="4">
                <c:v>6</c:v>
              </c:pt>
              <c:pt idx="5">
                <c:v>8.5909090909090899</c:v>
              </c:pt>
              <c:pt idx="6">
                <c:v>7.5714285714285703</c:v>
              </c:pt>
              <c:pt idx="7">
                <c:v>8.5909090909090899</c:v>
              </c:pt>
              <c:pt idx="8">
                <c:v>5.4782608695652097</c:v>
              </c:pt>
              <c:pt idx="9">
                <c:v>9.4761904761904692</c:v>
              </c:pt>
              <c:pt idx="10">
                <c:v>6.8</c:v>
              </c:pt>
              <c:pt idx="11">
                <c:v>6.7727272727272698</c:v>
              </c:pt>
            </c:numLit>
          </c:val>
          <c:extLst>
            <c:ext xmlns:c16="http://schemas.microsoft.com/office/drawing/2014/chart" uri="{C3380CC4-5D6E-409C-BE32-E72D297353CC}">
              <c16:uniqueId val="{00000001-084D-4B90-B1E5-6FB7707B0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842048"/>
        <c:axId val="113844224"/>
      </c:barChart>
      <c:catAx>
        <c:axId val="11384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Maand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8442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844224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Rekken en pallets per pendel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842048"/>
        <c:crosses val="autoZero"/>
        <c:crossBetween val="between"/>
      </c:valAx>
      <c:spPr>
        <a:gradFill rotWithShape="0">
          <a:gsLst>
            <a:gs pos="0">
              <a:srgbClr val="FFFFCC"/>
            </a:gs>
            <a:gs pos="100000">
              <a:srgbClr val="FFFFEE">
                <a:gamma/>
                <a:tint val="33725"/>
                <a:invGamma/>
              </a:srgbClr>
            </a:gs>
          </a:gsLst>
          <a:lin ang="5400000" scaled="1"/>
        </a:gradFill>
        <a:ln w="12700">
          <a:solidFill>
            <a:srgbClr val="C0C0C0"/>
          </a:solidFill>
          <a:prstDash val="solid"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5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SKU's geteld</c:v>
          </c:tx>
          <c:spPr>
            <a:noFill/>
            <a:ln w="25400">
              <a:noFill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DAE-48D7-A9FF-2B1ED41E08A5}"/>
            </c:ext>
          </c:extLst>
        </c:ser>
        <c:ser>
          <c:idx val="1"/>
          <c:order val="1"/>
          <c:tx>
            <c:v>SKU's geteld cumulatief</c:v>
          </c:tx>
          <c:spPr>
            <a:noFill/>
            <a:ln w="25400">
              <a:noFill/>
            </a:ln>
          </c:spPr>
          <c:invertIfNegative val="0"/>
          <c:cat>
            <c:strLit>
              <c:ptCount val="12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DAE-48D7-A9FF-2B1ED41E0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877760"/>
        <c:axId val="113879296"/>
      </c:barChart>
      <c:catAx>
        <c:axId val="11387776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113879296"/>
        <c:crosses val="autoZero"/>
        <c:auto val="1"/>
        <c:lblAlgn val="ctr"/>
        <c:lblOffset val="100"/>
        <c:noMultiLvlLbl val="0"/>
      </c:catAx>
      <c:valAx>
        <c:axId val="113879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1138777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paperSize="9" orientation="landscape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 tijd</c:v>
          </c:tx>
          <c:spPr>
            <a:noFill/>
            <a:ln w="25400">
              <a:noFill/>
            </a:ln>
          </c:spPr>
          <c:invertIfNegative val="0"/>
          <c:cat>
            <c:strLit>
              <c:ptCount val="13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0.57550406542275601</c:v>
              </c:pt>
              <c:pt idx="1">
                <c:v>0.57989461843585299</c:v>
              </c:pt>
              <c:pt idx="2">
                <c:v>0.475661865116074</c:v>
              </c:pt>
              <c:pt idx="3">
                <c:v>0.68463499067980305</c:v>
              </c:pt>
              <c:pt idx="4">
                <c:v>0.98848410226696504</c:v>
              </c:pt>
              <c:pt idx="5">
                <c:v>0.84876515491692806</c:v>
              </c:pt>
              <c:pt idx="6">
                <c:v>0.84477029760184896</c:v>
              </c:pt>
              <c:pt idx="7">
                <c:v>0.99710039869517897</c:v>
              </c:pt>
              <c:pt idx="8">
                <c:v>0.95182006842784195</c:v>
              </c:pt>
              <c:pt idx="9">
                <c:v>0.900140564601148</c:v>
              </c:pt>
              <c:pt idx="10">
                <c:v>0.92590264683287904</c:v>
              </c:pt>
              <c:pt idx="11">
                <c:v>0.89174246477617203</c:v>
              </c:pt>
            </c:numLit>
          </c:val>
          <c:extLst>
            <c:ext xmlns:c16="http://schemas.microsoft.com/office/drawing/2014/chart" uri="{C3380CC4-5D6E-409C-BE32-E72D297353CC}">
              <c16:uniqueId val="{00000000-556E-43A1-94CE-6D500E847F35}"/>
            </c:ext>
          </c:extLst>
        </c:ser>
        <c:ser>
          <c:idx val="1"/>
          <c:order val="1"/>
          <c:tx>
            <c:v>Cumulatief op tijd</c:v>
          </c:tx>
          <c:spPr>
            <a:noFill/>
            <a:ln w="25400">
              <a:noFill/>
            </a:ln>
          </c:spPr>
          <c:invertIfNegative val="0"/>
          <c:cat>
            <c:strLit>
              <c:ptCount val="13"/>
              <c:pt idx="0">
                <c:v>April</c:v>
              </c:pt>
              <c:pt idx="1">
                <c:v>Mei</c:v>
              </c:pt>
              <c:pt idx="2">
                <c:v>Juni</c:v>
              </c:pt>
              <c:pt idx="3">
                <c:v>Juli</c:v>
              </c:pt>
              <c:pt idx="4">
                <c:v>Augustus</c:v>
              </c:pt>
              <c:pt idx="5">
                <c:v>September</c:v>
              </c:pt>
              <c:pt idx="6">
                <c:v>Oktober</c:v>
              </c:pt>
              <c:pt idx="7">
                <c:v>November</c:v>
              </c:pt>
              <c:pt idx="8">
                <c:v>December</c:v>
              </c:pt>
              <c:pt idx="9">
                <c:v>Januari</c:v>
              </c:pt>
              <c:pt idx="10">
                <c:v>Februari</c:v>
              </c:pt>
              <c:pt idx="11">
                <c:v>Maart</c:v>
              </c:pt>
            </c:strLit>
          </c:cat>
          <c:val>
            <c:numLit>
              <c:formatCode>General</c:formatCode>
              <c:ptCount val="12"/>
              <c:pt idx="0">
                <c:v>0.80857445704878095</c:v>
              </c:pt>
              <c:pt idx="1">
                <c:v>0.77198715580688204</c:v>
              </c:pt>
              <c:pt idx="2">
                <c:v>0.71954566007140897</c:v>
              </c:pt>
              <c:pt idx="3">
                <c:v>0.71360821940851804</c:v>
              </c:pt>
              <c:pt idx="4">
                <c:v>0.73614938705692201</c:v>
              </c:pt>
              <c:pt idx="5">
                <c:v>0.74930496543186498</c:v>
              </c:pt>
              <c:pt idx="6">
                <c:v>0.76141183367990894</c:v>
              </c:pt>
              <c:pt idx="7">
                <c:v>0.78056632118465297</c:v>
              </c:pt>
              <c:pt idx="8">
                <c:v>0.79251804531291503</c:v>
              </c:pt>
              <c:pt idx="9">
                <c:v>0.900140564601148</c:v>
              </c:pt>
              <c:pt idx="10">
                <c:v>0.91189118593316898</c:v>
              </c:pt>
              <c:pt idx="11">
                <c:v>0.90486165843945698</c:v>
              </c:pt>
            </c:numLit>
          </c:val>
          <c:extLst>
            <c:ext xmlns:c16="http://schemas.microsoft.com/office/drawing/2014/chart" uri="{C3380CC4-5D6E-409C-BE32-E72D297353CC}">
              <c16:uniqueId val="{00000001-556E-43A1-94CE-6D500E847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917952"/>
        <c:axId val="113919488"/>
      </c:barChart>
      <c:catAx>
        <c:axId val="1139179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113919488"/>
        <c:crosses val="autoZero"/>
        <c:auto val="1"/>
        <c:lblAlgn val="ctr"/>
        <c:lblOffset val="100"/>
        <c:noMultiLvlLbl val="0"/>
      </c:catAx>
      <c:valAx>
        <c:axId val="113919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ln w="9525">
            <a:noFill/>
          </a:ln>
        </c:spPr>
        <c:crossAx val="1139179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3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cked"/>
        <c:varyColors val="0"/>
        <c:ser>
          <c:idx val="2"/>
          <c:order val="0"/>
          <c:tx>
            <c:v>Poort 37</c:v>
          </c:tx>
          <c:spPr>
            <a:ln w="28575">
              <a:noFill/>
            </a:ln>
          </c:spPr>
          <c:marker>
            <c:symbol val="none"/>
          </c:marker>
          <c:cat>
            <c:strLit>
              <c:ptCount val="1"/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158-479F-8D2E-49C831141B48}"/>
            </c:ext>
          </c:extLst>
        </c:ser>
        <c:ser>
          <c:idx val="1"/>
          <c:order val="1"/>
          <c:tx>
            <c:v>Poort 15</c:v>
          </c:tx>
          <c:spPr>
            <a:ln w="28575">
              <a:noFill/>
            </a:ln>
          </c:spPr>
          <c:marker>
            <c:symbol val="none"/>
          </c:marker>
          <c:cat>
            <c:strLit>
              <c:ptCount val="1"/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E158-479F-8D2E-49C831141B48}"/>
            </c:ext>
          </c:extLst>
        </c:ser>
        <c:ser>
          <c:idx val="0"/>
          <c:order val="2"/>
          <c:tx>
            <c:v>Poort 2</c:v>
          </c:tx>
          <c:spPr>
            <a:ln w="28575">
              <a:noFill/>
            </a:ln>
          </c:spPr>
          <c:marker>
            <c:symbol val="none"/>
          </c:marker>
          <c:cat>
            <c:strLit>
              <c:ptCount val="1"/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1</c:v>
              </c:pt>
              <c:pt idx="10">
                <c:v>0</c:v>
              </c:pt>
              <c:pt idx="1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E158-479F-8D2E-49C831141B48}"/>
            </c:ext>
          </c:extLst>
        </c:ser>
        <c:ser>
          <c:idx val="4"/>
          <c:order val="3"/>
          <c:tx>
            <c:v>Poort 60</c:v>
          </c:tx>
          <c:spPr>
            <a:ln w="28575">
              <a:noFill/>
            </a:ln>
          </c:spPr>
          <c:marker>
            <c:symbol val="none"/>
          </c:marker>
          <c:cat>
            <c:strLit>
              <c:ptCount val="1"/>
            </c:strLit>
          </c:cat>
          <c:val>
            <c:numLit>
              <c:formatCode>General</c:formatCode>
              <c:ptCount val="1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3-E158-479F-8D2E-49C831141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955584"/>
        <c:axId val="113957120"/>
      </c:lineChart>
      <c:catAx>
        <c:axId val="113955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395712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3957120"/>
        <c:scaling>
          <c:orientation val="minMax"/>
          <c:min val="0"/>
        </c:scaling>
        <c:delete val="1"/>
        <c:axPos val="l"/>
        <c:numFmt formatCode="General" sourceLinked="1"/>
        <c:majorTickMark val="out"/>
        <c:minorTickMark val="none"/>
        <c:tickLblPos val="none"/>
        <c:crossAx val="113955584"/>
        <c:crosses val="autoZero"/>
        <c:crossBetween val="between"/>
        <c:majorUnit val="100"/>
      </c:valAx>
      <c:dTable>
        <c:showHorzBorder val="1"/>
        <c:showVertBorder val="1"/>
        <c:showOutline val="1"/>
        <c:showKeys val="0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noFill/>
        <a:ln w="25400">
          <a:noFill/>
        </a:ln>
      </c:spPr>
    </c:plotArea>
    <c:plotVisOnly val="1"/>
    <c:dispBlanksAs val="zero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image" Target="../media/image1.jpe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116205</xdr:rowOff>
    </xdr:from>
    <xdr:to>
      <xdr:col>6</xdr:col>
      <xdr:colOff>1606285</xdr:colOff>
      <xdr:row>4</xdr:row>
      <xdr:rowOff>18928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200025" y="295275"/>
          <a:ext cx="3124200" cy="371475"/>
        </a:xfrm>
        <a:prstGeom prst="rect">
          <a:avLst/>
        </a:prstGeom>
        <a:noFill/>
        <a:ln>
          <a:noFill/>
        </a:ln>
      </xdr:spPr>
      <xdr:txBody>
        <a:bodyPr vertOverflow="clip" wrap="square" lIns="54864" tIns="59436" rIns="0" bIns="0" anchor="t" upright="1"/>
        <a:lstStyle/>
        <a:p>
          <a:pPr algn="l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 Black"/>
            </a:rPr>
            <a:t>KPI Report</a:t>
          </a:r>
        </a:p>
      </xdr:txBody>
    </xdr:sp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2" name="Chart 46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3" name="Chart 47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9525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4" name="Chart 48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5" name="Chart 49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6" name="Chart 50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7" name="Chart 51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9525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8" name="Chart 52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49" name="Chart 53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9525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0" name="Chart 54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1" name="Chart 55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2" name="Chart 72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3" name="Chart 73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4" name="Chart 74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5" name="Chart 75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6" name="Chart 76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7" name="Chart 77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8" name="Chart 78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59" name="Chart 79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0" name="Chart 80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1" name="Chart 81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2" name="Chart 8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3" name="Chart 83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4" name="Chart 84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5" name="Chart 85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6" name="Chart 86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7" name="Chart 87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8" name="Chart 88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19050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69" name="Chart 89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0" name="Chart 90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1" name="Chart 9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2" name="Chart 92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3" name="Chart 93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4" name="Chart 94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5" name="Chart 95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6" name="Chart 96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7" name="Chart 97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8" name="Chart 98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79" name="Chart 99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12</xdr:col>
      <xdr:colOff>0</xdr:colOff>
      <xdr:row>46</xdr:row>
      <xdr:rowOff>0</xdr:rowOff>
    </xdr:to>
    <xdr:graphicFrame macro="">
      <xdr:nvGraphicFramePr>
        <xdr:cNvPr id="1080" name="Chart 100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13</xdr:col>
      <xdr:colOff>1685925</xdr:colOff>
      <xdr:row>2</xdr:row>
      <xdr:rowOff>41030</xdr:rowOff>
    </xdr:from>
    <xdr:to>
      <xdr:col>13</xdr:col>
      <xdr:colOff>2998422</xdr:colOff>
      <xdr:row>4</xdr:row>
      <xdr:rowOff>136280</xdr:rowOff>
    </xdr:to>
    <xdr:pic>
      <xdr:nvPicPr>
        <xdr:cNvPr id="1092" name="Picture 152" descr="DSV logo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7400925" y="374405"/>
          <a:ext cx="1312497" cy="409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fo\rapportages\Ketenrapportage\Ketenrapportag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jnps\Local%20Settings\Temporary%20Internet%20Files\OLKC2\Stokke%20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akelbord"/>
      <sheetName val="Traffic Light Reports"/>
      <sheetName val="Rapportage Océ"/>
      <sheetName val="Océ"/>
      <sheetName val="Grafiekgegevens"/>
      <sheetName val="Inhoudsopgave"/>
      <sheetName val="Inhoudsopgave Rapportage Océ"/>
      <sheetName val="Shell"/>
      <sheetName val="Finance &amp; HSE"/>
      <sheetName val="Rapportage Shell"/>
      <sheetName val="Inhoudsopgave Rapportage Shell"/>
      <sheetName val="Beoordelingsmatrix"/>
      <sheetName val="Voorkant rapportage"/>
      <sheetName val="Indexe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alrapport"/>
      <sheetName val="Report Stokke"/>
      <sheetName val="STOKKE"/>
      <sheetName val="Indexe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X1398"/>
  <sheetViews>
    <sheetView showGridLines="0" tabSelected="1" topLeftCell="A13" zoomScaleNormal="100" zoomScaleSheetLayoutView="100" workbookViewId="0">
      <selection activeCell="P21" sqref="P21"/>
    </sheetView>
  </sheetViews>
  <sheetFormatPr defaultColWidth="9.140625" defaultRowHeight="12.75"/>
  <cols>
    <col min="1" max="1" width="2.5703125" style="7" customWidth="1"/>
    <col min="2" max="2" width="4.42578125" style="41" customWidth="1"/>
    <col min="3" max="6" width="4.7109375" style="7" customWidth="1"/>
    <col min="7" max="7" width="35.28515625" style="7" customWidth="1"/>
    <col min="8" max="8" width="4.7109375" style="8" hidden="1" customWidth="1"/>
    <col min="9" max="9" width="6.140625" style="8" hidden="1" customWidth="1"/>
    <col min="10" max="10" width="17.5703125" style="7" customWidth="1"/>
    <col min="11" max="12" width="12.28515625" style="7" bestFit="1" customWidth="1"/>
    <col min="13" max="13" width="19" style="7" bestFit="1" customWidth="1"/>
    <col min="14" max="14" width="46.28515625" style="10" customWidth="1"/>
    <col min="15" max="15" width="37.28515625" style="1" customWidth="1"/>
    <col min="16" max="16" width="42.42578125" style="1" customWidth="1"/>
    <col min="17" max="17" width="12.5703125" style="1" customWidth="1"/>
    <col min="18" max="18" width="16.140625" style="1" customWidth="1"/>
    <col min="19" max="20" width="9.140625" style="1"/>
    <col min="21" max="21" width="16" style="1" customWidth="1"/>
    <col min="22" max="22" width="15.5703125" style="1" bestFit="1" customWidth="1"/>
    <col min="23" max="23" width="12.5703125" style="1" bestFit="1" customWidth="1"/>
    <col min="24" max="24" width="12.140625" style="1" bestFit="1" customWidth="1"/>
    <col min="25" max="16384" width="9.140625" style="1"/>
  </cols>
  <sheetData>
    <row r="1" spans="1:16" ht="13.5" thickBot="1"/>
    <row r="2" spans="1:16" s="3" customFormat="1">
      <c r="A2" s="55"/>
      <c r="B2" s="11"/>
      <c r="C2" s="11"/>
      <c r="D2" s="11"/>
      <c r="E2" s="11"/>
      <c r="F2" s="11"/>
      <c r="G2" s="11"/>
      <c r="H2" s="12"/>
      <c r="I2" s="12"/>
      <c r="J2" s="11"/>
      <c r="K2" s="11"/>
      <c r="L2" s="11"/>
      <c r="M2" s="11"/>
      <c r="N2" s="59"/>
      <c r="O2" s="67"/>
    </row>
    <row r="3" spans="1:16" s="3" customFormat="1" ht="12" customHeight="1">
      <c r="A3" s="49"/>
      <c r="B3" s="42"/>
      <c r="C3" s="13"/>
      <c r="D3" s="13"/>
      <c r="E3" s="13"/>
      <c r="F3" s="13"/>
      <c r="G3" s="13"/>
      <c r="H3" s="14"/>
      <c r="I3" s="14"/>
      <c r="J3" s="13"/>
      <c r="K3" s="13"/>
      <c r="L3" s="13"/>
      <c r="M3" s="13"/>
      <c r="N3" s="58"/>
      <c r="O3" s="67"/>
    </row>
    <row r="4" spans="1:16" s="3" customFormat="1">
      <c r="A4" s="49"/>
      <c r="B4" s="42"/>
      <c r="C4" s="13"/>
      <c r="D4" s="13"/>
      <c r="E4" s="13"/>
      <c r="F4" s="13"/>
      <c r="G4" s="13"/>
      <c r="H4" s="14"/>
      <c r="I4" s="14"/>
      <c r="J4" s="13"/>
      <c r="K4" s="13"/>
      <c r="L4" s="13"/>
      <c r="M4" s="13"/>
      <c r="N4" s="58"/>
      <c r="O4" s="67"/>
    </row>
    <row r="5" spans="1:16" s="3" customFormat="1" ht="27">
      <c r="A5" s="49"/>
      <c r="B5" s="43" t="s">
        <v>0</v>
      </c>
      <c r="C5" s="13"/>
      <c r="D5" s="13"/>
      <c r="E5" s="13"/>
      <c r="F5" s="15"/>
      <c r="G5" s="15"/>
      <c r="H5" s="14"/>
      <c r="I5" s="14"/>
      <c r="J5" s="13"/>
      <c r="K5" s="13"/>
      <c r="L5" s="13"/>
      <c r="M5" s="13"/>
      <c r="N5" s="58"/>
      <c r="O5" s="67"/>
    </row>
    <row r="6" spans="1:16" s="3" customFormat="1" ht="10.5" customHeight="1" thickBot="1">
      <c r="A6" s="50"/>
      <c r="B6" s="44"/>
      <c r="C6" s="16"/>
      <c r="D6" s="16"/>
      <c r="E6" s="16"/>
      <c r="F6" s="16"/>
      <c r="G6" s="17"/>
      <c r="H6" s="18"/>
      <c r="I6" s="18"/>
      <c r="J6" s="16"/>
      <c r="K6" s="16"/>
      <c r="L6" s="16"/>
      <c r="M6" s="16"/>
      <c r="N6" s="16"/>
      <c r="O6" s="67"/>
      <c r="P6" s="71"/>
    </row>
    <row r="7" spans="1:16" s="4" customFormat="1" ht="24.75">
      <c r="A7" s="60"/>
      <c r="B7" s="45"/>
      <c r="C7" s="19"/>
      <c r="D7" s="19"/>
      <c r="E7" s="19"/>
      <c r="F7" s="19"/>
      <c r="G7" s="19"/>
      <c r="H7" s="20"/>
      <c r="I7" s="20"/>
      <c r="J7" s="19"/>
      <c r="K7" s="21" t="s">
        <v>1</v>
      </c>
      <c r="L7" s="21" t="s">
        <v>2</v>
      </c>
      <c r="M7" s="21" t="s">
        <v>3</v>
      </c>
      <c r="N7" s="61" t="s">
        <v>4</v>
      </c>
      <c r="O7" s="68" t="s">
        <v>5</v>
      </c>
    </row>
    <row r="8" spans="1:16" s="3" customFormat="1" ht="12.75" customHeight="1">
      <c r="A8" s="56"/>
      <c r="B8" s="46"/>
      <c r="C8" s="22"/>
      <c r="D8" s="22"/>
      <c r="E8" s="22"/>
      <c r="F8" s="22"/>
      <c r="G8" s="22"/>
      <c r="H8" s="23"/>
      <c r="I8" s="23"/>
      <c r="J8" s="24"/>
      <c r="K8" s="25"/>
      <c r="L8" s="25"/>
      <c r="M8" s="25"/>
      <c r="N8" s="52"/>
      <c r="O8" s="67"/>
    </row>
    <row r="9" spans="1:16" s="3" customFormat="1" ht="12.75" customHeight="1">
      <c r="A9" s="49"/>
      <c r="B9" s="42"/>
      <c r="C9" s="13"/>
      <c r="D9" s="13"/>
      <c r="E9" s="13"/>
      <c r="F9" s="13"/>
      <c r="G9" s="13"/>
      <c r="H9" s="14"/>
      <c r="I9" s="14"/>
      <c r="J9" s="26"/>
      <c r="K9" s="27"/>
      <c r="L9" s="27"/>
      <c r="M9" s="27"/>
      <c r="N9" s="53"/>
      <c r="O9" s="67"/>
    </row>
    <row r="10" spans="1:16" s="3" customFormat="1" ht="12.75" customHeight="1">
      <c r="A10" s="49"/>
      <c r="B10" s="47" t="s">
        <v>6</v>
      </c>
      <c r="C10" s="13"/>
      <c r="D10" s="13"/>
      <c r="E10" s="13"/>
      <c r="F10" s="13"/>
      <c r="G10" s="13"/>
      <c r="H10" s="14"/>
      <c r="I10" s="28"/>
      <c r="J10" s="29"/>
      <c r="K10" s="27"/>
      <c r="L10" s="27"/>
      <c r="M10" s="27"/>
      <c r="N10" s="53"/>
      <c r="O10" s="67"/>
    </row>
    <row r="11" spans="1:16" s="3" customFormat="1" ht="12.75" customHeight="1">
      <c r="A11" s="49"/>
      <c r="B11" s="42"/>
      <c r="C11" s="13"/>
      <c r="D11" s="13"/>
      <c r="E11" s="13"/>
      <c r="F11" s="13"/>
      <c r="G11" s="13"/>
      <c r="H11" s="14"/>
      <c r="I11" s="14"/>
      <c r="J11" s="26"/>
      <c r="K11" s="27"/>
      <c r="L11" s="27"/>
      <c r="M11" s="27"/>
      <c r="N11" s="53"/>
      <c r="O11" s="67"/>
    </row>
    <row r="12" spans="1:16" s="3" customFormat="1" ht="12.75" customHeight="1">
      <c r="A12" s="49"/>
      <c r="B12" s="42"/>
      <c r="C12" s="13"/>
      <c r="D12" s="13"/>
      <c r="E12" s="13"/>
      <c r="F12" s="13"/>
      <c r="G12" s="13"/>
      <c r="H12" s="14"/>
      <c r="I12" s="14"/>
      <c r="J12" s="26"/>
      <c r="K12" s="27"/>
      <c r="L12" s="27"/>
      <c r="M12" s="27"/>
      <c r="N12" s="53"/>
      <c r="O12" s="67"/>
    </row>
    <row r="13" spans="1:16" s="3" customFormat="1" ht="12.75" customHeight="1">
      <c r="A13" s="49"/>
      <c r="B13" s="62" t="s">
        <v>7</v>
      </c>
      <c r="C13" s="30" t="s">
        <v>8</v>
      </c>
      <c r="D13" s="13"/>
      <c r="E13" s="13"/>
      <c r="F13" s="13"/>
      <c r="G13" s="13"/>
      <c r="H13" s="14"/>
      <c r="I13" s="14"/>
      <c r="J13" s="26"/>
      <c r="K13" s="27"/>
      <c r="L13" s="27"/>
      <c r="M13" s="27"/>
      <c r="N13" s="53"/>
      <c r="O13" s="67"/>
    </row>
    <row r="14" spans="1:16" s="3" customFormat="1" ht="63.75">
      <c r="A14" s="49"/>
      <c r="B14" s="63">
        <v>1.1000000000000001</v>
      </c>
      <c r="C14" s="31" t="s">
        <v>9</v>
      </c>
      <c r="D14" s="32"/>
      <c r="E14" s="32"/>
      <c r="F14" s="32"/>
      <c r="G14" s="32"/>
      <c r="H14" s="33" t="s">
        <v>10</v>
      </c>
      <c r="I14" s="33" t="s">
        <v>11</v>
      </c>
      <c r="J14" s="26"/>
      <c r="K14" s="27">
        <v>0.98499999999999999</v>
      </c>
      <c r="L14" s="27">
        <v>0.995</v>
      </c>
      <c r="M14" s="27" t="s">
        <v>12</v>
      </c>
      <c r="N14" s="53" t="s">
        <v>13</v>
      </c>
      <c r="O14" s="67" t="s">
        <v>14</v>
      </c>
      <c r="P14" s="72"/>
    </row>
    <row r="15" spans="1:16" s="2" customFormat="1" ht="6.6" customHeight="1">
      <c r="A15" s="51"/>
      <c r="B15" s="48"/>
      <c r="C15" s="34"/>
      <c r="D15" s="34"/>
      <c r="E15" s="34"/>
      <c r="F15" s="34"/>
      <c r="G15" s="34"/>
      <c r="H15" s="35"/>
      <c r="I15" s="35"/>
      <c r="J15" s="36"/>
      <c r="K15" s="37"/>
      <c r="L15" s="37"/>
      <c r="M15" s="37"/>
      <c r="N15" s="53"/>
      <c r="O15" s="69"/>
    </row>
    <row r="16" spans="1:16" s="3" customFormat="1" ht="74.25" customHeight="1">
      <c r="A16" s="49"/>
      <c r="B16" s="63">
        <v>1.2</v>
      </c>
      <c r="C16" s="31" t="s">
        <v>15</v>
      </c>
      <c r="D16" s="32"/>
      <c r="E16" s="32"/>
      <c r="F16" s="32"/>
      <c r="G16" s="32"/>
      <c r="H16" s="33" t="s">
        <v>10</v>
      </c>
      <c r="I16" s="33" t="s">
        <v>11</v>
      </c>
      <c r="J16" s="26"/>
      <c r="K16" s="27">
        <v>0.98</v>
      </c>
      <c r="L16" s="27">
        <v>0.99</v>
      </c>
      <c r="M16" s="27" t="s">
        <v>12</v>
      </c>
      <c r="N16" s="53" t="s">
        <v>16</v>
      </c>
      <c r="O16" s="67" t="s">
        <v>17</v>
      </c>
      <c r="P16" s="71"/>
    </row>
    <row r="17" spans="1:24" s="3" customFormat="1">
      <c r="A17" s="49"/>
      <c r="B17" s="64"/>
      <c r="C17" s="31"/>
      <c r="D17" s="32"/>
      <c r="E17" s="32"/>
      <c r="F17" s="32"/>
      <c r="G17" s="32"/>
      <c r="H17" s="33"/>
      <c r="I17" s="33"/>
      <c r="J17" s="26"/>
      <c r="K17" s="27"/>
      <c r="L17" s="27"/>
      <c r="M17" s="27"/>
      <c r="N17" s="53"/>
      <c r="O17" s="67"/>
    </row>
    <row r="18" spans="1:24" s="2" customFormat="1" ht="45">
      <c r="A18" s="51"/>
      <c r="B18" s="63">
        <v>1.4</v>
      </c>
      <c r="C18" s="31" t="s">
        <v>18</v>
      </c>
      <c r="D18" s="34"/>
      <c r="E18" s="34"/>
      <c r="F18" s="34"/>
      <c r="G18" s="34"/>
      <c r="H18" s="35"/>
      <c r="I18" s="35"/>
      <c r="J18" s="36"/>
      <c r="K18" s="27">
        <v>0.98</v>
      </c>
      <c r="L18" s="27">
        <v>0.99</v>
      </c>
      <c r="M18" s="27" t="s">
        <v>12</v>
      </c>
      <c r="N18" s="53" t="s">
        <v>19</v>
      </c>
      <c r="O18" s="67" t="s">
        <v>20</v>
      </c>
      <c r="P18" s="73"/>
    </row>
    <row r="19" spans="1:24" s="2" customFormat="1">
      <c r="A19" s="51"/>
      <c r="B19" s="48"/>
      <c r="C19" s="34"/>
      <c r="D19" s="34"/>
      <c r="E19" s="34"/>
      <c r="F19" s="34"/>
      <c r="G19" s="34"/>
      <c r="H19" s="35"/>
      <c r="I19" s="35"/>
      <c r="J19" s="36"/>
      <c r="K19" s="37"/>
      <c r="L19" s="37"/>
      <c r="M19" s="37"/>
      <c r="N19" s="53"/>
      <c r="O19" s="69"/>
    </row>
    <row r="20" spans="1:24" s="3" customFormat="1" ht="48.75" customHeight="1">
      <c r="A20" s="82"/>
      <c r="B20" s="83" t="s">
        <v>21</v>
      </c>
      <c r="C20" s="84" t="s">
        <v>22</v>
      </c>
      <c r="D20" s="85"/>
      <c r="E20" s="85"/>
      <c r="F20" s="85"/>
      <c r="G20" s="85"/>
      <c r="H20" s="33"/>
      <c r="I20" s="33"/>
      <c r="J20" s="26"/>
      <c r="K20" s="27"/>
      <c r="L20" s="27"/>
      <c r="M20" s="27"/>
      <c r="N20" s="53"/>
      <c r="O20" s="67"/>
      <c r="P20" s="90" t="s">
        <v>23</v>
      </c>
      <c r="Q20" s="95"/>
      <c r="R20" s="95"/>
      <c r="S20" s="95"/>
      <c r="T20" s="95"/>
      <c r="U20" s="95"/>
      <c r="V20" s="95"/>
      <c r="W20" s="95"/>
      <c r="X20" s="95"/>
    </row>
    <row r="21" spans="1:24" s="3" customFormat="1" ht="33.75">
      <c r="A21" s="51"/>
      <c r="B21" s="86" t="s">
        <v>24</v>
      </c>
      <c r="C21" s="87" t="s">
        <v>25</v>
      </c>
      <c r="D21" s="87"/>
      <c r="E21" s="87"/>
      <c r="F21" s="87"/>
      <c r="G21" s="87"/>
      <c r="H21" s="35"/>
      <c r="I21" s="35"/>
      <c r="J21" s="36"/>
      <c r="K21" s="27">
        <v>0.995</v>
      </c>
      <c r="L21" s="27">
        <v>0.99750000000000005</v>
      </c>
      <c r="M21" s="27" t="s">
        <v>12</v>
      </c>
      <c r="N21" s="53" t="s">
        <v>26</v>
      </c>
      <c r="O21" s="67" t="s">
        <v>27</v>
      </c>
      <c r="P21" s="91" t="s">
        <v>28</v>
      </c>
      <c r="Q21" s="91"/>
      <c r="R21" s="91"/>
      <c r="S21" s="91"/>
      <c r="T21" s="91"/>
      <c r="U21" s="91"/>
      <c r="V21" s="95"/>
      <c r="W21" s="95"/>
      <c r="X21" s="95"/>
    </row>
    <row r="22" spans="1:24" s="3" customFormat="1" ht="16.5" customHeight="1">
      <c r="A22" s="51"/>
      <c r="B22" s="75" t="s">
        <v>29</v>
      </c>
      <c r="C22" s="89" t="s">
        <v>30</v>
      </c>
      <c r="D22" s="87"/>
      <c r="E22" s="87"/>
      <c r="F22" s="87"/>
      <c r="G22" s="87"/>
      <c r="H22" s="35"/>
      <c r="I22" s="35"/>
      <c r="J22" s="36"/>
      <c r="K22" s="37"/>
      <c r="L22" s="37"/>
      <c r="M22" s="37"/>
      <c r="N22" s="53"/>
      <c r="O22" s="69"/>
      <c r="P22" s="92" t="s">
        <v>31</v>
      </c>
      <c r="Q22" s="93" t="s">
        <v>32</v>
      </c>
      <c r="R22" s="92" t="s">
        <v>33</v>
      </c>
      <c r="S22" s="92" t="s">
        <v>34</v>
      </c>
      <c r="T22" s="92" t="s">
        <v>35</v>
      </c>
      <c r="U22" s="93" t="s">
        <v>36</v>
      </c>
      <c r="V22" s="93" t="s">
        <v>37</v>
      </c>
      <c r="W22" s="93" t="s">
        <v>38</v>
      </c>
      <c r="X22" s="94" t="s">
        <v>39</v>
      </c>
    </row>
    <row r="23" spans="1:24" s="3" customFormat="1">
      <c r="A23" s="49"/>
      <c r="B23" s="75"/>
      <c r="C23" s="76"/>
      <c r="D23" s="77"/>
      <c r="E23" s="77"/>
      <c r="F23" s="77"/>
      <c r="G23" s="77"/>
      <c r="H23" s="33"/>
      <c r="I23" s="33"/>
      <c r="J23" s="26"/>
      <c r="K23" s="27"/>
      <c r="L23" s="27"/>
      <c r="M23" s="27"/>
      <c r="N23" s="53"/>
      <c r="O23" s="67"/>
      <c r="P23" s="96">
        <f>1000/1000</f>
        <v>1</v>
      </c>
      <c r="Q23" s="96">
        <f>300/1000</f>
        <v>0.3</v>
      </c>
      <c r="R23" s="97">
        <f>2/1000</f>
        <v>2E-3</v>
      </c>
      <c r="S23" s="97">
        <f>100/1000</f>
        <v>0.1</v>
      </c>
      <c r="T23" s="97">
        <f>1/1000</f>
        <v>1E-3</v>
      </c>
      <c r="U23" s="97">
        <f>R23</f>
        <v>2E-3</v>
      </c>
      <c r="V23" s="97">
        <f>T23</f>
        <v>1E-3</v>
      </c>
      <c r="W23" s="97">
        <f>(1000-1-2)/1000</f>
        <v>0.997</v>
      </c>
      <c r="X23" s="97">
        <f>(1000-300-2-100-1)/1000</f>
        <v>0.59699999999999998</v>
      </c>
    </row>
    <row r="24" spans="1:24" s="3" customFormat="1">
      <c r="A24" s="49"/>
      <c r="B24" s="77"/>
      <c r="C24" s="77"/>
      <c r="D24" s="77"/>
      <c r="E24" s="77"/>
      <c r="F24" s="77"/>
      <c r="G24" s="77"/>
      <c r="H24" s="33"/>
      <c r="I24" s="33"/>
      <c r="J24" s="26"/>
      <c r="K24" s="27"/>
      <c r="L24" s="88"/>
      <c r="M24" s="27"/>
      <c r="N24" s="53"/>
      <c r="O24" s="67"/>
    </row>
    <row r="25" spans="1:24" s="3" customFormat="1" ht="38.25" customHeight="1">
      <c r="A25" s="51"/>
      <c r="B25" s="86" t="s">
        <v>40</v>
      </c>
      <c r="C25" s="87" t="s">
        <v>41</v>
      </c>
      <c r="D25" s="87"/>
      <c r="E25" s="34"/>
      <c r="F25" s="34"/>
      <c r="G25" s="34"/>
      <c r="H25" s="35"/>
      <c r="I25" s="35"/>
      <c r="J25" s="36"/>
      <c r="K25" s="37"/>
      <c r="L25" s="37"/>
      <c r="M25" s="37"/>
      <c r="N25" s="53"/>
      <c r="O25" s="69"/>
    </row>
    <row r="26" spans="1:24" s="3" customFormat="1" ht="40.5" customHeight="1">
      <c r="A26" s="49"/>
      <c r="B26" s="75" t="s">
        <v>42</v>
      </c>
      <c r="C26" s="38" t="s">
        <v>43</v>
      </c>
      <c r="D26" s="32"/>
      <c r="E26" s="32"/>
      <c r="F26" s="32"/>
      <c r="G26" s="32"/>
      <c r="H26" s="33"/>
      <c r="I26" s="33"/>
      <c r="J26" s="26"/>
      <c r="K26" s="27">
        <v>0.98499999999999999</v>
      </c>
      <c r="L26" s="27">
        <v>0.995</v>
      </c>
      <c r="M26" s="27" t="s">
        <v>12</v>
      </c>
      <c r="N26" s="53" t="s">
        <v>44</v>
      </c>
      <c r="O26" s="67" t="s">
        <v>45</v>
      </c>
    </row>
    <row r="27" spans="1:24" s="3" customFormat="1">
      <c r="A27" s="51"/>
      <c r="B27" s="75"/>
      <c r="C27" s="31"/>
      <c r="D27" s="34"/>
      <c r="E27" s="34"/>
      <c r="F27" s="34"/>
      <c r="G27" s="34"/>
      <c r="H27" s="35"/>
      <c r="I27" s="35"/>
      <c r="J27" s="36"/>
      <c r="K27" s="37"/>
      <c r="L27" s="37"/>
      <c r="M27" s="37"/>
      <c r="N27" s="53"/>
      <c r="O27" s="69"/>
    </row>
    <row r="28" spans="1:24" s="3" customFormat="1" ht="54" customHeight="1">
      <c r="A28" s="49"/>
      <c r="B28" s="75" t="s">
        <v>46</v>
      </c>
      <c r="C28" s="38" t="s">
        <v>47</v>
      </c>
      <c r="D28" s="32"/>
      <c r="E28" s="32"/>
      <c r="F28" s="32"/>
      <c r="G28" s="32"/>
      <c r="H28" s="33" t="s">
        <v>48</v>
      </c>
      <c r="I28" s="33" t="s">
        <v>49</v>
      </c>
      <c r="J28" s="26"/>
      <c r="K28" s="27">
        <v>0.98499999999999999</v>
      </c>
      <c r="L28" s="27">
        <v>0.995</v>
      </c>
      <c r="M28" s="27" t="s">
        <v>12</v>
      </c>
      <c r="N28" s="53" t="s">
        <v>50</v>
      </c>
      <c r="O28" s="67" t="s">
        <v>45</v>
      </c>
    </row>
    <row r="29" spans="1:24" s="3" customFormat="1" ht="18.75" customHeight="1">
      <c r="A29" s="49"/>
      <c r="B29" s="75" t="s">
        <v>29</v>
      </c>
      <c r="C29" s="89" t="s">
        <v>51</v>
      </c>
      <c r="D29" s="13"/>
      <c r="E29" s="13"/>
      <c r="F29" s="13"/>
      <c r="G29" s="13"/>
      <c r="H29" s="33"/>
      <c r="I29" s="33"/>
      <c r="J29" s="26"/>
      <c r="K29" s="27"/>
      <c r="L29" s="27"/>
      <c r="M29" s="27"/>
      <c r="N29" s="53"/>
      <c r="O29" s="67"/>
    </row>
    <row r="30" spans="1:24" s="2" customFormat="1" ht="12.75" customHeight="1">
      <c r="A30" s="49"/>
      <c r="B30" s="62" t="s">
        <v>52</v>
      </c>
      <c r="C30" s="30" t="s">
        <v>53</v>
      </c>
      <c r="D30" s="13"/>
      <c r="E30" s="13"/>
      <c r="F30" s="13"/>
      <c r="G30" s="13"/>
      <c r="H30" s="33"/>
      <c r="I30" s="33"/>
      <c r="J30" s="26"/>
      <c r="K30" s="27"/>
      <c r="L30" s="27"/>
      <c r="M30" s="27"/>
      <c r="N30" s="53"/>
      <c r="O30" s="67"/>
    </row>
    <row r="31" spans="1:24" s="3" customFormat="1" ht="51">
      <c r="A31" s="49"/>
      <c r="B31" s="66" t="s">
        <v>54</v>
      </c>
      <c r="C31" s="38" t="s">
        <v>55</v>
      </c>
      <c r="D31" s="13"/>
      <c r="E31" s="13"/>
      <c r="F31" s="13"/>
      <c r="G31" s="13"/>
      <c r="H31" s="33"/>
      <c r="I31" s="33" t="s">
        <v>56</v>
      </c>
      <c r="J31" s="26"/>
      <c r="K31" s="27">
        <v>0.995</v>
      </c>
      <c r="L31" s="27">
        <v>0.998</v>
      </c>
      <c r="M31" s="27" t="s">
        <v>57</v>
      </c>
      <c r="N31" s="53" t="s">
        <v>58</v>
      </c>
      <c r="O31" s="67" t="s">
        <v>59</v>
      </c>
    </row>
    <row r="32" spans="1:24" s="2" customFormat="1" ht="12.75" customHeight="1">
      <c r="A32" s="49"/>
      <c r="B32" s="66" t="s">
        <v>60</v>
      </c>
      <c r="C32" s="38" t="s">
        <v>61</v>
      </c>
      <c r="D32" s="13"/>
      <c r="E32" s="13"/>
      <c r="F32" s="13"/>
      <c r="G32" s="13"/>
      <c r="H32" s="33"/>
      <c r="I32" s="33"/>
      <c r="J32" s="26"/>
      <c r="K32" s="27">
        <v>0.995</v>
      </c>
      <c r="L32" s="27">
        <v>0.998</v>
      </c>
      <c r="M32" s="27" t="s">
        <v>12</v>
      </c>
      <c r="N32" s="53" t="s">
        <v>58</v>
      </c>
      <c r="O32" s="67" t="s">
        <v>59</v>
      </c>
    </row>
    <row r="33" spans="1:15" s="3" customFormat="1">
      <c r="A33" s="51"/>
      <c r="B33" s="65"/>
      <c r="C33" s="31"/>
      <c r="D33" s="34"/>
      <c r="E33" s="34"/>
      <c r="F33" s="34"/>
      <c r="G33" s="34"/>
      <c r="H33" s="35"/>
      <c r="I33" s="35"/>
      <c r="J33" s="36"/>
      <c r="K33" s="37"/>
      <c r="L33" s="37"/>
      <c r="M33" s="27"/>
      <c r="N33" s="53"/>
      <c r="O33" s="69"/>
    </row>
    <row r="34" spans="1:15" s="3" customFormat="1" ht="19.5" customHeight="1">
      <c r="A34" s="49"/>
      <c r="B34" s="66" t="s">
        <v>62</v>
      </c>
      <c r="C34" s="31" t="s">
        <v>63</v>
      </c>
      <c r="D34" s="32"/>
      <c r="E34" s="32"/>
      <c r="F34" s="32"/>
      <c r="G34" s="32"/>
      <c r="H34" s="33" t="s">
        <v>64</v>
      </c>
      <c r="I34" s="33" t="s">
        <v>65</v>
      </c>
      <c r="J34" s="26"/>
      <c r="K34" s="27">
        <v>1E-3</v>
      </c>
      <c r="L34" s="27">
        <v>2.9999999999999997E-4</v>
      </c>
      <c r="M34" s="27" t="s">
        <v>12</v>
      </c>
      <c r="N34" s="70" t="s">
        <v>66</v>
      </c>
      <c r="O34" s="67" t="s">
        <v>67</v>
      </c>
    </row>
    <row r="35" spans="1:15" s="3" customFormat="1" ht="12.75" customHeight="1">
      <c r="A35" s="51"/>
      <c r="B35" s="65"/>
      <c r="C35" s="31"/>
      <c r="D35" s="34"/>
      <c r="E35" s="34"/>
      <c r="F35" s="34"/>
      <c r="G35" s="34"/>
      <c r="H35" s="35"/>
      <c r="I35" s="35"/>
      <c r="J35" s="36"/>
      <c r="K35" s="37"/>
      <c r="L35" s="37"/>
      <c r="M35" s="27"/>
      <c r="N35" s="70"/>
      <c r="O35" s="69"/>
    </row>
    <row r="36" spans="1:15" s="3" customFormat="1" ht="15">
      <c r="A36" s="49"/>
      <c r="B36" s="62" t="s">
        <v>68</v>
      </c>
      <c r="C36" s="30" t="s">
        <v>69</v>
      </c>
      <c r="D36" s="13"/>
      <c r="E36" s="13"/>
      <c r="F36" s="13"/>
      <c r="G36" s="13"/>
      <c r="H36" s="33"/>
      <c r="I36" s="33"/>
      <c r="J36" s="26"/>
      <c r="K36" s="27"/>
      <c r="L36" s="27"/>
      <c r="M36" s="27"/>
      <c r="N36" s="70"/>
      <c r="O36" s="67"/>
    </row>
    <row r="37" spans="1:15" s="3" customFormat="1" ht="58.5" customHeight="1">
      <c r="A37" s="49"/>
      <c r="B37" s="66" t="s">
        <v>70</v>
      </c>
      <c r="C37" s="38" t="s">
        <v>71</v>
      </c>
      <c r="D37" s="13"/>
      <c r="E37" s="13"/>
      <c r="F37" s="13"/>
      <c r="G37" s="13"/>
      <c r="H37" s="33" t="s">
        <v>72</v>
      </c>
      <c r="I37" s="33" t="s">
        <v>56</v>
      </c>
      <c r="J37" s="26"/>
      <c r="K37" s="27">
        <v>5.0000000000000001E-3</v>
      </c>
      <c r="L37" s="27">
        <v>2.5000000000000001E-3</v>
      </c>
      <c r="M37" s="27" t="s">
        <v>12</v>
      </c>
      <c r="N37" s="53" t="s">
        <v>73</v>
      </c>
      <c r="O37" s="67" t="s">
        <v>74</v>
      </c>
    </row>
    <row r="38" spans="1:15" s="2" customFormat="1" ht="12.75" customHeight="1">
      <c r="A38" s="49"/>
      <c r="B38" s="66" t="s">
        <v>75</v>
      </c>
      <c r="C38" s="38" t="s">
        <v>76</v>
      </c>
      <c r="D38" s="13"/>
      <c r="E38" s="13"/>
      <c r="F38" s="13"/>
      <c r="G38" s="13"/>
      <c r="H38" s="33"/>
      <c r="I38" s="33"/>
      <c r="J38" s="26"/>
      <c r="K38" s="27">
        <v>5.0000000000000001E-3</v>
      </c>
      <c r="L38" s="27">
        <v>2.5000000000000001E-3</v>
      </c>
      <c r="M38" s="27" t="s">
        <v>12</v>
      </c>
      <c r="N38" s="53" t="s">
        <v>77</v>
      </c>
      <c r="O38" s="67" t="s">
        <v>78</v>
      </c>
    </row>
    <row r="39" spans="1:15" s="3" customFormat="1" ht="51">
      <c r="A39" s="49"/>
      <c r="B39" s="66" t="s">
        <v>79</v>
      </c>
      <c r="C39" s="38" t="s">
        <v>80</v>
      </c>
      <c r="D39" s="13"/>
      <c r="E39" s="13"/>
      <c r="F39" s="13"/>
      <c r="G39" s="13"/>
      <c r="H39" s="33"/>
      <c r="I39" s="33"/>
      <c r="J39" s="26"/>
      <c r="K39" s="27">
        <v>5.0000000000000001E-3</v>
      </c>
      <c r="L39" s="27">
        <v>2.5000000000000001E-3</v>
      </c>
      <c r="M39" s="27" t="s">
        <v>12</v>
      </c>
      <c r="N39" s="53" t="s">
        <v>81</v>
      </c>
      <c r="O39" s="67" t="s">
        <v>82</v>
      </c>
    </row>
    <row r="40" spans="1:15" s="2" customFormat="1" ht="12.75" customHeight="1">
      <c r="A40" s="49"/>
      <c r="B40" s="66" t="s">
        <v>83</v>
      </c>
      <c r="C40" s="38" t="s">
        <v>84</v>
      </c>
      <c r="D40" s="13"/>
      <c r="E40" s="13"/>
      <c r="F40" s="13"/>
      <c r="G40" s="13"/>
      <c r="H40" s="33"/>
      <c r="I40" s="33"/>
      <c r="J40" s="26"/>
      <c r="K40" s="27">
        <v>5.0000000000000001E-3</v>
      </c>
      <c r="L40" s="27">
        <v>2.5000000000000001E-3</v>
      </c>
      <c r="M40" s="27" t="s">
        <v>12</v>
      </c>
      <c r="N40" s="53" t="s">
        <v>85</v>
      </c>
      <c r="O40" s="67" t="s">
        <v>86</v>
      </c>
    </row>
    <row r="41" spans="1:15" s="3" customFormat="1" ht="12.75" customHeight="1">
      <c r="A41" s="51"/>
      <c r="B41" s="65"/>
      <c r="C41" s="31"/>
      <c r="D41" s="34"/>
      <c r="E41" s="34"/>
      <c r="F41" s="34"/>
      <c r="G41" s="34"/>
      <c r="H41" s="35"/>
      <c r="I41" s="35"/>
      <c r="J41" s="36"/>
      <c r="K41" s="37"/>
      <c r="L41" s="37"/>
      <c r="M41" s="27"/>
      <c r="N41" s="53"/>
      <c r="O41" s="69"/>
    </row>
    <row r="42" spans="1:15" s="3" customFormat="1" ht="53.25" customHeight="1">
      <c r="A42" s="49"/>
      <c r="B42" s="66" t="s">
        <v>87</v>
      </c>
      <c r="C42" s="31" t="s">
        <v>88</v>
      </c>
      <c r="D42" s="32"/>
      <c r="E42" s="32"/>
      <c r="F42" s="32"/>
      <c r="G42" s="32"/>
      <c r="H42" s="33" t="s">
        <v>64</v>
      </c>
      <c r="I42" s="33" t="s">
        <v>65</v>
      </c>
      <c r="J42" s="26"/>
      <c r="K42" s="27">
        <v>0.85</v>
      </c>
      <c r="L42" s="27">
        <v>0.9</v>
      </c>
      <c r="M42" s="27" t="s">
        <v>12</v>
      </c>
      <c r="N42" s="53" t="s">
        <v>89</v>
      </c>
      <c r="O42" s="67" t="s">
        <v>90</v>
      </c>
    </row>
    <row r="43" spans="1:15" s="3" customFormat="1" ht="15.75" customHeight="1">
      <c r="A43" s="51"/>
      <c r="B43" s="65"/>
      <c r="C43" s="31"/>
      <c r="D43" s="34"/>
      <c r="E43" s="34"/>
      <c r="F43" s="34"/>
      <c r="G43" s="34"/>
      <c r="H43" s="35"/>
      <c r="I43" s="35"/>
      <c r="J43" s="36"/>
      <c r="K43" s="37"/>
      <c r="L43" s="37"/>
      <c r="M43" s="37"/>
      <c r="N43" s="53"/>
      <c r="O43" s="69"/>
    </row>
    <row r="44" spans="1:15" s="3" customFormat="1" ht="36.75" customHeight="1">
      <c r="A44" s="49"/>
      <c r="B44" s="66" t="s">
        <v>83</v>
      </c>
      <c r="C44" s="38" t="s">
        <v>91</v>
      </c>
      <c r="D44" s="32"/>
      <c r="E44" s="32"/>
      <c r="F44" s="32"/>
      <c r="G44" s="32"/>
      <c r="H44" s="33" t="s">
        <v>48</v>
      </c>
      <c r="I44" s="33" t="s">
        <v>49</v>
      </c>
      <c r="J44" s="26"/>
      <c r="K44" s="27">
        <v>0.99</v>
      </c>
      <c r="L44" s="27">
        <v>0.995</v>
      </c>
      <c r="M44" s="27" t="s">
        <v>12</v>
      </c>
      <c r="N44" s="53" t="s">
        <v>92</v>
      </c>
      <c r="O44" s="67" t="s">
        <v>93</v>
      </c>
    </row>
    <row r="45" spans="1:15" s="3" customFormat="1" ht="22.5">
      <c r="A45" s="13"/>
      <c r="B45" s="66" t="s">
        <v>87</v>
      </c>
      <c r="C45" s="34" t="s">
        <v>94</v>
      </c>
      <c r="D45" s="34"/>
      <c r="E45" s="34"/>
      <c r="F45" s="34"/>
      <c r="G45" s="34"/>
      <c r="H45" s="78"/>
      <c r="I45" s="78"/>
      <c r="J45" s="79"/>
      <c r="K45" s="80" t="s">
        <v>95</v>
      </c>
      <c r="L45" s="80" t="s">
        <v>96</v>
      </c>
      <c r="M45" s="80" t="s">
        <v>97</v>
      </c>
      <c r="N45" s="53" t="s">
        <v>98</v>
      </c>
      <c r="O45" s="67"/>
    </row>
    <row r="46" spans="1:15" s="2" customFormat="1" ht="12.75" customHeight="1">
      <c r="A46" s="57"/>
      <c r="B46" s="81" t="s">
        <v>99</v>
      </c>
      <c r="C46" s="5" t="s">
        <v>100</v>
      </c>
      <c r="D46" s="5"/>
      <c r="E46" s="5"/>
      <c r="F46" s="5"/>
      <c r="G46" s="5"/>
      <c r="H46" s="39"/>
      <c r="I46" s="39"/>
      <c r="J46" s="40"/>
      <c r="K46" s="74" t="s">
        <v>52</v>
      </c>
      <c r="L46" s="74" t="s">
        <v>7</v>
      </c>
      <c r="M46" s="74" t="s">
        <v>97</v>
      </c>
      <c r="N46" s="54" t="s">
        <v>101</v>
      </c>
      <c r="O46" s="67"/>
    </row>
    <row r="47" spans="1:15" s="3" customFormat="1" ht="13.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0"/>
      <c r="O47" s="1"/>
    </row>
    <row r="48" spans="1:15" s="2" customFormat="1" ht="12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"/>
    </row>
    <row r="49" spans="1:15" s="3" customFormat="1" ht="87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/>
      <c r="O49" s="1"/>
    </row>
    <row r="50" spans="1:15" s="3" customFormat="1" ht="60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  <c r="O50" s="1"/>
    </row>
    <row r="51" spans="1:15" s="3" customFormat="1" ht="60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0"/>
      <c r="O51" s="1"/>
    </row>
    <row r="52" spans="1:1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</row>
    <row r="53" spans="1:1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</row>
    <row r="54" spans="1:1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</row>
    <row r="55" spans="1:1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</row>
    <row r="56" spans="1:1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</row>
    <row r="57" spans="1:1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spans="1:1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</row>
    <row r="59" spans="1:1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</row>
    <row r="60" spans="1:1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</row>
    <row r="61" spans="1:1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</row>
    <row r="62" spans="1: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</row>
    <row r="63" spans="1:1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spans="1:1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</row>
    <row r="65" spans="1: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spans="1: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</row>
    <row r="67" spans="1:1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spans="1:1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</row>
    <row r="69" spans="1:1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spans="1:1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</row>
    <row r="71" spans="1:1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</row>
    <row r="72" spans="1:1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</row>
    <row r="73" spans="1:1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</row>
    <row r="74" spans="1:1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</row>
    <row r="75" spans="1:1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</row>
    <row r="76" spans="1:1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</row>
    <row r="77" spans="1:1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</row>
    <row r="78" spans="1:1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</row>
    <row r="79" spans="1:1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</row>
    <row r="80" spans="1:1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</row>
    <row r="81" spans="1:1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</row>
    <row r="82" spans="1:1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</row>
    <row r="83" spans="1:1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</row>
    <row r="84" spans="1:1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</row>
    <row r="85" spans="1:1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</row>
    <row r="86" spans="1:1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</row>
    <row r="87" spans="1:1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</row>
    <row r="88" spans="1:1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</row>
    <row r="89" spans="1:1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</row>
    <row r="90" spans="1:1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</row>
    <row r="105" spans="1:1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</row>
    <row r="106" spans="1:1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</row>
    <row r="107" spans="1:1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</row>
    <row r="108" spans="1:1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</row>
    <row r="109" spans="1:1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</row>
    <row r="110" spans="1:1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</row>
    <row r="111" spans="1:1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</row>
    <row r="112" spans="1:1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</row>
    <row r="113" spans="1: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</row>
    <row r="114" spans="1:1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</row>
    <row r="115" spans="1:1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</row>
    <row r="116" spans="1:1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</row>
    <row r="117" spans="1:1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</row>
    <row r="118" spans="1:1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</row>
    <row r="119" spans="1:1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</row>
    <row r="120" spans="1:1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</row>
    <row r="121" spans="1:1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</row>
    <row r="122" spans="1:1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</row>
    <row r="123" spans="1:1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</row>
    <row r="124" spans="1:1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</row>
    <row r="125" spans="1:1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</row>
    <row r="126" spans="1:1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</row>
    <row r="127" spans="1:1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</row>
    <row r="128" spans="1:1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</row>
    <row r="130" spans="1:1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</row>
    <row r="131" spans="1:1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</row>
    <row r="132" spans="1:1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</row>
    <row r="133" spans="1:1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</row>
    <row r="134" spans="1:1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</row>
    <row r="135" spans="1:1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</row>
    <row r="136" spans="1:1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</row>
    <row r="137" spans="1:1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</row>
    <row r="138" spans="1:1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</row>
    <row r="139" spans="1:1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</row>
    <row r="140" spans="1:1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</row>
    <row r="141" spans="1:1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</row>
    <row r="142" spans="1:1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</row>
    <row r="143" spans="1:1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</row>
    <row r="144" spans="1:1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</row>
    <row r="145" spans="1:1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</row>
    <row r="146" spans="1:1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</row>
    <row r="147" spans="1:1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</row>
    <row r="148" spans="1:1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</row>
    <row r="149" spans="1:1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</row>
    <row r="150" spans="1:1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</row>
    <row r="151" spans="1:1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</row>
    <row r="152" spans="1:1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</row>
    <row r="153" spans="1:1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</row>
    <row r="154" spans="1:1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</row>
    <row r="155" spans="1:1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</row>
    <row r="156" spans="1:1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</row>
    <row r="157" spans="1:1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</row>
    <row r="158" spans="1:1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</row>
    <row r="159" spans="1:1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  <row r="160" spans="1:1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</row>
    <row r="161" spans="1:1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</row>
    <row r="162" spans="1:1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</row>
    <row r="163" spans="1:1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</row>
    <row r="164" spans="1:1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</row>
    <row r="165" spans="1:1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</row>
    <row r="166" spans="1:1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</row>
    <row r="167" spans="1:1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</row>
    <row r="168" spans="1:1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</row>
    <row r="169" spans="1:1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</row>
    <row r="170" spans="1:1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</row>
    <row r="171" spans="1:1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</row>
    <row r="172" spans="1:1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</row>
    <row r="173" spans="1:1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</row>
    <row r="174" spans="1:1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</row>
    <row r="175" spans="1:1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</row>
    <row r="176" spans="1:1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</row>
    <row r="177" spans="1:1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</row>
    <row r="178" spans="1:1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</row>
    <row r="179" spans="1:1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</row>
    <row r="180" spans="1:1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</row>
    <row r="181" spans="1:1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</row>
    <row r="182" spans="1:1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</row>
    <row r="183" spans="1:1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</row>
    <row r="184" spans="1:1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</row>
    <row r="185" spans="1:1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</row>
    <row r="186" spans="1:1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</row>
    <row r="187" spans="1:1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</row>
    <row r="188" spans="1:1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</row>
    <row r="189" spans="1:1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</row>
    <row r="190" spans="1:1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</row>
    <row r="191" spans="1:1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</row>
    <row r="192" spans="1:1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</row>
    <row r="193" spans="1:1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</row>
    <row r="194" spans="1:1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</row>
    <row r="195" spans="1:1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</row>
    <row r="196" spans="1:1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</row>
    <row r="197" spans="1:1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</row>
    <row r="198" spans="1:1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</row>
    <row r="199" spans="1:1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</row>
    <row r="200" spans="1:1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</row>
    <row r="201" spans="1:1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</row>
    <row r="202" spans="1:1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</row>
    <row r="203" spans="1:1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</row>
    <row r="204" spans="1:1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</row>
    <row r="205" spans="1:1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</row>
    <row r="206" spans="1:1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</row>
    <row r="207" spans="1:1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</row>
    <row r="208" spans="1:1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</row>
    <row r="209" spans="1:1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</row>
    <row r="210" spans="1:1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</row>
    <row r="211" spans="1:1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</row>
    <row r="212" spans="1:1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</row>
    <row r="213" spans="1: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</row>
    <row r="214" spans="1:1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</row>
    <row r="215" spans="1:1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</row>
    <row r="216" spans="1:1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</row>
    <row r="217" spans="1:1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</row>
    <row r="218" spans="1:1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</row>
    <row r="219" spans="1:1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</row>
    <row r="220" spans="1:1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</row>
    <row r="221" spans="1:1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</row>
    <row r="222" spans="1:1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</row>
    <row r="223" spans="1:1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</row>
    <row r="224" spans="1:1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</row>
    <row r="225" spans="1:1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</row>
    <row r="226" spans="1:1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</row>
    <row r="227" spans="1:1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</row>
    <row r="228" spans="1:1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</row>
    <row r="229" spans="1:1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</row>
    <row r="230" spans="1:1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</row>
    <row r="231" spans="1:1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</row>
    <row r="232" spans="1:1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</row>
    <row r="233" spans="1:1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</row>
    <row r="234" spans="1:1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</row>
    <row r="235" spans="1:1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</row>
    <row r="236" spans="1:1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</row>
    <row r="237" spans="1:1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</row>
    <row r="238" spans="1:1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</row>
    <row r="239" spans="1:1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</row>
    <row r="240" spans="1:1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</row>
    <row r="241" spans="1:1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</row>
    <row r="242" spans="1:1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</row>
    <row r="243" spans="1:1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</row>
    <row r="244" spans="1:1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</row>
    <row r="245" spans="1:1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</row>
    <row r="246" spans="1:1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</row>
    <row r="247" spans="1:1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</row>
    <row r="248" spans="1:1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</row>
    <row r="249" spans="1:1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</row>
    <row r="250" spans="1:1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</row>
    <row r="251" spans="1:1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</row>
    <row r="252" spans="1:1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</row>
    <row r="253" spans="1:1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</row>
    <row r="254" spans="1:1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</row>
    <row r="255" spans="1:1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</row>
    <row r="256" spans="1:1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</row>
    <row r="257" spans="1:1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</row>
    <row r="258" spans="1:1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</row>
    <row r="259" spans="1:1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</row>
    <row r="260" spans="1:1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</row>
    <row r="261" spans="1:1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</row>
    <row r="262" spans="1:1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</row>
    <row r="263" spans="1:1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</row>
    <row r="264" spans="1:1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</row>
    <row r="265" spans="1:1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</row>
    <row r="266" spans="1:1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</row>
    <row r="267" spans="1:1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</row>
    <row r="268" spans="1:1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</row>
    <row r="269" spans="1:1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</row>
    <row r="270" spans="1:1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</row>
    <row r="271" spans="1:1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</row>
    <row r="272" spans="1:1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</row>
    <row r="273" spans="1:1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</row>
    <row r="274" spans="1:1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</row>
    <row r="275" spans="1:1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</row>
    <row r="276" spans="1:1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</row>
    <row r="277" spans="1:1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</row>
    <row r="278" spans="1:1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</row>
    <row r="279" spans="1:1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</row>
    <row r="280" spans="1:1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</row>
    <row r="281" spans="1:1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</row>
    <row r="282" spans="1:1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</row>
    <row r="283" spans="1:1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</row>
    <row r="284" spans="1:1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</row>
    <row r="285" spans="1:1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</row>
    <row r="286" spans="1:1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</row>
    <row r="287" spans="1:1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</row>
    <row r="288" spans="1:1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</row>
    <row r="289" spans="1:1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</row>
    <row r="290" spans="1:1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</row>
    <row r="291" spans="1:1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</row>
    <row r="292" spans="1:1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  <row r="293" spans="1:1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</row>
    <row r="294" spans="1:1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</row>
    <row r="295" spans="1:1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</row>
    <row r="296" spans="1:1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</row>
    <row r="297" spans="1:1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</row>
    <row r="298" spans="1:1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</row>
    <row r="299" spans="1:1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</row>
    <row r="300" spans="1:1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</row>
    <row r="301" spans="1:1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</row>
    <row r="302" spans="1:1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</row>
    <row r="303" spans="1:1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</row>
    <row r="304" spans="1:1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</row>
    <row r="305" spans="1:1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</row>
    <row r="306" spans="1:1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</row>
    <row r="307" spans="1:1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</row>
    <row r="308" spans="1:1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</row>
    <row r="309" spans="1:1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</row>
    <row r="310" spans="1:1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</row>
    <row r="311" spans="1:1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</row>
    <row r="312" spans="1:1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</row>
    <row r="313" spans="1: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</row>
    <row r="314" spans="1:1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</row>
    <row r="315" spans="1:1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</row>
    <row r="316" spans="1:1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</row>
    <row r="317" spans="1:1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</row>
    <row r="318" spans="1:1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</row>
    <row r="319" spans="1:1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</row>
    <row r="320" spans="1:1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</row>
    <row r="321" spans="1:1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</row>
    <row r="322" spans="1:1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</row>
    <row r="323" spans="1:1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</row>
    <row r="324" spans="1:1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</row>
    <row r="325" spans="1:1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</row>
    <row r="326" spans="1:1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</row>
    <row r="327" spans="1:1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</row>
    <row r="328" spans="1:1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</row>
    <row r="329" spans="1:1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</row>
    <row r="330" spans="1:1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</row>
    <row r="331" spans="1:1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</row>
    <row r="332" spans="1:1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</row>
    <row r="333" spans="1:1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</row>
    <row r="334" spans="1:1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</row>
    <row r="335" spans="1:1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</row>
    <row r="336" spans="1:1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</row>
    <row r="337" spans="1:1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</row>
    <row r="338" spans="1:1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</row>
    <row r="339" spans="1:1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</row>
    <row r="340" spans="1:1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</row>
    <row r="341" spans="1:1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</row>
    <row r="342" spans="1:1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</row>
    <row r="343" spans="1:1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</row>
    <row r="344" spans="1:1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</row>
    <row r="345" spans="1:1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</row>
    <row r="346" spans="1:1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</row>
    <row r="347" spans="1:1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</row>
    <row r="348" spans="1:1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</row>
    <row r="349" spans="1:1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</row>
    <row r="350" spans="1:1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</row>
    <row r="351" spans="1:1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</row>
    <row r="352" spans="1:1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</row>
    <row r="353" spans="1:1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</row>
    <row r="354" spans="1:1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</row>
    <row r="355" spans="1:1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</row>
    <row r="356" spans="1:1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</row>
    <row r="357" spans="1:1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</row>
    <row r="358" spans="1:1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</row>
    <row r="359" spans="1:1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</row>
    <row r="360" spans="1:1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</row>
    <row r="361" spans="1:1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</row>
    <row r="362" spans="1:1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</row>
    <row r="363" spans="1:1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</row>
    <row r="364" spans="1:1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</row>
    <row r="365" spans="1:1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</row>
    <row r="366" spans="1:1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</row>
    <row r="367" spans="1:1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</row>
    <row r="368" spans="1:1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</row>
    <row r="369" spans="1:1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</row>
    <row r="370" spans="1:1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</row>
    <row r="371" spans="1:1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</row>
    <row r="372" spans="1:1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</row>
    <row r="373" spans="1:1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</row>
    <row r="374" spans="1:1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</row>
    <row r="375" spans="1:1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</row>
    <row r="376" spans="1:1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</row>
    <row r="377" spans="1:1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</row>
    <row r="378" spans="1:1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</row>
    <row r="379" spans="1:1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</row>
    <row r="380" spans="1:1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</row>
    <row r="381" spans="1:1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</row>
    <row r="382" spans="1:1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</row>
    <row r="383" spans="1:1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</row>
    <row r="384" spans="1:1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</row>
    <row r="385" spans="1:1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</row>
    <row r="386" spans="1:1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</row>
    <row r="387" spans="1:1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</row>
    <row r="388" spans="1:1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</row>
    <row r="389" spans="1:1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</row>
    <row r="390" spans="1:1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</row>
    <row r="391" spans="1:1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</row>
    <row r="392" spans="1:1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</row>
    <row r="393" spans="1:1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</row>
    <row r="394" spans="1:1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</row>
    <row r="395" spans="1:1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</row>
    <row r="396" spans="1:1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</row>
    <row r="397" spans="1:1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</row>
    <row r="398" spans="1:1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</row>
    <row r="399" spans="1:1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</row>
    <row r="400" spans="1:1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</row>
    <row r="401" spans="1:1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</row>
    <row r="402" spans="1:1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</row>
    <row r="403" spans="1:1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</row>
    <row r="404" spans="1:1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</row>
    <row r="405" spans="1:1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</row>
    <row r="406" spans="1:1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</row>
    <row r="407" spans="1:1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</row>
    <row r="408" spans="1:1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</row>
    <row r="409" spans="1:1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</row>
    <row r="410" spans="1:1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</row>
    <row r="411" spans="1:1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</row>
    <row r="412" spans="1:1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</row>
    <row r="413" spans="1: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</row>
    <row r="414" spans="1:1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</row>
    <row r="415" spans="1:1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</row>
    <row r="416" spans="1:1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</row>
    <row r="417" spans="1:1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</row>
    <row r="418" spans="1:1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</row>
    <row r="419" spans="1:1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</row>
    <row r="420" spans="1:1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</row>
    <row r="421" spans="1:1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</row>
    <row r="422" spans="1:1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</row>
    <row r="423" spans="1:1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</row>
    <row r="424" spans="1:1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</row>
    <row r="425" spans="1:1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</row>
    <row r="426" spans="1:1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</row>
    <row r="427" spans="1:1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</row>
    <row r="428" spans="1:1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</row>
    <row r="429" spans="1:1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</row>
    <row r="430" spans="1:1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</row>
    <row r="431" spans="1:1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</row>
    <row r="432" spans="1:1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</row>
    <row r="433" spans="1:1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</row>
    <row r="434" spans="1:1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</row>
    <row r="435" spans="1:1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</row>
    <row r="436" spans="1:1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</row>
    <row r="437" spans="1:1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</row>
    <row r="438" spans="1:1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</row>
    <row r="439" spans="1:1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</row>
    <row r="440" spans="1:1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</row>
    <row r="441" spans="1:1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</row>
    <row r="442" spans="1:1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</row>
    <row r="443" spans="1:1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</row>
    <row r="444" spans="1:1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</row>
    <row r="445" spans="1:1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</row>
    <row r="446" spans="1:1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</row>
    <row r="447" spans="1:1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</row>
    <row r="448" spans="1:1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</row>
    <row r="449" spans="1:1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</row>
    <row r="450" spans="1:1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</row>
    <row r="451" spans="1:1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</row>
    <row r="452" spans="1:1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</row>
    <row r="453" spans="1:1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</row>
    <row r="454" spans="1:1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</row>
    <row r="455" spans="1:1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</row>
    <row r="456" spans="1:1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</row>
    <row r="457" spans="1:1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</row>
    <row r="458" spans="1:1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</row>
    <row r="459" spans="1:1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</row>
    <row r="460" spans="1:1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</row>
    <row r="461" spans="1:1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</row>
    <row r="462" spans="1:1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spans="1:1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</row>
    <row r="464" spans="1:1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</row>
    <row r="465" spans="1:1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</row>
    <row r="466" spans="1:1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</row>
    <row r="467" spans="1:1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</row>
    <row r="468" spans="1:1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</row>
    <row r="469" spans="1:1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</row>
    <row r="470" spans="1:1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</row>
    <row r="471" spans="1:1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</row>
    <row r="472" spans="1:1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</row>
    <row r="473" spans="1:1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</row>
    <row r="474" spans="1:1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</row>
    <row r="475" spans="1:1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</row>
    <row r="476" spans="1:1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</row>
    <row r="477" spans="1:1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</row>
    <row r="478" spans="1:1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</row>
    <row r="479" spans="1:1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</row>
    <row r="480" spans="1:1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</row>
    <row r="481" spans="1:1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</row>
    <row r="482" spans="1:1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</row>
    <row r="483" spans="1:1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</row>
    <row r="484" spans="1:1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</row>
    <row r="485" spans="1:1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</row>
    <row r="486" spans="1:1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</row>
    <row r="487" spans="1:1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</row>
    <row r="488" spans="1:1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</row>
    <row r="489" spans="1:1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</row>
    <row r="490" spans="1:1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</row>
    <row r="491" spans="1:1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</row>
    <row r="492" spans="1:1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</row>
    <row r="493" spans="1:1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</row>
    <row r="494" spans="1:1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</row>
    <row r="495" spans="1:1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</row>
    <row r="496" spans="1:1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</row>
    <row r="497" spans="1:1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</row>
    <row r="498" spans="1:1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</row>
    <row r="499" spans="1:1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</row>
    <row r="500" spans="1:1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</row>
    <row r="501" spans="1:1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</row>
    <row r="502" spans="1:1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</row>
    <row r="503" spans="1:1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</row>
    <row r="504" spans="1:1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</row>
    <row r="505" spans="1:1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</row>
    <row r="506" spans="1:1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</row>
    <row r="507" spans="1:1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</row>
    <row r="508" spans="1:1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</row>
    <row r="509" spans="1:1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</row>
    <row r="510" spans="1:1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</row>
    <row r="511" spans="1:1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</row>
    <row r="512" spans="1:1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</row>
    <row r="513" spans="1: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</row>
    <row r="514" spans="1:1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</row>
    <row r="515" spans="1:1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</row>
    <row r="516" spans="1:1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</row>
    <row r="517" spans="1:1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</row>
    <row r="518" spans="1:1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</row>
    <row r="519" spans="1:1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</row>
    <row r="520" spans="1:1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</row>
    <row r="521" spans="1:1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</row>
    <row r="522" spans="1:1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</row>
    <row r="523" spans="1:1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</row>
    <row r="524" spans="1:1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</row>
    <row r="525" spans="1:1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</row>
    <row r="526" spans="1:1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</row>
    <row r="527" spans="1:1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</row>
    <row r="528" spans="1:1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</row>
    <row r="529" spans="1:1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</row>
    <row r="530" spans="1:1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</row>
    <row r="531" spans="1:1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</row>
    <row r="532" spans="1:1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</row>
    <row r="533" spans="1:1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</row>
    <row r="534" spans="1:1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</row>
    <row r="535" spans="1:1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</row>
    <row r="536" spans="1:1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</row>
    <row r="537" spans="1:1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</row>
    <row r="538" spans="1:1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</row>
    <row r="539" spans="1:1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</row>
    <row r="540" spans="1:1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</row>
    <row r="541" spans="1:1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</row>
    <row r="542" spans="1:1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</row>
    <row r="543" spans="1:1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</row>
    <row r="544" spans="1:1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spans="1:1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</row>
    <row r="546" spans="1:1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</row>
    <row r="547" spans="1:1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</row>
    <row r="548" spans="1:1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</row>
    <row r="549" spans="1:1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</row>
    <row r="550" spans="1:1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</row>
    <row r="551" spans="1:1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</row>
    <row r="552" spans="1:1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</row>
    <row r="553" spans="1:1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</row>
    <row r="554" spans="1:1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</row>
    <row r="555" spans="1:1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</row>
    <row r="556" spans="1:1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</row>
    <row r="557" spans="1:1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</row>
    <row r="558" spans="1:1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</row>
    <row r="559" spans="1:1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</row>
    <row r="560" spans="1:1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</row>
    <row r="561" spans="1:1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</row>
    <row r="562" spans="1:1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</row>
    <row r="563" spans="1:1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</row>
    <row r="564" spans="1:1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</row>
    <row r="565" spans="1:1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</row>
    <row r="566" spans="1:1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</row>
    <row r="567" spans="1:1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</row>
    <row r="568" spans="1:1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</row>
    <row r="569" spans="1:1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</row>
    <row r="570" spans="1:1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</row>
    <row r="571" spans="1:1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</row>
    <row r="572" spans="1:1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</row>
    <row r="573" spans="1:1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</row>
    <row r="574" spans="1:1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</row>
    <row r="575" spans="1:1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</row>
    <row r="576" spans="1:1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</row>
    <row r="577" spans="1:1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</row>
    <row r="578" spans="1:1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</row>
    <row r="579" spans="1:1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</row>
    <row r="580" spans="1:1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</row>
    <row r="581" spans="1:1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</row>
    <row r="582" spans="1:1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</row>
    <row r="583" spans="1:1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</row>
    <row r="584" spans="1:1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</row>
    <row r="585" spans="1:1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</row>
    <row r="586" spans="1:1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</row>
    <row r="587" spans="1:1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</row>
    <row r="588" spans="1:1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</row>
    <row r="589" spans="1:1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</row>
    <row r="590" spans="1:1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</row>
    <row r="591" spans="1:1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</row>
    <row r="592" spans="1:1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</row>
    <row r="593" spans="1:1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</row>
    <row r="594" spans="1:1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</row>
    <row r="595" spans="1:1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</row>
    <row r="596" spans="1:1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</row>
    <row r="597" spans="1:1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</row>
    <row r="598" spans="1:1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</row>
    <row r="599" spans="1:1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</row>
    <row r="600" spans="1:1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</row>
    <row r="601" spans="1:1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</row>
    <row r="602" spans="1:1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</row>
    <row r="603" spans="1:1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</row>
    <row r="604" spans="1:1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</row>
    <row r="605" spans="1:1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</row>
    <row r="606" spans="1:1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</row>
    <row r="607" spans="1:1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</row>
    <row r="608" spans="1:1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</row>
    <row r="609" spans="1:1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</row>
    <row r="610" spans="1:1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</row>
    <row r="611" spans="1:1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</row>
    <row r="612" spans="1:1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</row>
    <row r="613" spans="1: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</row>
    <row r="614" spans="1:1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</row>
    <row r="615" spans="1:1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</row>
    <row r="616" spans="1:1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</row>
    <row r="617" spans="1:1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</row>
    <row r="618" spans="1:1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</row>
    <row r="619" spans="1:1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</row>
    <row r="620" spans="1:1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</row>
    <row r="621" spans="1:1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</row>
    <row r="622" spans="1:1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</row>
    <row r="623" spans="1:1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</row>
    <row r="624" spans="1:1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</row>
    <row r="625" spans="1:1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</row>
    <row r="626" spans="1:1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</row>
    <row r="627" spans="1:1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</row>
    <row r="628" spans="1:1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</row>
    <row r="629" spans="1:1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</row>
    <row r="630" spans="1:1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</row>
    <row r="631" spans="1:1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</row>
    <row r="632" spans="1:1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</row>
    <row r="633" spans="1:1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</row>
    <row r="634" spans="1:1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</row>
    <row r="635" spans="1:1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</row>
    <row r="636" spans="1:1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</row>
    <row r="637" spans="1:1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</row>
    <row r="638" spans="1:1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</row>
    <row r="639" spans="1:1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</row>
    <row r="640" spans="1:1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</row>
    <row r="641" spans="1:1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</row>
    <row r="642" spans="1:1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</row>
    <row r="643" spans="1:1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</row>
    <row r="644" spans="1:1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</row>
    <row r="645" spans="1:1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</row>
    <row r="646" spans="1:1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</row>
    <row r="647" spans="1:1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</row>
    <row r="648" spans="1:1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</row>
    <row r="649" spans="1:1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</row>
    <row r="650" spans="1:1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</row>
    <row r="651" spans="1:1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</row>
    <row r="652" spans="1:1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</row>
    <row r="653" spans="1:1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</row>
    <row r="654" spans="1:1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</row>
    <row r="655" spans="1:1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</row>
    <row r="656" spans="1:1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</row>
    <row r="657" spans="1:1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</row>
    <row r="658" spans="1:1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</row>
    <row r="659" spans="1:1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</row>
    <row r="660" spans="1:1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</row>
    <row r="661" spans="1:1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</row>
    <row r="662" spans="1:1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</row>
    <row r="663" spans="1:1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</row>
    <row r="664" spans="1:1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</row>
    <row r="665" spans="1:1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</row>
    <row r="666" spans="1:1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</row>
    <row r="667" spans="1:1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</row>
    <row r="668" spans="1:1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</row>
    <row r="669" spans="1:1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</row>
    <row r="670" spans="1:1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</row>
    <row r="671" spans="1:1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</row>
    <row r="672" spans="1:1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</row>
    <row r="673" spans="1:1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</row>
    <row r="674" spans="1:1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</row>
    <row r="675" spans="1:1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</row>
    <row r="676" spans="1:1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</row>
    <row r="677" spans="1:1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</row>
    <row r="678" spans="1:1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</row>
    <row r="679" spans="1:1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</row>
    <row r="680" spans="1:1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</row>
    <row r="681" spans="1:1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</row>
    <row r="682" spans="1:1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</row>
    <row r="683" spans="1:1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</row>
    <row r="684" spans="1:1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</row>
    <row r="685" spans="1:1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</row>
    <row r="686" spans="1:1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</row>
    <row r="687" spans="1:1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</row>
    <row r="688" spans="1:1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</row>
    <row r="689" spans="1:1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</row>
    <row r="690" spans="1:1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</row>
    <row r="691" spans="1:1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</row>
    <row r="692" spans="1:1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</row>
    <row r="693" spans="1:1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</row>
    <row r="694" spans="1:1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</row>
    <row r="695" spans="1:1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</row>
    <row r="696" spans="1:1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</row>
    <row r="697" spans="1:1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</row>
    <row r="698" spans="1:1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</row>
    <row r="699" spans="1:1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</row>
    <row r="700" spans="1:1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</row>
    <row r="701" spans="1:1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</row>
    <row r="702" spans="1:1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</row>
    <row r="703" spans="1:1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</row>
    <row r="704" spans="1:1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</row>
    <row r="705" spans="1:1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</row>
    <row r="706" spans="1:1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</row>
    <row r="707" spans="1:1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</row>
    <row r="708" spans="1:1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</row>
    <row r="709" spans="1:1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</row>
    <row r="710" spans="1:1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</row>
    <row r="711" spans="1:1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</row>
    <row r="712" spans="1:1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</row>
    <row r="713" spans="1: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</row>
    <row r="714" spans="1:1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</row>
    <row r="715" spans="1:1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</row>
    <row r="716" spans="1:1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</row>
    <row r="717" spans="1:1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</row>
    <row r="718" spans="1:1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</row>
    <row r="719" spans="1:1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</row>
    <row r="720" spans="1:1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</row>
    <row r="721" spans="1:1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</row>
    <row r="722" spans="1:1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</row>
    <row r="723" spans="1:1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</row>
    <row r="724" spans="1:1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</row>
    <row r="725" spans="1:1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</row>
    <row r="726" spans="1:1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</row>
    <row r="727" spans="1:1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</row>
    <row r="728" spans="1:1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</row>
    <row r="729" spans="1:1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</row>
    <row r="730" spans="1:1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</row>
    <row r="731" spans="1:1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</row>
    <row r="732" spans="1:1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</row>
    <row r="733" spans="1:1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</row>
    <row r="734" spans="1:1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</row>
    <row r="735" spans="1:1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</row>
    <row r="736" spans="1:1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</row>
    <row r="737" spans="1:1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</row>
    <row r="738" spans="1:1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</row>
    <row r="739" spans="1:1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</row>
    <row r="740" spans="1:1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</row>
    <row r="741" spans="1:1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</row>
    <row r="742" spans="1:1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</row>
    <row r="743" spans="1:1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</row>
    <row r="744" spans="1:1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</row>
    <row r="745" spans="1:1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</row>
    <row r="746" spans="1:1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</row>
    <row r="747" spans="1:1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</row>
    <row r="748" spans="1:1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</row>
    <row r="749" spans="1:1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</row>
    <row r="750" spans="1:1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</row>
    <row r="751" spans="1:1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</row>
    <row r="752" spans="1:1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</row>
    <row r="753" spans="1:1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</row>
    <row r="754" spans="1:1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</row>
    <row r="755" spans="1:1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</row>
    <row r="756" spans="1:1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</row>
    <row r="757" spans="1:1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</row>
    <row r="758" spans="1:1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</row>
    <row r="759" spans="1:1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</row>
    <row r="760" spans="1:1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</row>
    <row r="761" spans="1:1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</row>
    <row r="762" spans="1:1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</row>
    <row r="763" spans="1:1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</row>
    <row r="764" spans="1:1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</row>
    <row r="765" spans="1:1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</row>
    <row r="766" spans="1:1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</row>
    <row r="767" spans="1:1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</row>
    <row r="768" spans="1:1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</row>
    <row r="769" spans="1:1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</row>
    <row r="770" spans="1:1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</row>
    <row r="771" spans="1:1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</row>
    <row r="772" spans="1:1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</row>
    <row r="773" spans="1:1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</row>
    <row r="774" spans="1:1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</row>
    <row r="775" spans="1:1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</row>
    <row r="776" spans="1:1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</row>
    <row r="777" spans="1:1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</row>
    <row r="778" spans="1:1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</row>
    <row r="779" spans="1:1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</row>
    <row r="780" spans="1:1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</row>
    <row r="781" spans="1:1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</row>
    <row r="782" spans="1:1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</row>
    <row r="783" spans="1:1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</row>
    <row r="784" spans="1:1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</row>
    <row r="785" spans="1:1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</row>
    <row r="786" spans="1:1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</row>
    <row r="787" spans="1:1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</row>
    <row r="788" spans="1:1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</row>
    <row r="789" spans="1:1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</row>
    <row r="790" spans="1:1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</row>
    <row r="791" spans="1:1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</row>
    <row r="792" spans="1:1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</row>
    <row r="793" spans="1:1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</row>
    <row r="794" spans="1:1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</row>
    <row r="795" spans="1:1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</row>
    <row r="796" spans="1:1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</row>
    <row r="797" spans="1:1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</row>
    <row r="798" spans="1:1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</row>
    <row r="799" spans="1:1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</row>
    <row r="800" spans="1:1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</row>
    <row r="801" spans="1:1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</row>
    <row r="802" spans="1:1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</row>
    <row r="803" spans="1:1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</row>
    <row r="804" spans="1:1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</row>
    <row r="805" spans="1:1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</row>
    <row r="806" spans="1:1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</row>
    <row r="807" spans="1:1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</row>
    <row r="808" spans="1:1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</row>
    <row r="809" spans="1:1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</row>
    <row r="810" spans="1:1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</row>
    <row r="811" spans="1:1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</row>
    <row r="812" spans="1:1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</row>
    <row r="813" spans="1: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</row>
    <row r="814" spans="1:1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</row>
    <row r="815" spans="1:1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</row>
    <row r="816" spans="1:1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</row>
    <row r="817" spans="1:1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</row>
    <row r="818" spans="1:1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</row>
    <row r="819" spans="1:1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</row>
    <row r="820" spans="1:1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</row>
    <row r="821" spans="1:1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</row>
    <row r="822" spans="1:1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</row>
    <row r="823" spans="1:1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</row>
    <row r="824" spans="1:1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</row>
    <row r="825" spans="1:1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</row>
    <row r="826" spans="1:1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</row>
    <row r="827" spans="1:1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</row>
    <row r="828" spans="1:1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</row>
    <row r="829" spans="1:1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</row>
    <row r="830" spans="1:1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</row>
    <row r="831" spans="1:1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</row>
    <row r="832" spans="1:1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</row>
    <row r="833" spans="1:1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</row>
    <row r="834" spans="1:1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</row>
    <row r="835" spans="1:1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</row>
    <row r="836" spans="1:1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</row>
    <row r="837" spans="1:1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</row>
    <row r="838" spans="1:1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</row>
    <row r="839" spans="1:1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</row>
    <row r="840" spans="1:1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</row>
    <row r="841" spans="1:1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</row>
    <row r="842" spans="1:1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</row>
    <row r="843" spans="1:1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</row>
    <row r="844" spans="1:1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</row>
    <row r="845" spans="1:1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</row>
    <row r="846" spans="1:1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</row>
    <row r="847" spans="1:1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</row>
    <row r="848" spans="1:1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</row>
    <row r="849" spans="1:1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</row>
    <row r="850" spans="1:1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</row>
    <row r="851" spans="1:1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</row>
    <row r="852" spans="1:1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</row>
    <row r="853" spans="1:1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</row>
    <row r="854" spans="1:1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</row>
    <row r="855" spans="1:1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</row>
    <row r="856" spans="1:1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</row>
    <row r="857" spans="1:1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</row>
    <row r="858" spans="1:1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</row>
    <row r="859" spans="1:1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</row>
    <row r="860" spans="1:1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</row>
    <row r="861" spans="1:1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</row>
    <row r="862" spans="1:1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</row>
    <row r="863" spans="1:1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</row>
    <row r="864" spans="1:1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</row>
    <row r="865" spans="1:1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</row>
    <row r="866" spans="1:1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</row>
    <row r="867" spans="1:1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</row>
    <row r="868" spans="1:1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</row>
    <row r="869" spans="1:1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</row>
    <row r="870" spans="1:1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spans="1:1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</row>
    <row r="872" spans="1:1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</row>
    <row r="873" spans="1:1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spans="1:1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</row>
    <row r="875" spans="1:1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</row>
    <row r="876" spans="1:1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spans="1:1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</row>
    <row r="878" spans="1:1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spans="1:1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</row>
    <row r="880" spans="1:1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</row>
    <row r="881" spans="1:1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</row>
    <row r="882" spans="1:1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spans="1:1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</row>
    <row r="884" spans="1:1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</row>
    <row r="885" spans="1:1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</row>
    <row r="886" spans="1:1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spans="1:1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</row>
    <row r="888" spans="1:1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</row>
    <row r="889" spans="1:1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</row>
    <row r="890" spans="1:1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spans="1:1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</row>
    <row r="892" spans="1:1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</row>
    <row r="893" spans="1:1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</row>
    <row r="894" spans="1:1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</row>
    <row r="895" spans="1:1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spans="1:1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</row>
    <row r="897" spans="1:1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spans="1:1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</row>
    <row r="899" spans="1:1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spans="1:1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</row>
    <row r="901" spans="1:1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spans="1:1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</row>
    <row r="903" spans="1:1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spans="1:1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</row>
    <row r="905" spans="1:1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spans="1:1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</row>
    <row r="907" spans="1:1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spans="1:1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</row>
    <row r="909" spans="1:1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</row>
    <row r="910" spans="1:1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</row>
    <row r="911" spans="1:1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spans="1:1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</row>
    <row r="913" spans="1: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</row>
    <row r="914" spans="1:1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</row>
    <row r="915" spans="1:1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spans="1:1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</row>
    <row r="917" spans="1:1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</row>
    <row r="918" spans="1:1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</row>
    <row r="919" spans="1:1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spans="1:1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</row>
    <row r="921" spans="1:1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</row>
    <row r="922" spans="1:1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</row>
    <row r="923" spans="1:1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spans="1:1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</row>
    <row r="925" spans="1:1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</row>
    <row r="926" spans="1:1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</row>
    <row r="927" spans="1:1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spans="1:1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</row>
    <row r="929" spans="1:1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spans="1:1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</row>
    <row r="931" spans="1:1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spans="1:1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</row>
    <row r="933" spans="1:1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spans="1:1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</row>
    <row r="935" spans="1:1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spans="1:1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</row>
    <row r="937" spans="1:1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spans="1:1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</row>
    <row r="939" spans="1:1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spans="1:1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</row>
    <row r="941" spans="1:1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spans="1:1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</row>
    <row r="943" spans="1:1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spans="1:1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</row>
    <row r="945" spans="1:1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spans="1:1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</row>
    <row r="947" spans="1:1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spans="1:1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</row>
    <row r="949" spans="1:1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spans="1:1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</row>
    <row r="951" spans="1:1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spans="1:1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</row>
    <row r="953" spans="1:1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spans="1:1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</row>
    <row r="955" spans="1:1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spans="1:1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</row>
    <row r="957" spans="1:1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spans="1:1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</row>
    <row r="959" spans="1:1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spans="1:1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</row>
    <row r="961" spans="1:1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spans="1:1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</row>
    <row r="963" spans="1:1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</row>
    <row r="964" spans="1:1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</row>
    <row r="965" spans="1:1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spans="1:1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</row>
    <row r="967" spans="1:1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</row>
    <row r="968" spans="1:1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</row>
    <row r="969" spans="1:1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</row>
    <row r="970" spans="1:1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</row>
    <row r="971" spans="1:1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</row>
    <row r="972" spans="1:1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</row>
    <row r="973" spans="1:1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</row>
    <row r="974" spans="1:1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</row>
    <row r="975" spans="1:1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</row>
    <row r="976" spans="1:1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</row>
    <row r="977" spans="1:1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</row>
    <row r="978" spans="1:1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</row>
    <row r="979" spans="1:1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</row>
    <row r="980" spans="1:1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</row>
    <row r="981" spans="1:1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</row>
    <row r="982" spans="1:1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</row>
    <row r="983" spans="1:1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</row>
    <row r="984" spans="1:1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</row>
    <row r="985" spans="1:1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</row>
    <row r="986" spans="1:1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</row>
    <row r="987" spans="1:1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</row>
    <row r="988" spans="1:1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</row>
    <row r="989" spans="1:1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</row>
    <row r="990" spans="1:1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</row>
    <row r="991" spans="1:1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</row>
    <row r="992" spans="1:1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</row>
    <row r="993" spans="1:1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</row>
    <row r="994" spans="1:1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</row>
    <row r="995" spans="1:1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</row>
    <row r="996" spans="1:1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</row>
    <row r="997" spans="1:1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</row>
    <row r="998" spans="1:1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</row>
    <row r="999" spans="1:1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</row>
    <row r="1000" spans="1:1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</row>
    <row r="1001" spans="1:13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</row>
    <row r="1002" spans="1:13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</row>
    <row r="1003" spans="1:1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</row>
    <row r="1004" spans="1:13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</row>
    <row r="1005" spans="1:13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</row>
    <row r="1006" spans="1:13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</row>
    <row r="1007" spans="1:13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</row>
    <row r="1008" spans="1:13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</row>
    <row r="1009" spans="1:13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</row>
    <row r="1010" spans="1:13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</row>
    <row r="1011" spans="1:13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</row>
    <row r="1012" spans="1:13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</row>
    <row r="1013" spans="1: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</row>
    <row r="1014" spans="1:13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</row>
    <row r="1015" spans="1:13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</row>
    <row r="1016" spans="1:13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</row>
    <row r="1017" spans="1:13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</row>
    <row r="1018" spans="1:13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</row>
    <row r="1019" spans="1:13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</row>
    <row r="1020" spans="1:13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</row>
    <row r="1021" spans="1:13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</row>
    <row r="1022" spans="1:1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</row>
    <row r="1023" spans="1:1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</row>
    <row r="1024" spans="1:13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</row>
    <row r="1025" spans="1:13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</row>
    <row r="1026" spans="1:13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</row>
    <row r="1027" spans="1:13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</row>
    <row r="1028" spans="1:13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</row>
    <row r="1029" spans="1:13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</row>
    <row r="1030" spans="1:13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</row>
    <row r="1031" spans="1:13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</row>
    <row r="1032" spans="1:13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</row>
    <row r="1033" spans="1:1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</row>
    <row r="1034" spans="1:13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</row>
    <row r="1035" spans="1:13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</row>
    <row r="1036" spans="1:13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</row>
    <row r="1037" spans="1:13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</row>
    <row r="1038" spans="1:13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</row>
    <row r="1039" spans="1:13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</row>
    <row r="1040" spans="1:13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</row>
    <row r="1041" spans="1:13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</row>
    <row r="1042" spans="1:13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</row>
    <row r="1043" spans="1:1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</row>
    <row r="1044" spans="1:13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</row>
    <row r="1045" spans="1:13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</row>
    <row r="1046" spans="1:13">
      <c r="A1046" s="9"/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</row>
    <row r="1047" spans="1:13">
      <c r="A1047" s="9"/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</row>
    <row r="1048" spans="1:13">
      <c r="A1048" s="9"/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</row>
    <row r="1049" spans="1:13">
      <c r="A1049" s="9"/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</row>
    <row r="1050" spans="1:13">
      <c r="A1050" s="9"/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</row>
    <row r="1051" spans="1:13">
      <c r="A1051" s="9"/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</row>
    <row r="1052" spans="1:13">
      <c r="A1052" s="9"/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</row>
    <row r="1053" spans="1:13">
      <c r="A1053" s="9"/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</row>
    <row r="1054" spans="1:13">
      <c r="A1054" s="9"/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</row>
    <row r="1055" spans="1:13">
      <c r="A1055" s="9"/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</row>
    <row r="1056" spans="1:13">
      <c r="A1056" s="9"/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</row>
    <row r="1057" spans="1:13">
      <c r="A1057" s="9"/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</row>
    <row r="1058" spans="1:13">
      <c r="A1058" s="9"/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</row>
    <row r="1059" spans="1:13">
      <c r="A1059" s="9"/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</row>
    <row r="1060" spans="1:13">
      <c r="A1060" s="9"/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</row>
    <row r="1061" spans="1:13">
      <c r="A1061" s="9"/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</row>
    <row r="1062" spans="1:13">
      <c r="A1062" s="9"/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</row>
    <row r="1063" spans="1:13">
      <c r="A1063" s="9"/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</row>
    <row r="1064" spans="1:13">
      <c r="A1064" s="9"/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</row>
    <row r="1065" spans="1:13">
      <c r="A1065" s="9"/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</row>
    <row r="1066" spans="1:13">
      <c r="A1066" s="9"/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</row>
    <row r="1067" spans="1:13">
      <c r="A1067" s="9"/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</row>
    <row r="1068" spans="1:13">
      <c r="A1068" s="9"/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</row>
    <row r="1069" spans="1:13">
      <c r="A1069" s="9"/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</row>
    <row r="1070" spans="1:13">
      <c r="A1070" s="9"/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</row>
    <row r="1071" spans="1:13">
      <c r="A1071" s="9"/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</row>
    <row r="1072" spans="1:13">
      <c r="A1072" s="9"/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</row>
    <row r="1073" spans="1:13">
      <c r="A1073" s="9"/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</row>
    <row r="1074" spans="1:13">
      <c r="A1074" s="9"/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</row>
    <row r="1075" spans="1:13">
      <c r="A1075" s="9"/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</row>
    <row r="1076" spans="1:13">
      <c r="A1076" s="9"/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</row>
    <row r="1077" spans="1:13">
      <c r="A1077" s="9"/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</row>
    <row r="1078" spans="1:13">
      <c r="A1078" s="9"/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</row>
    <row r="1079" spans="1:13">
      <c r="A1079" s="9"/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</row>
    <row r="1080" spans="1:13">
      <c r="A1080" s="9"/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</row>
    <row r="1081" spans="1:13">
      <c r="A1081" s="9"/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</row>
    <row r="1082" spans="1:1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</row>
    <row r="1083" spans="1:13">
      <c r="A1083" s="9"/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</row>
    <row r="1084" spans="1:13">
      <c r="A1084" s="9"/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</row>
    <row r="1085" spans="1:13">
      <c r="A1085" s="9"/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</row>
    <row r="1086" spans="1:13">
      <c r="A1086" s="9"/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</row>
    <row r="1087" spans="1:13">
      <c r="A1087" s="9"/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</row>
    <row r="1088" spans="1:13">
      <c r="A1088" s="9"/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</row>
    <row r="1089" spans="1:13">
      <c r="A1089" s="9"/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</row>
    <row r="1090" spans="1:13">
      <c r="A1090" s="9"/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</row>
    <row r="1091" spans="1:13">
      <c r="A1091" s="9"/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</row>
    <row r="1092" spans="1:13">
      <c r="A1092" s="9"/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</row>
    <row r="1093" spans="1:13">
      <c r="A1093" s="9"/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</row>
    <row r="1094" spans="1:13">
      <c r="A1094" s="9"/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</row>
    <row r="1095" spans="1:13">
      <c r="A1095" s="9"/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</row>
    <row r="1096" spans="1:13">
      <c r="A1096" s="9"/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</row>
    <row r="1097" spans="1:13">
      <c r="A1097" s="9"/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</row>
    <row r="1098" spans="1:13">
      <c r="A1098" s="9"/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</row>
    <row r="1099" spans="1:13">
      <c r="A1099" s="9"/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</row>
    <row r="1100" spans="1:13">
      <c r="A1100" s="9"/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</row>
    <row r="1101" spans="1:13">
      <c r="A1101" s="9"/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</row>
    <row r="1102" spans="1:13">
      <c r="A1102" s="9"/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</row>
    <row r="1103" spans="1:13">
      <c r="A1103" s="9"/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</row>
    <row r="1104" spans="1:13">
      <c r="A1104" s="9"/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</row>
    <row r="1105" spans="1:13">
      <c r="A1105" s="9"/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</row>
    <row r="1106" spans="1:13">
      <c r="A1106" s="9"/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</row>
    <row r="1107" spans="1:13">
      <c r="A1107" s="9"/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</row>
    <row r="1108" spans="1:13">
      <c r="A1108" s="9"/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</row>
    <row r="1109" spans="1:13">
      <c r="A1109" s="9"/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</row>
    <row r="1110" spans="1:13">
      <c r="A1110" s="9"/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</row>
    <row r="1111" spans="1:13">
      <c r="A1111" s="9"/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</row>
    <row r="1112" spans="1:13">
      <c r="A1112" s="9"/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</row>
    <row r="1113" spans="1:13">
      <c r="A1113" s="9"/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</row>
    <row r="1114" spans="1:13">
      <c r="A1114" s="9"/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</row>
    <row r="1115" spans="1:13">
      <c r="A1115" s="9"/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</row>
    <row r="1116" spans="1:13">
      <c r="A1116" s="9"/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</row>
    <row r="1117" spans="1:13">
      <c r="A1117" s="9"/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</row>
    <row r="1118" spans="1:13">
      <c r="A1118" s="9"/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</row>
    <row r="1119" spans="1:13">
      <c r="A1119" s="9"/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</row>
    <row r="1120" spans="1:13">
      <c r="A1120" s="9"/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</row>
    <row r="1121" spans="1:13">
      <c r="A1121" s="9"/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</row>
    <row r="1122" spans="1:13">
      <c r="A1122" s="9"/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</row>
    <row r="1123" spans="1:13">
      <c r="A1123" s="9"/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</row>
    <row r="1124" spans="1:13">
      <c r="A1124" s="9"/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</row>
    <row r="1125" spans="1:13">
      <c r="A1125" s="9"/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</row>
    <row r="1126" spans="1:13">
      <c r="A1126" s="9"/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</row>
    <row r="1127" spans="1:13">
      <c r="A1127" s="9"/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</row>
    <row r="1128" spans="1:13">
      <c r="A1128" s="9"/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</row>
    <row r="1129" spans="1:13">
      <c r="A1129" s="9"/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</row>
    <row r="1130" spans="1:13">
      <c r="A1130" s="9"/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</row>
    <row r="1131" spans="1:13">
      <c r="A1131" s="9"/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</row>
    <row r="1132" spans="1:13">
      <c r="A1132" s="9"/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</row>
    <row r="1133" spans="1:13">
      <c r="A1133" s="9"/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</row>
    <row r="1134" spans="1:13">
      <c r="A1134" s="9"/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</row>
    <row r="1135" spans="1:13">
      <c r="A1135" s="9"/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</row>
    <row r="1136" spans="1:13">
      <c r="A1136" s="9"/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</row>
    <row r="1137" spans="1:13">
      <c r="A1137" s="9"/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</row>
    <row r="1138" spans="1:13">
      <c r="A1138" s="9"/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</row>
    <row r="1139" spans="1:13">
      <c r="A1139" s="9"/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</row>
    <row r="1140" spans="1:13">
      <c r="A1140" s="9"/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</row>
    <row r="1141" spans="1:13">
      <c r="A1141" s="9"/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</row>
    <row r="1142" spans="1:1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</row>
    <row r="1143" spans="1:13">
      <c r="A1143" s="9"/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</row>
    <row r="1144" spans="1:13">
      <c r="A1144" s="9"/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</row>
    <row r="1145" spans="1:13">
      <c r="A1145" s="9"/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</row>
    <row r="1146" spans="1:13">
      <c r="A1146" s="9"/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</row>
    <row r="1147" spans="1:13">
      <c r="A1147" s="9"/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</row>
    <row r="1148" spans="1:13">
      <c r="A1148" s="9"/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</row>
    <row r="1149" spans="1:13">
      <c r="A1149" s="9"/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</row>
    <row r="1150" spans="1:13">
      <c r="A1150" s="9"/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</row>
    <row r="1151" spans="1:13">
      <c r="A1151" s="9"/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</row>
    <row r="1152" spans="1:13">
      <c r="A1152" s="9"/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</row>
    <row r="1153" spans="1:13">
      <c r="A1153" s="9"/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</row>
    <row r="1154" spans="1:13">
      <c r="A1154" s="9"/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</row>
    <row r="1155" spans="1:13">
      <c r="A1155" s="9"/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</row>
    <row r="1156" spans="1:13">
      <c r="A1156" s="9"/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</row>
    <row r="1157" spans="1:13">
      <c r="A1157" s="9"/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</row>
    <row r="1158" spans="1:13">
      <c r="A1158" s="9"/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</row>
    <row r="1159" spans="1:13">
      <c r="A1159" s="9"/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</row>
    <row r="1160" spans="1:13">
      <c r="A1160" s="9"/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</row>
    <row r="1161" spans="1:13">
      <c r="A1161" s="9"/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</row>
    <row r="1162" spans="1:13">
      <c r="A1162" s="9"/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</row>
    <row r="1163" spans="1:13">
      <c r="A1163" s="9"/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</row>
    <row r="1164" spans="1:13">
      <c r="A1164" s="9"/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</row>
    <row r="1165" spans="1:13">
      <c r="A1165" s="9"/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</row>
    <row r="1166" spans="1:13">
      <c r="A1166" s="9"/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</row>
    <row r="1167" spans="1:13">
      <c r="A1167" s="9"/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</row>
    <row r="1168" spans="1:13">
      <c r="A1168" s="9"/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</row>
    <row r="1169" spans="1:13">
      <c r="A1169" s="9"/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</row>
    <row r="1170" spans="1:13">
      <c r="A1170" s="9"/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</row>
    <row r="1171" spans="1:13">
      <c r="A1171" s="9"/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</row>
    <row r="1172" spans="1:13">
      <c r="A1172" s="9"/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</row>
    <row r="1173" spans="1:13">
      <c r="A1173" s="9"/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</row>
    <row r="1174" spans="1:13">
      <c r="A1174" s="9"/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</row>
    <row r="1175" spans="1:13">
      <c r="A1175" s="9"/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</row>
    <row r="1176" spans="1:13">
      <c r="A1176" s="9"/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</row>
    <row r="1177" spans="1:13">
      <c r="A1177" s="9"/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</row>
    <row r="1178" spans="1:13">
      <c r="A1178" s="9"/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</row>
    <row r="1179" spans="1:13">
      <c r="A1179" s="9"/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</row>
    <row r="1180" spans="1:13">
      <c r="A1180" s="9"/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</row>
    <row r="1181" spans="1:13">
      <c r="A1181" s="9"/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</row>
    <row r="1182" spans="1:13">
      <c r="A1182" s="9"/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</row>
    <row r="1183" spans="1:13">
      <c r="A1183" s="9"/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</row>
    <row r="1184" spans="1:13">
      <c r="A1184" s="9"/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</row>
    <row r="1185" spans="1:13">
      <c r="A1185" s="9"/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</row>
    <row r="1186" spans="1:13">
      <c r="A1186" s="9"/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</row>
    <row r="1187" spans="1:13">
      <c r="A1187" s="9"/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</row>
    <row r="1188" spans="1:13">
      <c r="A1188" s="9"/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</row>
    <row r="1189" spans="1:13">
      <c r="A1189" s="9"/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</row>
    <row r="1190" spans="1:13">
      <c r="A1190" s="9"/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</row>
    <row r="1191" spans="1:13">
      <c r="A1191" s="9"/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</row>
    <row r="1192" spans="1:13">
      <c r="A1192" s="9"/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</row>
    <row r="1193" spans="1:13">
      <c r="A1193" s="9"/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</row>
    <row r="1194" spans="1:13">
      <c r="A1194" s="9"/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</row>
    <row r="1195" spans="1:13">
      <c r="A1195" s="9"/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</row>
    <row r="1196" spans="1:13">
      <c r="A1196" s="9"/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</row>
    <row r="1197" spans="1:13">
      <c r="A1197" s="9"/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</row>
    <row r="1198" spans="1:13">
      <c r="A1198" s="9"/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</row>
    <row r="1199" spans="1:13">
      <c r="A1199" s="9"/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</row>
    <row r="1200" spans="1:13">
      <c r="A1200" s="9"/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</row>
    <row r="1201" spans="1:13">
      <c r="A1201" s="9"/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</row>
    <row r="1202" spans="1:1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</row>
    <row r="1203" spans="1:13">
      <c r="A1203" s="9"/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</row>
    <row r="1204" spans="1:13">
      <c r="A1204" s="9"/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</row>
    <row r="1205" spans="1:13">
      <c r="A1205" s="9"/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</row>
    <row r="1206" spans="1:13">
      <c r="A1206" s="9"/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</row>
    <row r="1207" spans="1:13">
      <c r="A1207" s="9"/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</row>
    <row r="1208" spans="1:13">
      <c r="A1208" s="9"/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</row>
    <row r="1209" spans="1:13">
      <c r="A1209" s="9"/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</row>
    <row r="1210" spans="1:13">
      <c r="A1210" s="9"/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</row>
    <row r="1211" spans="1:13">
      <c r="A1211" s="9"/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</row>
    <row r="1212" spans="1:13">
      <c r="A1212" s="9"/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</row>
    <row r="1213" spans="1:13">
      <c r="A1213" s="9"/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</row>
    <row r="1214" spans="1:13">
      <c r="A1214" s="9"/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</row>
    <row r="1215" spans="1:13">
      <c r="A1215" s="9"/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</row>
    <row r="1216" spans="1:13">
      <c r="A1216" s="9"/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</row>
    <row r="1217" spans="1:13">
      <c r="A1217" s="9"/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</row>
    <row r="1218" spans="1:13">
      <c r="A1218" s="9"/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</row>
    <row r="1219" spans="1:13">
      <c r="A1219" s="9"/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</row>
    <row r="1220" spans="1:13">
      <c r="A1220" s="9"/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</row>
    <row r="1221" spans="1:13">
      <c r="A1221" s="9"/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</row>
    <row r="1222" spans="1:13">
      <c r="A1222" s="9"/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</row>
    <row r="1223" spans="1:13">
      <c r="A1223" s="9"/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</row>
    <row r="1224" spans="1:13">
      <c r="A1224" s="9"/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</row>
    <row r="1225" spans="1:13">
      <c r="A1225" s="9"/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</row>
    <row r="1226" spans="1:13">
      <c r="A1226" s="9"/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</row>
    <row r="1227" spans="1:13">
      <c r="A1227" s="9"/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</row>
    <row r="1228" spans="1:13">
      <c r="A1228" s="9"/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</row>
    <row r="1229" spans="1:13">
      <c r="A1229" s="9"/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</row>
    <row r="1230" spans="1:13">
      <c r="A1230" s="9"/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</row>
    <row r="1231" spans="1:13">
      <c r="A1231" s="9"/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</row>
    <row r="1232" spans="1:13">
      <c r="A1232" s="9"/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</row>
    <row r="1233" spans="1:13">
      <c r="A1233" s="9"/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</row>
    <row r="1234" spans="1:13">
      <c r="A1234" s="9"/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</row>
    <row r="1235" spans="1:13">
      <c r="A1235" s="9"/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</row>
    <row r="1236" spans="1:13">
      <c r="A1236" s="9"/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</row>
    <row r="1237" spans="1:13">
      <c r="A1237" s="9"/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</row>
    <row r="1238" spans="1:13">
      <c r="A1238" s="9"/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</row>
    <row r="1239" spans="1:13">
      <c r="A1239" s="9"/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</row>
    <row r="1240" spans="1:13">
      <c r="A1240" s="9"/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</row>
    <row r="1241" spans="1:13">
      <c r="A1241" s="9"/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</row>
    <row r="1242" spans="1:13">
      <c r="A1242" s="9"/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</row>
    <row r="1243" spans="1:13">
      <c r="A1243" s="9"/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</row>
    <row r="1244" spans="1:13">
      <c r="A1244" s="9"/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</row>
    <row r="1245" spans="1:13">
      <c r="A1245" s="9"/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</row>
    <row r="1246" spans="1:13">
      <c r="A1246" s="9"/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</row>
    <row r="1247" spans="1:13">
      <c r="A1247" s="9"/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</row>
    <row r="1248" spans="1:13">
      <c r="A1248" s="9"/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</row>
    <row r="1249" spans="1:13">
      <c r="A1249" s="9"/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</row>
    <row r="1250" spans="1:13">
      <c r="A1250" s="9"/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</row>
    <row r="1251" spans="1:13">
      <c r="A1251" s="9"/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</row>
    <row r="1252" spans="1:13">
      <c r="A1252" s="9"/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</row>
    <row r="1253" spans="1:13">
      <c r="A1253" s="9"/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</row>
    <row r="1254" spans="1:13">
      <c r="A1254" s="9"/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</row>
    <row r="1255" spans="1:13">
      <c r="A1255" s="9"/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</row>
    <row r="1256" spans="1:13">
      <c r="A1256" s="9"/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</row>
    <row r="1257" spans="1:13">
      <c r="A1257" s="9"/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</row>
    <row r="1258" spans="1:13">
      <c r="A1258" s="9"/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</row>
    <row r="1259" spans="1:13">
      <c r="A1259" s="9"/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</row>
    <row r="1260" spans="1:13">
      <c r="A1260" s="9"/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</row>
    <row r="1261" spans="1:13">
      <c r="A1261" s="9"/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</row>
    <row r="1262" spans="1:1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</row>
    <row r="1263" spans="1:13">
      <c r="A1263" s="9"/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</row>
    <row r="1264" spans="1:13">
      <c r="A1264" s="9"/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</row>
    <row r="1265" spans="1:13">
      <c r="A1265" s="9"/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</row>
    <row r="1266" spans="1:13">
      <c r="A1266" s="9"/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</row>
    <row r="1267" spans="1:13">
      <c r="A1267" s="9"/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</row>
    <row r="1268" spans="1:13">
      <c r="A1268" s="9"/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</row>
    <row r="1269" spans="1:13">
      <c r="A1269" s="9"/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</row>
    <row r="1270" spans="1:13">
      <c r="A1270" s="9"/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</row>
    <row r="1271" spans="1:13">
      <c r="A1271" s="9"/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</row>
    <row r="1272" spans="1:13">
      <c r="A1272" s="9"/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</row>
    <row r="1273" spans="1:13">
      <c r="A1273" s="9"/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</row>
    <row r="1274" spans="1:13">
      <c r="A1274" s="9"/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</row>
    <row r="1275" spans="1:13">
      <c r="A1275" s="9"/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</row>
    <row r="1276" spans="1:13">
      <c r="A1276" s="9"/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</row>
    <row r="1277" spans="1:13">
      <c r="A1277" s="9"/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</row>
    <row r="1278" spans="1:13">
      <c r="A1278" s="9"/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</row>
    <row r="1279" spans="1:13">
      <c r="A1279" s="9"/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</row>
    <row r="1280" spans="1:13">
      <c r="A1280" s="9"/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</row>
    <row r="1281" spans="1:13">
      <c r="A1281" s="9"/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</row>
    <row r="1282" spans="1:13">
      <c r="A1282" s="9"/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</row>
    <row r="1283" spans="1:13">
      <c r="A1283" s="9"/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</row>
    <row r="1284" spans="1:13">
      <c r="A1284" s="9"/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</row>
    <row r="1285" spans="1:13">
      <c r="A1285" s="9"/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</row>
    <row r="1286" spans="1:13">
      <c r="A1286" s="9"/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</row>
    <row r="1287" spans="1:13">
      <c r="A1287" s="9"/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</row>
    <row r="1288" spans="1:13">
      <c r="A1288" s="9"/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</row>
    <row r="1289" spans="1:13">
      <c r="A1289" s="9"/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</row>
    <row r="1290" spans="1:13">
      <c r="A1290" s="9"/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</row>
    <row r="1291" spans="1:13">
      <c r="A1291" s="9"/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</row>
    <row r="1292" spans="1:13">
      <c r="A1292" s="9"/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</row>
    <row r="1293" spans="1:13">
      <c r="A1293" s="9"/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</row>
    <row r="1294" spans="1:13">
      <c r="A1294" s="9"/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</row>
    <row r="1295" spans="1:13">
      <c r="A1295" s="9"/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</row>
    <row r="1296" spans="1:13">
      <c r="A1296" s="9"/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</row>
    <row r="1297" spans="1:13">
      <c r="A1297" s="9"/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</row>
    <row r="1298" spans="1:13">
      <c r="A1298" s="9"/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</row>
    <row r="1299" spans="1:13">
      <c r="A1299" s="9"/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</row>
    <row r="1300" spans="1:13">
      <c r="A1300" s="9"/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</row>
    <row r="1301" spans="1:13">
      <c r="A1301" s="9"/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</row>
    <row r="1302" spans="1:13">
      <c r="A1302" s="9"/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</row>
    <row r="1303" spans="1:13">
      <c r="A1303" s="9"/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</row>
    <row r="1304" spans="1:13">
      <c r="A1304" s="9"/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</row>
    <row r="1305" spans="1:13">
      <c r="A1305" s="9"/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</row>
    <row r="1306" spans="1:13">
      <c r="A1306" s="9"/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</row>
    <row r="1307" spans="1:13">
      <c r="A1307" s="9"/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</row>
    <row r="1308" spans="1:13">
      <c r="A1308" s="9"/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</row>
    <row r="1309" spans="1:13">
      <c r="A1309" s="9"/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</row>
    <row r="1310" spans="1:13">
      <c r="A1310" s="9"/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</row>
    <row r="1311" spans="1:13">
      <c r="A1311" s="9"/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</row>
    <row r="1312" spans="1:13">
      <c r="A1312" s="9"/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</row>
    <row r="1313" spans="1:13">
      <c r="A1313" s="9"/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</row>
    <row r="1314" spans="1:13">
      <c r="A1314" s="9"/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</row>
    <row r="1315" spans="1:13">
      <c r="A1315" s="9"/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</row>
    <row r="1316" spans="1:13">
      <c r="A1316" s="9"/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</row>
    <row r="1317" spans="1:13">
      <c r="A1317" s="9"/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</row>
    <row r="1318" spans="1:13">
      <c r="A1318" s="9"/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</row>
    <row r="1319" spans="1:13">
      <c r="A1319" s="9"/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</row>
    <row r="1320" spans="1:13">
      <c r="A1320" s="9"/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</row>
    <row r="1321" spans="1:13">
      <c r="A1321" s="9"/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</row>
    <row r="1322" spans="1:1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</row>
    <row r="1323" spans="1:13">
      <c r="A1323" s="9"/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</row>
    <row r="1324" spans="1:13">
      <c r="A1324" s="9"/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</row>
    <row r="1325" spans="1:13">
      <c r="A1325" s="9"/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</row>
    <row r="1326" spans="1:13">
      <c r="A1326" s="9"/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</row>
    <row r="1327" spans="1:13">
      <c r="A1327" s="9"/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</row>
    <row r="1328" spans="1:13">
      <c r="A1328" s="9"/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</row>
    <row r="1329" spans="1:13">
      <c r="A1329" s="9"/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</row>
    <row r="1330" spans="1:13">
      <c r="A1330" s="9"/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</row>
    <row r="1331" spans="1:13">
      <c r="A1331" s="9"/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</row>
    <row r="1332" spans="1:13">
      <c r="A1332" s="9"/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</row>
    <row r="1333" spans="1:13">
      <c r="A1333" s="9"/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</row>
    <row r="1334" spans="1:13">
      <c r="A1334" s="9"/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</row>
    <row r="1335" spans="1:13">
      <c r="A1335" s="9"/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</row>
    <row r="1336" spans="1:13">
      <c r="A1336" s="9"/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</row>
    <row r="1337" spans="1:13">
      <c r="A1337" s="9"/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</row>
    <row r="1338" spans="1:13">
      <c r="A1338" s="9"/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</row>
    <row r="1339" spans="1:13">
      <c r="A1339" s="9"/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</row>
    <row r="1340" spans="1:13">
      <c r="A1340" s="9"/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</row>
    <row r="1341" spans="1:13">
      <c r="A1341" s="9"/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</row>
    <row r="1342" spans="1:13">
      <c r="A1342" s="9"/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</row>
    <row r="1343" spans="1:13">
      <c r="A1343" s="9"/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</row>
    <row r="1344" spans="1:13">
      <c r="A1344" s="9"/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</row>
    <row r="1345" spans="1:13">
      <c r="A1345" s="9"/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</row>
    <row r="1346" spans="1:13">
      <c r="A1346" s="9"/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</row>
    <row r="1347" spans="1:13">
      <c r="A1347" s="9"/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</row>
    <row r="1348" spans="1:13">
      <c r="A1348" s="9"/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</row>
    <row r="1349" spans="1:13">
      <c r="A1349" s="9"/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</row>
    <row r="1350" spans="1:13">
      <c r="A1350" s="9"/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</row>
    <row r="1351" spans="1:13">
      <c r="A1351" s="9"/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</row>
    <row r="1352" spans="1:13">
      <c r="A1352" s="9"/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</row>
    <row r="1353" spans="1:13">
      <c r="A1353" s="9"/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</row>
    <row r="1354" spans="1:13">
      <c r="A1354" s="9"/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</row>
    <row r="1355" spans="1:13">
      <c r="A1355" s="9"/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</row>
    <row r="1356" spans="1:13">
      <c r="A1356" s="9"/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</row>
    <row r="1357" spans="1:13">
      <c r="A1357" s="9"/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</row>
    <row r="1358" spans="1:13">
      <c r="A1358" s="9"/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</row>
    <row r="1359" spans="1:13">
      <c r="A1359" s="9"/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</row>
    <row r="1360" spans="1:13">
      <c r="A1360" s="9"/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</row>
    <row r="1361" spans="1:13">
      <c r="A1361" s="9"/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</row>
    <row r="1362" spans="1:13">
      <c r="A1362" s="9"/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</row>
    <row r="1363" spans="1:13">
      <c r="A1363" s="9"/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</row>
    <row r="1364" spans="1:13">
      <c r="A1364" s="9"/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</row>
    <row r="1365" spans="1:13">
      <c r="A1365" s="9"/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</row>
    <row r="1366" spans="1:13">
      <c r="A1366" s="9"/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</row>
    <row r="1367" spans="1:13">
      <c r="A1367" s="9"/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</row>
    <row r="1368" spans="1:13">
      <c r="A1368" s="9"/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</row>
    <row r="1369" spans="1:13">
      <c r="A1369" s="9"/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</row>
    <row r="1370" spans="1:13">
      <c r="A1370" s="9"/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</row>
    <row r="1371" spans="1:13">
      <c r="A1371" s="9"/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</row>
    <row r="1372" spans="1:13">
      <c r="A1372" s="9"/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</row>
    <row r="1373" spans="1:13">
      <c r="A1373" s="9"/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</row>
    <row r="1374" spans="1:13">
      <c r="A1374" s="9"/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</row>
    <row r="1375" spans="1:13">
      <c r="A1375" s="9"/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</row>
    <row r="1376" spans="1:13">
      <c r="A1376" s="9"/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</row>
    <row r="1377" spans="1:13">
      <c r="A1377" s="9"/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</row>
    <row r="1378" spans="1:13">
      <c r="A1378" s="9"/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</row>
    <row r="1379" spans="1:13">
      <c r="A1379" s="9"/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</row>
    <row r="1380" spans="1:13">
      <c r="A1380" s="9"/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</row>
    <row r="1381" spans="1:13">
      <c r="A1381" s="9"/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</row>
    <row r="1382" spans="1:1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</row>
    <row r="1383" spans="1:13">
      <c r="A1383" s="9"/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</row>
    <row r="1384" spans="1:13">
      <c r="A1384" s="9"/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</row>
    <row r="1385" spans="1:13">
      <c r="A1385" s="9"/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</row>
    <row r="1386" spans="1:13">
      <c r="A1386" s="9"/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</row>
    <row r="1387" spans="1:13">
      <c r="A1387" s="9"/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</row>
    <row r="1388" spans="1:13">
      <c r="A1388" s="9"/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</row>
    <row r="1389" spans="1:13">
      <c r="A1389" s="9"/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</row>
    <row r="1390" spans="1:13">
      <c r="A1390" s="9"/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</row>
    <row r="1391" spans="1:13">
      <c r="A1391" s="9"/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</row>
    <row r="1392" spans="1:13">
      <c r="A1392" s="9"/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</row>
    <row r="1393" spans="1:13">
      <c r="A1393" s="9"/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</row>
    <row r="1394" spans="1:13">
      <c r="A1394" s="9"/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</row>
    <row r="1395" spans="1:13">
      <c r="A1395" s="9"/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</row>
    <row r="1396" spans="1:13">
      <c r="A1396" s="9"/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</row>
    <row r="1397" spans="1:13">
      <c r="A1397" s="9"/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</row>
    <row r="1398" spans="1:13">
      <c r="A1398" s="9"/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</row>
  </sheetData>
  <phoneticPr fontId="0" type="noConversion"/>
  <hyperlinks>
    <hyperlink ref="B31" location="'Report Atrium'!B271" display="a" xr:uid="{00000000-0004-0000-0000-000002000000}"/>
    <hyperlink ref="B14" location="'Report Atrium'!B50" display="a" xr:uid="{00000000-0004-0000-0000-000003000000}"/>
    <hyperlink ref="B16" location="'Report Atrium'!B50" display="a" xr:uid="{00000000-0004-0000-0000-000005000000}"/>
    <hyperlink ref="B18" location="'Report Atrium'!B86" display="b" xr:uid="{00000000-0004-0000-0000-000006000000}"/>
    <hyperlink ref="B34" location="'Report Atrium'!B160" display="b" xr:uid="{00000000-0004-0000-0000-000007000000}"/>
    <hyperlink ref="B37" location="'Report Atrium'!B271" display="a" xr:uid="{00000000-0004-0000-0000-000008000000}"/>
    <hyperlink ref="B42" location="'Report Atrium'!B160" display="b" xr:uid="{00000000-0004-0000-0000-000009000000}"/>
    <hyperlink ref="B44" location="'Report Atrium'!B197" display="c" xr:uid="{00000000-0004-0000-0000-00000A000000}"/>
    <hyperlink ref="B45" location="'Report Atrium'!B197" display="c" xr:uid="{450DCC44-059C-4729-B41E-2FB52F6F45F9}"/>
  </hyperlinks>
  <pageMargins left="0.15748031496062992" right="0.15748031496062992" top="0.27559055118110237" bottom="0.23622047244094491" header="0.23622047244094491" footer="0.35433070866141736"/>
  <pageSetup paperSize="9" scale="65" orientation="landscape" r:id="rId1"/>
  <headerFooter alignWithMargins="0">
    <oddFooter>&amp;C&amp;D - &amp;T&amp;RPage &amp;P van &amp;N</oddFooter>
  </headerFooter>
  <ignoredErrors>
    <ignoredError sqref="B41 B13:B14 B15 B30 B33 B17:B20 B36 B43" numberStoredAsText="1"/>
    <ignoredError sqref="S23" 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B10"/>
  <sheetViews>
    <sheetView workbookViewId="0">
      <selection activeCell="J22" sqref="J22"/>
    </sheetView>
  </sheetViews>
  <sheetFormatPr defaultRowHeight="12.75"/>
  <cols>
    <col min="1" max="1" width="12.28515625" bestFit="1" customWidth="1"/>
  </cols>
  <sheetData>
    <row r="1" spans="1:2">
      <c r="A1" t="s">
        <v>102</v>
      </c>
    </row>
    <row r="3" spans="1:2">
      <c r="A3">
        <v>203</v>
      </c>
      <c r="B3" t="s">
        <v>103</v>
      </c>
    </row>
    <row r="4" spans="1:2">
      <c r="A4">
        <v>29930</v>
      </c>
      <c r="B4" t="s">
        <v>104</v>
      </c>
    </row>
    <row r="5" spans="1:2">
      <c r="A5" s="6">
        <f>1-A3/A4</f>
        <v>0.9932175075175409</v>
      </c>
    </row>
    <row r="7" spans="1:2">
      <c r="A7" t="s">
        <v>105</v>
      </c>
    </row>
    <row r="8" spans="1:2">
      <c r="A8">
        <v>91</v>
      </c>
      <c r="B8" t="s">
        <v>106</v>
      </c>
    </row>
    <row r="9" spans="1:2">
      <c r="A9">
        <v>56681</v>
      </c>
      <c r="B9" t="s">
        <v>107</v>
      </c>
    </row>
    <row r="10" spans="1:2">
      <c r="A10" s="6">
        <f>+A8/A9</f>
        <v>1.6054762618866992E-3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DSV Solutions BV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Epc Hout</dc:creator>
  <cp:keywords/>
  <dc:description/>
  <cp:lastModifiedBy>michiel.marks@nl.dsv.com</cp:lastModifiedBy>
  <cp:revision/>
  <dcterms:created xsi:type="dcterms:W3CDTF">2009-04-14T12:18:15Z</dcterms:created>
  <dcterms:modified xsi:type="dcterms:W3CDTF">2023-07-26T12:44:15Z</dcterms:modified>
  <cp:category/>
  <cp:contentStatus/>
</cp:coreProperties>
</file>
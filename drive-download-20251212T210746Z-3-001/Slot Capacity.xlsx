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D\Design_Project\drive-download-20251212T210746Z-3-001\"/>
    </mc:Choice>
  </mc:AlternateContent>
  <xr:revisionPtr revIDLastSave="0" documentId="13_ncr:1_{3E1D1009-0E36-470F-AEC8-F7028F159E87}" xr6:coauthVersionLast="47" xr6:coauthVersionMax="47" xr10:uidLastSave="{00000000-0000-0000-0000-000000000000}"/>
  <bookViews>
    <workbookView xWindow="-120" yWindow="-120" windowWidth="29040" windowHeight="15720" xr2:uid="{32325949-21CC-4B5B-A2ED-32049FB5A975}"/>
  </bookViews>
  <sheets>
    <sheet name="Slot Capacity" sheetId="1" r:id="rId1"/>
    <sheet name="PVT" sheetId="2" r:id="rId2"/>
    <sheet name="PBI Source" sheetId="3" r:id="rId3"/>
  </sheets>
  <definedNames>
    <definedName name="_xlnm._FilterDatabase" localSheetId="0" hidden="1">'Slot Capacity'!$A$1:$AQ$1492</definedName>
    <definedName name="_xlchart.v1.0" hidden="1">'Slot Capacity'!$AP$1</definedName>
    <definedName name="_xlchart.v1.1" hidden="1">'Slot Capacity'!$AP$2:$AP$1492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" i="1"/>
  <c r="AR2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3" i="1"/>
  <c r="J3" i="3"/>
  <c r="J4" i="3"/>
  <c r="J5" i="3"/>
  <c r="J6" i="3"/>
  <c r="J2" i="3"/>
  <c r="A3" i="3"/>
  <c r="A4" i="3"/>
  <c r="A5" i="3"/>
  <c r="A6" i="3"/>
  <c r="A2" i="3"/>
  <c r="B3" i="3"/>
  <c r="B4" i="3"/>
  <c r="B5" i="3"/>
  <c r="B6" i="3"/>
  <c r="B2" i="3"/>
  <c r="C3" i="3"/>
  <c r="C4" i="3"/>
  <c r="C5" i="3"/>
  <c r="C6" i="3"/>
  <c r="C2" i="3"/>
  <c r="D1491" i="1"/>
  <c r="B1491" i="1" s="1"/>
  <c r="D1490" i="1"/>
  <c r="C1490" i="1" s="1"/>
  <c r="D1489" i="1"/>
  <c r="B1489" i="1" s="1"/>
  <c r="D1488" i="1"/>
  <c r="B1488" i="1" s="1"/>
  <c r="D1487" i="1"/>
  <c r="B1487" i="1" s="1"/>
  <c r="D1486" i="1"/>
  <c r="B1486" i="1" s="1"/>
  <c r="D1485" i="1"/>
  <c r="A1485" i="1" s="1"/>
  <c r="D1484" i="1"/>
  <c r="C1484" i="1" s="1"/>
  <c r="D1483" i="1"/>
  <c r="D1482" i="1"/>
  <c r="C1482" i="1" s="1"/>
  <c r="D1481" i="1"/>
  <c r="A1481" i="1" s="1"/>
  <c r="D1480" i="1"/>
  <c r="D1479" i="1"/>
  <c r="D1478" i="1"/>
  <c r="C1478" i="1" s="1"/>
  <c r="D1477" i="1"/>
  <c r="A1477" i="1" s="1"/>
  <c r="D1476" i="1"/>
  <c r="B1476" i="1" s="1"/>
  <c r="D1475" i="1"/>
  <c r="D1474" i="1"/>
  <c r="D1473" i="1"/>
  <c r="A1473" i="1" s="1"/>
  <c r="D1472" i="1"/>
  <c r="B1472" i="1" s="1"/>
  <c r="D1471" i="1"/>
  <c r="A1471" i="1" s="1"/>
  <c r="D1470" i="1"/>
  <c r="C1470" i="1" s="1"/>
  <c r="D1469" i="1"/>
  <c r="B1469" i="1" s="1"/>
  <c r="D1468" i="1"/>
  <c r="C1468" i="1" s="1"/>
  <c r="D1467" i="1"/>
  <c r="A1467" i="1"/>
  <c r="D1466" i="1"/>
  <c r="C1466" i="1" s="1"/>
  <c r="D1465" i="1"/>
  <c r="C1465" i="1" s="1"/>
  <c r="D1464" i="1"/>
  <c r="A1464" i="1" s="1"/>
  <c r="D1463" i="1"/>
  <c r="C1463" i="1" s="1"/>
  <c r="D1462" i="1"/>
  <c r="B1462" i="1"/>
  <c r="D1461" i="1"/>
  <c r="A1461" i="1" s="1"/>
  <c r="D1460" i="1"/>
  <c r="D1459" i="1"/>
  <c r="A1459" i="1" s="1"/>
  <c r="D1458" i="1"/>
  <c r="D1457" i="1"/>
  <c r="A1457" i="1" s="1"/>
  <c r="D1456" i="1"/>
  <c r="B1456" i="1" s="1"/>
  <c r="D1455" i="1"/>
  <c r="B1455" i="1" s="1"/>
  <c r="D1454" i="1"/>
  <c r="C1454" i="1" s="1"/>
  <c r="D1453" i="1"/>
  <c r="A1453" i="1" s="1"/>
  <c r="D1452" i="1"/>
  <c r="C1452" i="1" s="1"/>
  <c r="D1451" i="1"/>
  <c r="C1451" i="1" s="1"/>
  <c r="D1450" i="1"/>
  <c r="D1449" i="1"/>
  <c r="C1449" i="1" s="1"/>
  <c r="D1448" i="1"/>
  <c r="B1448" i="1" s="1"/>
  <c r="D1447" i="1"/>
  <c r="A1447" i="1" s="1"/>
  <c r="D1446" i="1"/>
  <c r="D1445" i="1"/>
  <c r="C1445" i="1" s="1"/>
  <c r="D1444" i="1"/>
  <c r="D1443" i="1"/>
  <c r="C1443" i="1" s="1"/>
  <c r="D1442" i="1"/>
  <c r="A1442" i="1" s="1"/>
  <c r="D1441" i="1"/>
  <c r="B1441" i="1" s="1"/>
  <c r="D1440" i="1"/>
  <c r="A1440" i="1" s="1"/>
  <c r="D1439" i="1"/>
  <c r="A1439" i="1" s="1"/>
  <c r="D1438" i="1"/>
  <c r="C1438" i="1" s="1"/>
  <c r="D1437" i="1"/>
  <c r="C1437" i="1" s="1"/>
  <c r="D1436" i="1"/>
  <c r="A1436" i="1" s="1"/>
  <c r="D1435" i="1"/>
  <c r="C1435" i="1" s="1"/>
  <c r="D1434" i="1"/>
  <c r="B1434" i="1" s="1"/>
  <c r="D1433" i="1"/>
  <c r="A1433" i="1" s="1"/>
  <c r="D1432" i="1"/>
  <c r="D1431" i="1"/>
  <c r="A1431" i="1" s="1"/>
  <c r="D1430" i="1"/>
  <c r="D1429" i="1"/>
  <c r="A1429" i="1" s="1"/>
  <c r="D1428" i="1"/>
  <c r="A1428" i="1" s="1"/>
  <c r="D1427" i="1"/>
  <c r="B1427" i="1" s="1"/>
  <c r="D1426" i="1"/>
  <c r="D1425" i="1"/>
  <c r="A1425" i="1" s="1"/>
  <c r="D1424" i="1"/>
  <c r="D1423" i="1"/>
  <c r="C1423" i="1" s="1"/>
  <c r="D1422" i="1"/>
  <c r="A1422" i="1" s="1"/>
  <c r="D1421" i="1"/>
  <c r="B1421" i="1" s="1"/>
  <c r="D1420" i="1"/>
  <c r="B1420" i="1" s="1"/>
  <c r="D1419" i="1"/>
  <c r="D1418" i="1"/>
  <c r="D1417" i="1"/>
  <c r="A1417" i="1" s="1"/>
  <c r="D1416" i="1"/>
  <c r="C1416" i="1" s="1"/>
  <c r="D1415" i="1"/>
  <c r="C1415" i="1" s="1"/>
  <c r="D1414" i="1"/>
  <c r="C1414" i="1" s="1"/>
  <c r="D1413" i="1"/>
  <c r="A1413" i="1" s="1"/>
  <c r="D1412" i="1"/>
  <c r="D1411" i="1"/>
  <c r="D1410" i="1"/>
  <c r="A1410" i="1" s="1"/>
  <c r="D1409" i="1"/>
  <c r="C1409" i="1" s="1"/>
  <c r="D1408" i="1"/>
  <c r="A1408" i="1" s="1"/>
  <c r="D1407" i="1"/>
  <c r="C1407" i="1" s="1"/>
  <c r="D1406" i="1"/>
  <c r="D1405" i="1"/>
  <c r="A1405" i="1" s="1"/>
  <c r="D1404" i="1"/>
  <c r="A1404" i="1" s="1"/>
  <c r="D1403" i="1"/>
  <c r="D1402" i="1"/>
  <c r="C1402" i="1" s="1"/>
  <c r="D1401" i="1"/>
  <c r="C1401" i="1" s="1"/>
  <c r="D1400" i="1"/>
  <c r="C1400" i="1" s="1"/>
  <c r="D1399" i="1"/>
  <c r="D1398" i="1"/>
  <c r="C1398" i="1" s="1"/>
  <c r="D1397" i="1"/>
  <c r="A1397" i="1" s="1"/>
  <c r="D1396" i="1"/>
  <c r="A1396" i="1" s="1"/>
  <c r="D1395" i="1"/>
  <c r="A1395" i="1" s="1"/>
  <c r="D1394" i="1"/>
  <c r="A1394" i="1" s="1"/>
  <c r="D1393" i="1"/>
  <c r="C1393" i="1" s="1"/>
  <c r="D1392" i="1"/>
  <c r="C1392" i="1" s="1"/>
  <c r="D1391" i="1"/>
  <c r="D1390" i="1"/>
  <c r="A1390" i="1" s="1"/>
  <c r="D1389" i="1"/>
  <c r="D1388" i="1"/>
  <c r="B1388" i="1" s="1"/>
  <c r="D1387" i="1"/>
  <c r="A1387" i="1" s="1"/>
  <c r="D1386" i="1"/>
  <c r="C1386" i="1" s="1"/>
  <c r="D1385" i="1"/>
  <c r="D1384" i="1"/>
  <c r="D1383" i="1"/>
  <c r="A1383" i="1" s="1"/>
  <c r="D1382" i="1"/>
  <c r="C1382" i="1" s="1"/>
  <c r="D1381" i="1"/>
  <c r="C1381" i="1" s="1"/>
  <c r="D1380" i="1"/>
  <c r="C1380" i="1" s="1"/>
  <c r="D1379" i="1"/>
  <c r="B1379" i="1" s="1"/>
  <c r="D1378" i="1"/>
  <c r="D1377" i="1"/>
  <c r="A1377" i="1" s="1"/>
  <c r="D1376" i="1"/>
  <c r="A1376" i="1" s="1"/>
  <c r="D1375" i="1"/>
  <c r="D1374" i="1"/>
  <c r="A1374" i="1" s="1"/>
  <c r="D1373" i="1"/>
  <c r="A1373" i="1" s="1"/>
  <c r="D1372" i="1"/>
  <c r="C1372" i="1" s="1"/>
  <c r="D1371" i="1"/>
  <c r="B1371" i="1" s="1"/>
  <c r="D1370" i="1"/>
  <c r="C1370" i="1" s="1"/>
  <c r="D1369" i="1"/>
  <c r="A1369" i="1" s="1"/>
  <c r="D1368" i="1"/>
  <c r="C1368" i="1" s="1"/>
  <c r="D1367" i="1"/>
  <c r="C1367" i="1" s="1"/>
  <c r="D1366" i="1"/>
  <c r="C1366" i="1" s="1"/>
  <c r="D1365" i="1"/>
  <c r="C1365" i="1" s="1"/>
  <c r="D1364" i="1"/>
  <c r="D1363" i="1"/>
  <c r="D1362" i="1"/>
  <c r="A1362" i="1" s="1"/>
  <c r="D1361" i="1"/>
  <c r="B1361" i="1" s="1"/>
  <c r="D1360" i="1"/>
  <c r="A1360" i="1" s="1"/>
  <c r="D1359" i="1"/>
  <c r="A1359" i="1" s="1"/>
  <c r="D1358" i="1"/>
  <c r="C1358" i="1" s="1"/>
  <c r="D1357" i="1"/>
  <c r="B1357" i="1" s="1"/>
  <c r="D1356" i="1"/>
  <c r="C1356" i="1" s="1"/>
  <c r="D1355" i="1"/>
  <c r="D1354" i="1"/>
  <c r="A1354" i="1" s="1"/>
  <c r="D1353" i="1"/>
  <c r="C1353" i="1" s="1"/>
  <c r="D1352" i="1"/>
  <c r="D1351" i="1"/>
  <c r="C1351" i="1" s="1"/>
  <c r="D1350" i="1"/>
  <c r="B1350" i="1" s="1"/>
  <c r="D1349" i="1"/>
  <c r="B1349" i="1" s="1"/>
  <c r="D1348" i="1"/>
  <c r="D1347" i="1"/>
  <c r="A1347" i="1" s="1"/>
  <c r="D1346" i="1"/>
  <c r="A1346" i="1" s="1"/>
  <c r="D1345" i="1"/>
  <c r="B1345" i="1" s="1"/>
  <c r="D1344" i="1"/>
  <c r="B1344" i="1" s="1"/>
  <c r="D1343" i="1"/>
  <c r="C1343" i="1" s="1"/>
  <c r="D1342" i="1"/>
  <c r="D1341" i="1"/>
  <c r="A1341" i="1" s="1"/>
  <c r="D1340" i="1"/>
  <c r="D1339" i="1"/>
  <c r="D1338" i="1"/>
  <c r="C1338" i="1" s="1"/>
  <c r="D1337" i="1"/>
  <c r="C1337" i="1" s="1"/>
  <c r="D1336" i="1"/>
  <c r="C1336" i="1" s="1"/>
  <c r="D1335" i="1"/>
  <c r="A1335" i="1" s="1"/>
  <c r="D1334" i="1"/>
  <c r="A1334" i="1" s="1"/>
  <c r="D1333" i="1"/>
  <c r="A1333" i="1" s="1"/>
  <c r="D1332" i="1"/>
  <c r="B1332" i="1" s="1"/>
  <c r="D1331" i="1"/>
  <c r="C1331" i="1" s="1"/>
  <c r="D1330" i="1"/>
  <c r="C1330" i="1" s="1"/>
  <c r="D1329" i="1"/>
  <c r="C1329" i="1" s="1"/>
  <c r="D1328" i="1"/>
  <c r="C1328" i="1" s="1"/>
  <c r="D1327" i="1"/>
  <c r="D1326" i="1"/>
  <c r="D1325" i="1"/>
  <c r="C1325" i="1" s="1"/>
  <c r="D1324" i="1"/>
  <c r="A1324" i="1" s="1"/>
  <c r="D1323" i="1"/>
  <c r="C1323" i="1" s="1"/>
  <c r="D1322" i="1"/>
  <c r="C1322" i="1" s="1"/>
  <c r="D1321" i="1"/>
  <c r="B1321" i="1" s="1"/>
  <c r="D1320" i="1"/>
  <c r="D1319" i="1"/>
  <c r="C1319" i="1" s="1"/>
  <c r="D1318" i="1"/>
  <c r="C1318" i="1" s="1"/>
  <c r="D1317" i="1"/>
  <c r="B1317" i="1" s="1"/>
  <c r="D1316" i="1"/>
  <c r="C1316" i="1" s="1"/>
  <c r="D1315" i="1"/>
  <c r="A1315" i="1" s="1"/>
  <c r="D1314" i="1"/>
  <c r="D1313" i="1"/>
  <c r="D1312" i="1"/>
  <c r="D1311" i="1"/>
  <c r="C1311" i="1" s="1"/>
  <c r="D1310" i="1"/>
  <c r="C1310" i="1" s="1"/>
  <c r="D1309" i="1"/>
  <c r="B1309" i="1" s="1"/>
  <c r="D1308" i="1"/>
  <c r="D1307" i="1"/>
  <c r="C1307" i="1" s="1"/>
  <c r="D1306" i="1"/>
  <c r="A1306" i="1" s="1"/>
  <c r="D1305" i="1"/>
  <c r="D1304" i="1"/>
  <c r="A1304" i="1" s="1"/>
  <c r="D1303" i="1"/>
  <c r="B1303" i="1" s="1"/>
  <c r="D1302" i="1"/>
  <c r="C1302" i="1" s="1"/>
  <c r="D1301" i="1"/>
  <c r="D1300" i="1"/>
  <c r="C1300" i="1" s="1"/>
  <c r="D1299" i="1"/>
  <c r="A1299" i="1" s="1"/>
  <c r="D1298" i="1"/>
  <c r="C1298" i="1" s="1"/>
  <c r="D1297" i="1"/>
  <c r="D1296" i="1"/>
  <c r="A1296" i="1" s="1"/>
  <c r="D1295" i="1"/>
  <c r="D1294" i="1"/>
  <c r="D1293" i="1"/>
  <c r="A1293" i="1" s="1"/>
  <c r="D1292" i="1"/>
  <c r="A1292" i="1" s="1"/>
  <c r="D1291" i="1"/>
  <c r="C1291" i="1" s="1"/>
  <c r="D1290" i="1"/>
  <c r="A1290" i="1" s="1"/>
  <c r="D1289" i="1"/>
  <c r="D1288" i="1"/>
  <c r="B1288" i="1" s="1"/>
  <c r="D1287" i="1"/>
  <c r="D1286" i="1"/>
  <c r="C1286" i="1" s="1"/>
  <c r="D1285" i="1"/>
  <c r="A1285" i="1" s="1"/>
  <c r="D1284" i="1"/>
  <c r="D1283" i="1"/>
  <c r="C1283" i="1" s="1"/>
  <c r="D1282" i="1"/>
  <c r="C1282" i="1" s="1"/>
  <c r="D1281" i="1"/>
  <c r="A1281" i="1" s="1"/>
  <c r="D1280" i="1"/>
  <c r="D1279" i="1"/>
  <c r="C1279" i="1" s="1"/>
  <c r="D1278" i="1"/>
  <c r="A1278" i="1" s="1"/>
  <c r="D1277" i="1"/>
  <c r="A1277" i="1" s="1"/>
  <c r="D1276" i="1"/>
  <c r="C1276" i="1" s="1"/>
  <c r="D1275" i="1"/>
  <c r="A1275" i="1" s="1"/>
  <c r="D1274" i="1"/>
  <c r="B1274" i="1" s="1"/>
  <c r="D1273" i="1"/>
  <c r="D1272" i="1"/>
  <c r="B1272" i="1" s="1"/>
  <c r="D1271" i="1"/>
  <c r="A1271" i="1" s="1"/>
  <c r="D1270" i="1"/>
  <c r="D1269" i="1"/>
  <c r="D1268" i="1"/>
  <c r="A1268" i="1" s="1"/>
  <c r="D1267" i="1"/>
  <c r="C1267" i="1" s="1"/>
  <c r="D1266" i="1"/>
  <c r="A1266" i="1" s="1"/>
  <c r="D1265" i="1"/>
  <c r="B1265" i="1" s="1"/>
  <c r="D1264" i="1"/>
  <c r="A1264" i="1" s="1"/>
  <c r="D1263" i="1"/>
  <c r="B1263" i="1" s="1"/>
  <c r="D1262" i="1"/>
  <c r="C1262" i="1" s="1"/>
  <c r="D1261" i="1"/>
  <c r="D1260" i="1"/>
  <c r="C1260" i="1" s="1"/>
  <c r="D1259" i="1"/>
  <c r="D1258" i="1"/>
  <c r="B1258" i="1" s="1"/>
  <c r="D1257" i="1"/>
  <c r="D1256" i="1"/>
  <c r="B1256" i="1" s="1"/>
  <c r="D1255" i="1"/>
  <c r="C1255" i="1" s="1"/>
  <c r="D1254" i="1"/>
  <c r="D1253" i="1"/>
  <c r="C1253" i="1" s="1"/>
  <c r="D1252" i="1"/>
  <c r="D1251" i="1"/>
  <c r="B1251" i="1" s="1"/>
  <c r="D1250" i="1"/>
  <c r="D1249" i="1"/>
  <c r="A1249" i="1" s="1"/>
  <c r="D1248" i="1"/>
  <c r="B1248" i="1" s="1"/>
  <c r="D1247" i="1"/>
  <c r="D1246" i="1"/>
  <c r="C1246" i="1" s="1"/>
  <c r="D1245" i="1"/>
  <c r="C1245" i="1" s="1"/>
  <c r="D1244" i="1"/>
  <c r="C1244" i="1" s="1"/>
  <c r="D1243" i="1"/>
  <c r="A1243" i="1" s="1"/>
  <c r="D1242" i="1"/>
  <c r="C1242" i="1" s="1"/>
  <c r="D1241" i="1"/>
  <c r="A1241" i="1" s="1"/>
  <c r="D1240" i="1"/>
  <c r="C1240" i="1" s="1"/>
  <c r="D1239" i="1"/>
  <c r="C1239" i="1" s="1"/>
  <c r="D1238" i="1"/>
  <c r="C1238" i="1" s="1"/>
  <c r="D1237" i="1"/>
  <c r="D1236" i="1"/>
  <c r="A1236" i="1" s="1"/>
  <c r="D1235" i="1"/>
  <c r="A1235" i="1" s="1"/>
  <c r="D1234" i="1"/>
  <c r="C1234" i="1" s="1"/>
  <c r="D1233" i="1"/>
  <c r="D1232" i="1"/>
  <c r="A1232" i="1" s="1"/>
  <c r="D1231" i="1"/>
  <c r="D1230" i="1"/>
  <c r="A1230" i="1" s="1"/>
  <c r="D1229" i="1"/>
  <c r="A1229" i="1" s="1"/>
  <c r="D1228" i="1"/>
  <c r="A1228" i="1" s="1"/>
  <c r="D1227" i="1"/>
  <c r="A1227" i="1" s="1"/>
  <c r="D1226" i="1"/>
  <c r="D1225" i="1"/>
  <c r="D1224" i="1"/>
  <c r="C1224" i="1" s="1"/>
  <c r="D1223" i="1"/>
  <c r="C1223" i="1" s="1"/>
  <c r="D1222" i="1"/>
  <c r="A1222" i="1" s="1"/>
  <c r="D1221" i="1"/>
  <c r="D1220" i="1"/>
  <c r="D1219" i="1"/>
  <c r="A1219" i="1" s="1"/>
  <c r="C1219" i="1"/>
  <c r="D1218" i="1"/>
  <c r="A1218" i="1" s="1"/>
  <c r="D1217" i="1"/>
  <c r="C1217" i="1" s="1"/>
  <c r="D1216" i="1"/>
  <c r="D1215" i="1"/>
  <c r="D1214" i="1"/>
  <c r="D1213" i="1"/>
  <c r="B1213" i="1" s="1"/>
  <c r="D1212" i="1"/>
  <c r="A1212" i="1" s="1"/>
  <c r="D1211" i="1"/>
  <c r="C1211" i="1" s="1"/>
  <c r="D1210" i="1"/>
  <c r="A1210" i="1" s="1"/>
  <c r="D1209" i="1"/>
  <c r="C1209" i="1" s="1"/>
  <c r="D1208" i="1"/>
  <c r="D1207" i="1"/>
  <c r="D1206" i="1"/>
  <c r="A1206" i="1" s="1"/>
  <c r="D1205" i="1"/>
  <c r="C1205" i="1" s="1"/>
  <c r="D1204" i="1"/>
  <c r="C1204" i="1" s="1"/>
  <c r="D1203" i="1"/>
  <c r="D1202" i="1"/>
  <c r="B1202" i="1" s="1"/>
  <c r="D1201" i="1"/>
  <c r="A1201" i="1" s="1"/>
  <c r="D1200" i="1"/>
  <c r="D1199" i="1"/>
  <c r="A1199" i="1" s="1"/>
  <c r="D1198" i="1"/>
  <c r="D1197" i="1"/>
  <c r="A1197" i="1" s="1"/>
  <c r="D1196" i="1"/>
  <c r="D1195" i="1"/>
  <c r="B1195" i="1"/>
  <c r="D1194" i="1"/>
  <c r="A1194" i="1" s="1"/>
  <c r="D1193" i="1"/>
  <c r="D1192" i="1"/>
  <c r="C1192" i="1" s="1"/>
  <c r="D1191" i="1"/>
  <c r="B1191" i="1" s="1"/>
  <c r="D1190" i="1"/>
  <c r="B1190" i="1" s="1"/>
  <c r="D1189" i="1"/>
  <c r="A1189" i="1" s="1"/>
  <c r="D1188" i="1"/>
  <c r="A1188" i="1" s="1"/>
  <c r="D1187" i="1"/>
  <c r="A1187" i="1" s="1"/>
  <c r="D1186" i="1"/>
  <c r="D1185" i="1"/>
  <c r="B1185" i="1" s="1"/>
  <c r="D1184" i="1"/>
  <c r="B1184" i="1" s="1"/>
  <c r="D1183" i="1"/>
  <c r="C1183" i="1" s="1"/>
  <c r="D1182" i="1"/>
  <c r="A1182" i="1" s="1"/>
  <c r="D1181" i="1"/>
  <c r="C1181" i="1" s="1"/>
  <c r="D1180" i="1"/>
  <c r="D1179" i="1"/>
  <c r="C1179" i="1" s="1"/>
  <c r="D1178" i="1"/>
  <c r="A1178" i="1" s="1"/>
  <c r="D1177" i="1"/>
  <c r="D1176" i="1"/>
  <c r="A1176" i="1" s="1"/>
  <c r="D1175" i="1"/>
  <c r="C1175" i="1" s="1"/>
  <c r="D1174" i="1"/>
  <c r="D1173" i="1"/>
  <c r="B1173" i="1" s="1"/>
  <c r="D1172" i="1"/>
  <c r="C1172" i="1" s="1"/>
  <c r="D1171" i="1"/>
  <c r="C1171" i="1" s="1"/>
  <c r="D1170" i="1"/>
  <c r="A1170" i="1" s="1"/>
  <c r="D1169" i="1"/>
  <c r="B1169" i="1" s="1"/>
  <c r="D1168" i="1"/>
  <c r="C1168" i="1" s="1"/>
  <c r="D1167" i="1"/>
  <c r="A1167" i="1" s="1"/>
  <c r="D1166" i="1"/>
  <c r="C1166" i="1" s="1"/>
  <c r="D1165" i="1"/>
  <c r="A1165" i="1" s="1"/>
  <c r="D1164" i="1"/>
  <c r="C1164" i="1" s="1"/>
  <c r="D1163" i="1"/>
  <c r="D1162" i="1"/>
  <c r="C1162" i="1" s="1"/>
  <c r="D1161" i="1"/>
  <c r="B1161" i="1" s="1"/>
  <c r="D1160" i="1"/>
  <c r="D1159" i="1"/>
  <c r="D1158" i="1"/>
  <c r="B1158" i="1" s="1"/>
  <c r="D1157" i="1"/>
  <c r="D1156" i="1"/>
  <c r="D1155" i="1"/>
  <c r="C1155" i="1" s="1"/>
  <c r="D1154" i="1"/>
  <c r="C1154" i="1" s="1"/>
  <c r="D1153" i="1"/>
  <c r="C1153" i="1" s="1"/>
  <c r="D1152" i="1"/>
  <c r="C1152" i="1" s="1"/>
  <c r="D1151" i="1"/>
  <c r="D1150" i="1"/>
  <c r="A1150" i="1" s="1"/>
  <c r="D1149" i="1"/>
  <c r="C1149" i="1" s="1"/>
  <c r="D1148" i="1"/>
  <c r="C1148" i="1" s="1"/>
  <c r="D1147" i="1"/>
  <c r="A1147" i="1" s="1"/>
  <c r="D1146" i="1"/>
  <c r="C1146" i="1" s="1"/>
  <c r="D1145" i="1"/>
  <c r="C1145" i="1" s="1"/>
  <c r="D1144" i="1"/>
  <c r="D1143" i="1"/>
  <c r="A1143" i="1" s="1"/>
  <c r="D1142" i="1"/>
  <c r="D1141" i="1"/>
  <c r="C1141" i="1" s="1"/>
  <c r="D1140" i="1"/>
  <c r="C1140" i="1" s="1"/>
  <c r="D1139" i="1"/>
  <c r="D1138" i="1"/>
  <c r="A1138" i="1" s="1"/>
  <c r="D1137" i="1"/>
  <c r="B1137" i="1" s="1"/>
  <c r="D1136" i="1"/>
  <c r="C1136" i="1" s="1"/>
  <c r="D1135" i="1"/>
  <c r="C1135" i="1" s="1"/>
  <c r="D1134" i="1"/>
  <c r="D1133" i="1"/>
  <c r="B1133" i="1" s="1"/>
  <c r="D1132" i="1"/>
  <c r="B1132" i="1" s="1"/>
  <c r="D1131" i="1"/>
  <c r="D1130" i="1"/>
  <c r="D1129" i="1"/>
  <c r="A1129" i="1" s="1"/>
  <c r="D1128" i="1"/>
  <c r="A1128" i="1" s="1"/>
  <c r="D1127" i="1"/>
  <c r="B1127" i="1" s="1"/>
  <c r="D1126" i="1"/>
  <c r="D1125" i="1"/>
  <c r="C1125" i="1" s="1"/>
  <c r="D1124" i="1"/>
  <c r="B1124" i="1" s="1"/>
  <c r="D1123" i="1"/>
  <c r="D1122" i="1"/>
  <c r="D1121" i="1"/>
  <c r="C1121" i="1" s="1"/>
  <c r="D1120" i="1"/>
  <c r="C1120" i="1" s="1"/>
  <c r="D1119" i="1"/>
  <c r="B1119" i="1" s="1"/>
  <c r="D1118" i="1"/>
  <c r="C1118" i="1" s="1"/>
  <c r="D1117" i="1"/>
  <c r="D1116" i="1"/>
  <c r="B1116" i="1" s="1"/>
  <c r="D1115" i="1"/>
  <c r="B1115" i="1" s="1"/>
  <c r="D1114" i="1"/>
  <c r="B1114" i="1" s="1"/>
  <c r="D1113" i="1"/>
  <c r="D1112" i="1"/>
  <c r="A1112" i="1" s="1"/>
  <c r="D1111" i="1"/>
  <c r="D1110" i="1"/>
  <c r="C1110" i="1" s="1"/>
  <c r="D1109" i="1"/>
  <c r="B1109" i="1" s="1"/>
  <c r="D1108" i="1"/>
  <c r="B1108" i="1" s="1"/>
  <c r="D1107" i="1"/>
  <c r="C1107" i="1" s="1"/>
  <c r="D1106" i="1"/>
  <c r="A1106" i="1" s="1"/>
  <c r="D1105" i="1"/>
  <c r="B1105" i="1" s="1"/>
  <c r="D1104" i="1"/>
  <c r="B1104" i="1" s="1"/>
  <c r="D1103" i="1"/>
  <c r="C1103" i="1" s="1"/>
  <c r="D1102" i="1"/>
  <c r="D1101" i="1"/>
  <c r="D1100" i="1"/>
  <c r="C1100" i="1" s="1"/>
  <c r="D1099" i="1"/>
  <c r="C1099" i="1" s="1"/>
  <c r="D1098" i="1"/>
  <c r="A1098" i="1" s="1"/>
  <c r="D1097" i="1"/>
  <c r="D1096" i="1"/>
  <c r="B1096" i="1" s="1"/>
  <c r="D1095" i="1"/>
  <c r="C1095" i="1" s="1"/>
  <c r="D1094" i="1"/>
  <c r="C1094" i="1" s="1"/>
  <c r="D1093" i="1"/>
  <c r="D1092" i="1"/>
  <c r="C1092" i="1" s="1"/>
  <c r="D1091" i="1"/>
  <c r="C1091" i="1" s="1"/>
  <c r="D1090" i="1"/>
  <c r="C1090" i="1" s="1"/>
  <c r="D1089" i="1"/>
  <c r="C1089" i="1" s="1"/>
  <c r="D1088" i="1"/>
  <c r="B1088" i="1" s="1"/>
  <c r="D1087" i="1"/>
  <c r="C1087" i="1" s="1"/>
  <c r="D1086" i="1"/>
  <c r="A1086" i="1" s="1"/>
  <c r="D1085" i="1"/>
  <c r="D1084" i="1"/>
  <c r="A1084" i="1" s="1"/>
  <c r="D1083" i="1"/>
  <c r="C1083" i="1" s="1"/>
  <c r="D1082" i="1"/>
  <c r="C1082" i="1" s="1"/>
  <c r="D1081" i="1"/>
  <c r="D1080" i="1"/>
  <c r="C1080" i="1" s="1"/>
  <c r="D1079" i="1"/>
  <c r="D1078" i="1"/>
  <c r="C1078" i="1" s="1"/>
  <c r="D1077" i="1"/>
  <c r="D1076" i="1"/>
  <c r="B1076" i="1" s="1"/>
  <c r="D1075" i="1"/>
  <c r="D1074" i="1"/>
  <c r="D1073" i="1"/>
  <c r="D1072" i="1"/>
  <c r="B1072" i="1" s="1"/>
  <c r="D1071" i="1"/>
  <c r="D1070" i="1"/>
  <c r="C1070" i="1" s="1"/>
  <c r="D1069" i="1"/>
  <c r="A1069" i="1" s="1"/>
  <c r="D1068" i="1"/>
  <c r="C1068" i="1" s="1"/>
  <c r="D1067" i="1"/>
  <c r="D1066" i="1"/>
  <c r="B1066" i="1" s="1"/>
  <c r="D1065" i="1"/>
  <c r="C1065" i="1" s="1"/>
  <c r="D1064" i="1"/>
  <c r="B1064" i="1" s="1"/>
  <c r="D1063" i="1"/>
  <c r="A1063" i="1" s="1"/>
  <c r="D1062" i="1"/>
  <c r="D1061" i="1"/>
  <c r="C1061" i="1" s="1"/>
  <c r="D1060" i="1"/>
  <c r="B1060" i="1" s="1"/>
  <c r="D1059" i="1"/>
  <c r="C1059" i="1" s="1"/>
  <c r="D1058" i="1"/>
  <c r="C1058" i="1" s="1"/>
  <c r="D1057" i="1"/>
  <c r="D1056" i="1"/>
  <c r="B1056" i="1" s="1"/>
  <c r="D1055" i="1"/>
  <c r="C1055" i="1" s="1"/>
  <c r="D1054" i="1"/>
  <c r="B1054" i="1" s="1"/>
  <c r="D1053" i="1"/>
  <c r="D1052" i="1"/>
  <c r="B1052" i="1" s="1"/>
  <c r="D1051" i="1"/>
  <c r="C1051" i="1" s="1"/>
  <c r="D1050" i="1"/>
  <c r="C1050" i="1" s="1"/>
  <c r="D1049" i="1"/>
  <c r="C1049" i="1" s="1"/>
  <c r="D1048" i="1"/>
  <c r="A1048" i="1" s="1"/>
  <c r="D1047" i="1"/>
  <c r="A1047" i="1" s="1"/>
  <c r="D1046" i="1"/>
  <c r="C1046" i="1" s="1"/>
  <c r="D1045" i="1"/>
  <c r="D1044" i="1"/>
  <c r="B1044" i="1" s="1"/>
  <c r="D1043" i="1"/>
  <c r="A1043" i="1" s="1"/>
  <c r="D1042" i="1"/>
  <c r="C1042" i="1" s="1"/>
  <c r="D1041" i="1"/>
  <c r="C1041" i="1" s="1"/>
  <c r="D1040" i="1"/>
  <c r="C1040" i="1" s="1"/>
  <c r="D1039" i="1"/>
  <c r="C1039" i="1" s="1"/>
  <c r="D1038" i="1"/>
  <c r="C1038" i="1" s="1"/>
  <c r="D1037" i="1"/>
  <c r="D1036" i="1"/>
  <c r="C1036" i="1" s="1"/>
  <c r="D1035" i="1"/>
  <c r="D1034" i="1"/>
  <c r="D1033" i="1"/>
  <c r="C1033" i="1" s="1"/>
  <c r="D1032" i="1"/>
  <c r="C1032" i="1" s="1"/>
  <c r="D1031" i="1"/>
  <c r="D1030" i="1"/>
  <c r="A1030" i="1" s="1"/>
  <c r="D1029" i="1"/>
  <c r="C1029" i="1" s="1"/>
  <c r="D1028" i="1"/>
  <c r="A1028" i="1" s="1"/>
  <c r="D1027" i="1"/>
  <c r="B1027" i="1" s="1"/>
  <c r="D1026" i="1"/>
  <c r="C1026" i="1" s="1"/>
  <c r="D1025" i="1"/>
  <c r="B1025" i="1" s="1"/>
  <c r="D1024" i="1"/>
  <c r="C1024" i="1" s="1"/>
  <c r="D1023" i="1"/>
  <c r="D1022" i="1"/>
  <c r="C1022" i="1" s="1"/>
  <c r="D1021" i="1"/>
  <c r="C1021" i="1" s="1"/>
  <c r="D1020" i="1"/>
  <c r="A1020" i="1" s="1"/>
  <c r="D1019" i="1"/>
  <c r="D1018" i="1"/>
  <c r="B1018" i="1" s="1"/>
  <c r="D1017" i="1"/>
  <c r="D1016" i="1"/>
  <c r="B1016" i="1" s="1"/>
  <c r="D1015" i="1"/>
  <c r="C1015" i="1" s="1"/>
  <c r="D1014" i="1"/>
  <c r="C1014" i="1" s="1"/>
  <c r="D1013" i="1"/>
  <c r="D1012" i="1"/>
  <c r="D1011" i="1"/>
  <c r="B1011" i="1" s="1"/>
  <c r="D1010" i="1"/>
  <c r="C1010" i="1" s="1"/>
  <c r="D1009" i="1"/>
  <c r="A1009" i="1" s="1"/>
  <c r="D1008" i="1"/>
  <c r="C1008" i="1" s="1"/>
  <c r="D1007" i="1"/>
  <c r="A1007" i="1" s="1"/>
  <c r="D1006" i="1"/>
  <c r="B1006" i="1" s="1"/>
  <c r="D1005" i="1"/>
  <c r="D1004" i="1"/>
  <c r="D1003" i="1"/>
  <c r="A1003" i="1" s="1"/>
  <c r="D1002" i="1"/>
  <c r="A1002" i="1" s="1"/>
  <c r="D1001" i="1"/>
  <c r="C1001" i="1" s="1"/>
  <c r="D1000" i="1"/>
  <c r="C1000" i="1" s="1"/>
  <c r="D999" i="1"/>
  <c r="D998" i="1"/>
  <c r="A998" i="1" s="1"/>
  <c r="D997" i="1"/>
  <c r="D996" i="1"/>
  <c r="C996" i="1" s="1"/>
  <c r="D995" i="1"/>
  <c r="A995" i="1" s="1"/>
  <c r="D994" i="1"/>
  <c r="C994" i="1" s="1"/>
  <c r="D993" i="1"/>
  <c r="B993" i="1" s="1"/>
  <c r="D992" i="1"/>
  <c r="B992" i="1" s="1"/>
  <c r="D991" i="1"/>
  <c r="C991" i="1" s="1"/>
  <c r="D990" i="1"/>
  <c r="B990" i="1" s="1"/>
  <c r="D989" i="1"/>
  <c r="B989" i="1" s="1"/>
  <c r="C989" i="1"/>
  <c r="D988" i="1"/>
  <c r="C988" i="1" s="1"/>
  <c r="D987" i="1"/>
  <c r="C987" i="1" s="1"/>
  <c r="D986" i="1"/>
  <c r="C986" i="1" s="1"/>
  <c r="D985" i="1"/>
  <c r="B985" i="1" s="1"/>
  <c r="D984" i="1"/>
  <c r="D983" i="1"/>
  <c r="D982" i="1"/>
  <c r="D981" i="1"/>
  <c r="C981" i="1" s="1"/>
  <c r="D980" i="1"/>
  <c r="A980" i="1" s="1"/>
  <c r="D979" i="1"/>
  <c r="C979" i="1" s="1"/>
  <c r="D978" i="1"/>
  <c r="D977" i="1"/>
  <c r="A977" i="1" s="1"/>
  <c r="D976" i="1"/>
  <c r="B976" i="1" s="1"/>
  <c r="D975" i="1"/>
  <c r="B975" i="1" s="1"/>
  <c r="D974" i="1"/>
  <c r="C974" i="1" s="1"/>
  <c r="D973" i="1"/>
  <c r="A973" i="1" s="1"/>
  <c r="D972" i="1"/>
  <c r="B972" i="1" s="1"/>
  <c r="D971" i="1"/>
  <c r="B971" i="1" s="1"/>
  <c r="D970" i="1"/>
  <c r="B970" i="1" s="1"/>
  <c r="C970" i="1"/>
  <c r="D969" i="1"/>
  <c r="C969" i="1" s="1"/>
  <c r="D968" i="1"/>
  <c r="C968" i="1" s="1"/>
  <c r="D967" i="1"/>
  <c r="D966" i="1"/>
  <c r="D965" i="1"/>
  <c r="C965" i="1" s="1"/>
  <c r="D964" i="1"/>
  <c r="B964" i="1" s="1"/>
  <c r="D963" i="1"/>
  <c r="D962" i="1"/>
  <c r="C962" i="1" s="1"/>
  <c r="D961" i="1"/>
  <c r="C961" i="1" s="1"/>
  <c r="D960" i="1"/>
  <c r="C960" i="1" s="1"/>
  <c r="D959" i="1"/>
  <c r="C959" i="1" s="1"/>
  <c r="D958" i="1"/>
  <c r="D957" i="1"/>
  <c r="B957" i="1" s="1"/>
  <c r="D956" i="1"/>
  <c r="A956" i="1" s="1"/>
  <c r="D955" i="1"/>
  <c r="B955" i="1" s="1"/>
  <c r="D954" i="1"/>
  <c r="C954" i="1" s="1"/>
  <c r="D953" i="1"/>
  <c r="C953" i="1" s="1"/>
  <c r="D952" i="1"/>
  <c r="D951" i="1"/>
  <c r="C951" i="1" s="1"/>
  <c r="D950" i="1"/>
  <c r="D949" i="1"/>
  <c r="B949" i="1" s="1"/>
  <c r="D948" i="1"/>
  <c r="D947" i="1"/>
  <c r="A947" i="1" s="1"/>
  <c r="D946" i="1"/>
  <c r="D945" i="1"/>
  <c r="B945" i="1" s="1"/>
  <c r="D944" i="1"/>
  <c r="B944" i="1" s="1"/>
  <c r="D943" i="1"/>
  <c r="C943" i="1" s="1"/>
  <c r="D942" i="1"/>
  <c r="C942" i="1" s="1"/>
  <c r="D941" i="1"/>
  <c r="D940" i="1"/>
  <c r="D939" i="1"/>
  <c r="D938" i="1"/>
  <c r="A938" i="1" s="1"/>
  <c r="D937" i="1"/>
  <c r="A937" i="1" s="1"/>
  <c r="D936" i="1"/>
  <c r="C936" i="1" s="1"/>
  <c r="D935" i="1"/>
  <c r="D934" i="1"/>
  <c r="A934" i="1" s="1"/>
  <c r="D933" i="1"/>
  <c r="D932" i="1"/>
  <c r="C932" i="1" s="1"/>
  <c r="D931" i="1"/>
  <c r="A931" i="1" s="1"/>
  <c r="D930" i="1"/>
  <c r="C930" i="1" s="1"/>
  <c r="D929" i="1"/>
  <c r="D928" i="1"/>
  <c r="B928" i="1" s="1"/>
  <c r="D927" i="1"/>
  <c r="A927" i="1" s="1"/>
  <c r="D926" i="1"/>
  <c r="A926" i="1" s="1"/>
  <c r="D925" i="1"/>
  <c r="C925" i="1" s="1"/>
  <c r="D924" i="1"/>
  <c r="C924" i="1" s="1"/>
  <c r="D923" i="1"/>
  <c r="B923" i="1" s="1"/>
  <c r="D922" i="1"/>
  <c r="D921" i="1"/>
  <c r="D920" i="1"/>
  <c r="B920" i="1" s="1"/>
  <c r="D919" i="1"/>
  <c r="D918" i="1"/>
  <c r="A918" i="1" s="1"/>
  <c r="D917" i="1"/>
  <c r="D916" i="1"/>
  <c r="C916" i="1" s="1"/>
  <c r="D915" i="1"/>
  <c r="D914" i="1"/>
  <c r="C914" i="1" s="1"/>
  <c r="D913" i="1"/>
  <c r="B913" i="1" s="1"/>
  <c r="D912" i="1"/>
  <c r="A912" i="1" s="1"/>
  <c r="D911" i="1"/>
  <c r="A911" i="1" s="1"/>
  <c r="D910" i="1"/>
  <c r="A910" i="1" s="1"/>
  <c r="D909" i="1"/>
  <c r="B909" i="1" s="1"/>
  <c r="D908" i="1"/>
  <c r="C908" i="1" s="1"/>
  <c r="D907" i="1"/>
  <c r="B907" i="1" s="1"/>
  <c r="D906" i="1"/>
  <c r="D905" i="1"/>
  <c r="D904" i="1"/>
  <c r="C904" i="1" s="1"/>
  <c r="D903" i="1"/>
  <c r="C903" i="1" s="1"/>
  <c r="D902" i="1"/>
  <c r="C902" i="1" s="1"/>
  <c r="D901" i="1"/>
  <c r="C901" i="1" s="1"/>
  <c r="D900" i="1"/>
  <c r="D899" i="1"/>
  <c r="D898" i="1"/>
  <c r="C898" i="1" s="1"/>
  <c r="D897" i="1"/>
  <c r="A897" i="1" s="1"/>
  <c r="D896" i="1"/>
  <c r="C896" i="1" s="1"/>
  <c r="D895" i="1"/>
  <c r="A895" i="1" s="1"/>
  <c r="D894" i="1"/>
  <c r="C894" i="1" s="1"/>
  <c r="D893" i="1"/>
  <c r="B893" i="1" s="1"/>
  <c r="D892" i="1"/>
  <c r="C892" i="1" s="1"/>
  <c r="D891" i="1"/>
  <c r="A891" i="1" s="1"/>
  <c r="D890" i="1"/>
  <c r="C890" i="1" s="1"/>
  <c r="D889" i="1"/>
  <c r="C889" i="1" s="1"/>
  <c r="D888" i="1"/>
  <c r="C888" i="1" s="1"/>
  <c r="D887" i="1"/>
  <c r="D886" i="1"/>
  <c r="B886" i="1" s="1"/>
  <c r="D885" i="1"/>
  <c r="D884" i="1"/>
  <c r="C884" i="1" s="1"/>
  <c r="D883" i="1"/>
  <c r="D882" i="1"/>
  <c r="D881" i="1"/>
  <c r="B881" i="1" s="1"/>
  <c r="D880" i="1"/>
  <c r="D879" i="1"/>
  <c r="A879" i="1" s="1"/>
  <c r="D878" i="1"/>
  <c r="A878" i="1" s="1"/>
  <c r="D877" i="1"/>
  <c r="D876" i="1"/>
  <c r="C876" i="1" s="1"/>
  <c r="D875" i="1"/>
  <c r="B875" i="1" s="1"/>
  <c r="D874" i="1"/>
  <c r="D873" i="1"/>
  <c r="B873" i="1" s="1"/>
  <c r="C873" i="1"/>
  <c r="D872" i="1"/>
  <c r="D871" i="1"/>
  <c r="B871" i="1" s="1"/>
  <c r="D870" i="1"/>
  <c r="D869" i="1"/>
  <c r="C869" i="1" s="1"/>
  <c r="D868" i="1"/>
  <c r="D867" i="1"/>
  <c r="B867" i="1" s="1"/>
  <c r="D866" i="1"/>
  <c r="A866" i="1" s="1"/>
  <c r="D865" i="1"/>
  <c r="B865" i="1" s="1"/>
  <c r="D864" i="1"/>
  <c r="B864" i="1" s="1"/>
  <c r="D863" i="1"/>
  <c r="D862" i="1"/>
  <c r="A862" i="1" s="1"/>
  <c r="D861" i="1"/>
  <c r="D860" i="1"/>
  <c r="A860" i="1" s="1"/>
  <c r="D859" i="1"/>
  <c r="D858" i="1"/>
  <c r="D857" i="1"/>
  <c r="D856" i="1"/>
  <c r="C856" i="1" s="1"/>
  <c r="D855" i="1"/>
  <c r="A855" i="1" s="1"/>
  <c r="D854" i="1"/>
  <c r="D853" i="1"/>
  <c r="B853" i="1" s="1"/>
  <c r="D852" i="1"/>
  <c r="A852" i="1" s="1"/>
  <c r="D851" i="1"/>
  <c r="A851" i="1" s="1"/>
  <c r="D850" i="1"/>
  <c r="C850" i="1" s="1"/>
  <c r="D849" i="1"/>
  <c r="B849" i="1" s="1"/>
  <c r="D848" i="1"/>
  <c r="C848" i="1" s="1"/>
  <c r="D847" i="1"/>
  <c r="A847" i="1" s="1"/>
  <c r="D846" i="1"/>
  <c r="D845" i="1"/>
  <c r="D844" i="1"/>
  <c r="B844" i="1" s="1"/>
  <c r="D843" i="1"/>
  <c r="C843" i="1" s="1"/>
  <c r="D842" i="1"/>
  <c r="C842" i="1" s="1"/>
  <c r="D841" i="1"/>
  <c r="C841" i="1" s="1"/>
  <c r="D840" i="1"/>
  <c r="B840" i="1" s="1"/>
  <c r="D839" i="1"/>
  <c r="D838" i="1"/>
  <c r="B838" i="1" s="1"/>
  <c r="D837" i="1"/>
  <c r="D836" i="1"/>
  <c r="C836" i="1" s="1"/>
  <c r="D835" i="1"/>
  <c r="D834" i="1"/>
  <c r="C834" i="1" s="1"/>
  <c r="D833" i="1"/>
  <c r="A833" i="1" s="1"/>
  <c r="D832" i="1"/>
  <c r="D831" i="1"/>
  <c r="B831" i="1" s="1"/>
  <c r="D830" i="1"/>
  <c r="A830" i="1" s="1"/>
  <c r="D829" i="1"/>
  <c r="C829" i="1" s="1"/>
  <c r="D828" i="1"/>
  <c r="D827" i="1"/>
  <c r="B827" i="1" s="1"/>
  <c r="D826" i="1"/>
  <c r="B826" i="1" s="1"/>
  <c r="D825" i="1"/>
  <c r="D824" i="1"/>
  <c r="B824" i="1" s="1"/>
  <c r="D823" i="1"/>
  <c r="A823" i="1" s="1"/>
  <c r="D822" i="1"/>
  <c r="C822" i="1" s="1"/>
  <c r="D821" i="1"/>
  <c r="D820" i="1"/>
  <c r="D819" i="1"/>
  <c r="C819" i="1" s="1"/>
  <c r="D818" i="1"/>
  <c r="D817" i="1"/>
  <c r="D816" i="1"/>
  <c r="A816" i="1" s="1"/>
  <c r="D815" i="1"/>
  <c r="C815" i="1" s="1"/>
  <c r="D814" i="1"/>
  <c r="C814" i="1" s="1"/>
  <c r="D813" i="1"/>
  <c r="D812" i="1"/>
  <c r="B812" i="1" s="1"/>
  <c r="D811" i="1"/>
  <c r="C811" i="1" s="1"/>
  <c r="D810" i="1"/>
  <c r="D809" i="1"/>
  <c r="B809" i="1" s="1"/>
  <c r="D808" i="1"/>
  <c r="C808" i="1" s="1"/>
  <c r="D807" i="1"/>
  <c r="C807" i="1" s="1"/>
  <c r="D806" i="1"/>
  <c r="B806" i="1" s="1"/>
  <c r="D805" i="1"/>
  <c r="D804" i="1"/>
  <c r="C804" i="1" s="1"/>
  <c r="D803" i="1"/>
  <c r="B803" i="1" s="1"/>
  <c r="D802" i="1"/>
  <c r="C802" i="1" s="1"/>
  <c r="D801" i="1"/>
  <c r="B801" i="1" s="1"/>
  <c r="D800" i="1"/>
  <c r="C800" i="1" s="1"/>
  <c r="D799" i="1"/>
  <c r="D798" i="1"/>
  <c r="C798" i="1" s="1"/>
  <c r="D797" i="1"/>
  <c r="B797" i="1" s="1"/>
  <c r="D796" i="1"/>
  <c r="B796" i="1" s="1"/>
  <c r="D795" i="1"/>
  <c r="D794" i="1"/>
  <c r="C794" i="1" s="1"/>
  <c r="D793" i="1"/>
  <c r="C793" i="1" s="1"/>
  <c r="D792" i="1"/>
  <c r="B792" i="1" s="1"/>
  <c r="D791" i="1"/>
  <c r="B791" i="1" s="1"/>
  <c r="D790" i="1"/>
  <c r="D789" i="1"/>
  <c r="C789" i="1" s="1"/>
  <c r="D788" i="1"/>
  <c r="C788" i="1" s="1"/>
  <c r="D787" i="1"/>
  <c r="B787" i="1" s="1"/>
  <c r="D786" i="1"/>
  <c r="C786" i="1" s="1"/>
  <c r="D785" i="1"/>
  <c r="A785" i="1" s="1"/>
  <c r="D784" i="1"/>
  <c r="C784" i="1" s="1"/>
  <c r="D783" i="1"/>
  <c r="D782" i="1"/>
  <c r="A782" i="1" s="1"/>
  <c r="D781" i="1"/>
  <c r="D780" i="1"/>
  <c r="C780" i="1" s="1"/>
  <c r="D779" i="1"/>
  <c r="D778" i="1"/>
  <c r="B778" i="1" s="1"/>
  <c r="D777" i="1"/>
  <c r="C777" i="1" s="1"/>
  <c r="D776" i="1"/>
  <c r="B776" i="1" s="1"/>
  <c r="D775" i="1"/>
  <c r="C775" i="1" s="1"/>
  <c r="D774" i="1"/>
  <c r="C774" i="1" s="1"/>
  <c r="D773" i="1"/>
  <c r="A773" i="1" s="1"/>
  <c r="D772" i="1"/>
  <c r="C772" i="1" s="1"/>
  <c r="D771" i="1"/>
  <c r="A771" i="1" s="1"/>
  <c r="D770" i="1"/>
  <c r="C770" i="1" s="1"/>
  <c r="D769" i="1"/>
  <c r="C769" i="1" s="1"/>
  <c r="D768" i="1"/>
  <c r="A768" i="1" s="1"/>
  <c r="D767" i="1"/>
  <c r="D766" i="1"/>
  <c r="C766" i="1" s="1"/>
  <c r="D765" i="1"/>
  <c r="A765" i="1" s="1"/>
  <c r="D764" i="1"/>
  <c r="A764" i="1" s="1"/>
  <c r="D763" i="1"/>
  <c r="C763" i="1" s="1"/>
  <c r="D762" i="1"/>
  <c r="B762" i="1" s="1"/>
  <c r="D761" i="1"/>
  <c r="B761" i="1" s="1"/>
  <c r="D760" i="1"/>
  <c r="D759" i="1"/>
  <c r="C759" i="1" s="1"/>
  <c r="D758" i="1"/>
  <c r="B758" i="1" s="1"/>
  <c r="D757" i="1"/>
  <c r="C757" i="1" s="1"/>
  <c r="D756" i="1"/>
  <c r="B756" i="1" s="1"/>
  <c r="D755" i="1"/>
  <c r="B755" i="1" s="1"/>
  <c r="D754" i="1"/>
  <c r="B754" i="1" s="1"/>
  <c r="D753" i="1"/>
  <c r="C753" i="1" s="1"/>
  <c r="D752" i="1"/>
  <c r="D751" i="1"/>
  <c r="B751" i="1" s="1"/>
  <c r="D750" i="1"/>
  <c r="B750" i="1" s="1"/>
  <c r="D749" i="1"/>
  <c r="C749" i="1" s="1"/>
  <c r="D748" i="1"/>
  <c r="A748" i="1" s="1"/>
  <c r="D747" i="1"/>
  <c r="C747" i="1" s="1"/>
  <c r="D746" i="1"/>
  <c r="C746" i="1" s="1"/>
  <c r="D745" i="1"/>
  <c r="A745" i="1" s="1"/>
  <c r="D744" i="1"/>
  <c r="D743" i="1"/>
  <c r="A743" i="1" s="1"/>
  <c r="D742" i="1"/>
  <c r="C742" i="1" s="1"/>
  <c r="D741" i="1"/>
  <c r="D740" i="1"/>
  <c r="C740" i="1" s="1"/>
  <c r="D739" i="1"/>
  <c r="C739" i="1" s="1"/>
  <c r="D738" i="1"/>
  <c r="B738" i="1" s="1"/>
  <c r="D737" i="1"/>
  <c r="A737" i="1" s="1"/>
  <c r="D736" i="1"/>
  <c r="B736" i="1" s="1"/>
  <c r="D735" i="1"/>
  <c r="B735" i="1" s="1"/>
  <c r="D734" i="1"/>
  <c r="C734" i="1" s="1"/>
  <c r="D733" i="1"/>
  <c r="D732" i="1"/>
  <c r="D731" i="1"/>
  <c r="D730" i="1"/>
  <c r="A730" i="1" s="1"/>
  <c r="D729" i="1"/>
  <c r="D728" i="1"/>
  <c r="B728" i="1" s="1"/>
  <c r="A728" i="1"/>
  <c r="D727" i="1"/>
  <c r="B727" i="1" s="1"/>
  <c r="D726" i="1"/>
  <c r="A726" i="1" s="1"/>
  <c r="D725" i="1"/>
  <c r="D724" i="1"/>
  <c r="B724" i="1" s="1"/>
  <c r="D723" i="1"/>
  <c r="C723" i="1" s="1"/>
  <c r="D722" i="1"/>
  <c r="A722" i="1" s="1"/>
  <c r="D721" i="1"/>
  <c r="C721" i="1" s="1"/>
  <c r="D720" i="1"/>
  <c r="D719" i="1"/>
  <c r="B719" i="1" s="1"/>
  <c r="D718" i="1"/>
  <c r="D717" i="1"/>
  <c r="C717" i="1" s="1"/>
  <c r="B717" i="1"/>
  <c r="D716" i="1"/>
  <c r="D715" i="1"/>
  <c r="D714" i="1"/>
  <c r="B714" i="1" s="1"/>
  <c r="C714" i="1"/>
  <c r="D713" i="1"/>
  <c r="B713" i="1" s="1"/>
  <c r="D712" i="1"/>
  <c r="C712" i="1" s="1"/>
  <c r="D711" i="1"/>
  <c r="D710" i="1"/>
  <c r="C710" i="1" s="1"/>
  <c r="D709" i="1"/>
  <c r="A709" i="1" s="1"/>
  <c r="D708" i="1"/>
  <c r="C708" i="1" s="1"/>
  <c r="D707" i="1"/>
  <c r="C707" i="1" s="1"/>
  <c r="D706" i="1"/>
  <c r="B706" i="1" s="1"/>
  <c r="D705" i="1"/>
  <c r="D704" i="1"/>
  <c r="B704" i="1" s="1"/>
  <c r="D703" i="1"/>
  <c r="C703" i="1" s="1"/>
  <c r="D702" i="1"/>
  <c r="B702" i="1" s="1"/>
  <c r="D701" i="1"/>
  <c r="C701" i="1" s="1"/>
  <c r="D700" i="1"/>
  <c r="A700" i="1" s="1"/>
  <c r="D699" i="1"/>
  <c r="D698" i="1"/>
  <c r="C698" i="1" s="1"/>
  <c r="D697" i="1"/>
  <c r="B697" i="1" s="1"/>
  <c r="D696" i="1"/>
  <c r="D695" i="1"/>
  <c r="D694" i="1"/>
  <c r="C694" i="1" s="1"/>
  <c r="D693" i="1"/>
  <c r="C693" i="1" s="1"/>
  <c r="D692" i="1"/>
  <c r="C692" i="1" s="1"/>
  <c r="D691" i="1"/>
  <c r="D690" i="1"/>
  <c r="B690" i="1" s="1"/>
  <c r="D689" i="1"/>
  <c r="C689" i="1" s="1"/>
  <c r="D688" i="1"/>
  <c r="B688" i="1" s="1"/>
  <c r="D687" i="1"/>
  <c r="B687" i="1" s="1"/>
  <c r="D686" i="1"/>
  <c r="C686" i="1" s="1"/>
  <c r="D685" i="1"/>
  <c r="B685" i="1" s="1"/>
  <c r="D684" i="1"/>
  <c r="B684" i="1" s="1"/>
  <c r="D683" i="1"/>
  <c r="B683" i="1" s="1"/>
  <c r="D682" i="1"/>
  <c r="D681" i="1"/>
  <c r="C681" i="1" s="1"/>
  <c r="D680" i="1"/>
  <c r="A680" i="1" s="1"/>
  <c r="D679" i="1"/>
  <c r="A679" i="1" s="1"/>
  <c r="D678" i="1"/>
  <c r="B678" i="1" s="1"/>
  <c r="D677" i="1"/>
  <c r="C677" i="1" s="1"/>
  <c r="D676" i="1"/>
  <c r="C676" i="1" s="1"/>
  <c r="D675" i="1"/>
  <c r="D674" i="1"/>
  <c r="D673" i="1"/>
  <c r="A673" i="1" s="1"/>
  <c r="D672" i="1"/>
  <c r="B672" i="1" s="1"/>
  <c r="A672" i="1"/>
  <c r="D671" i="1"/>
  <c r="D670" i="1"/>
  <c r="B670" i="1" s="1"/>
  <c r="D669" i="1"/>
  <c r="A669" i="1" s="1"/>
  <c r="D668" i="1"/>
  <c r="D667" i="1"/>
  <c r="C667" i="1" s="1"/>
  <c r="D666" i="1"/>
  <c r="D665" i="1"/>
  <c r="C665" i="1" s="1"/>
  <c r="D664" i="1"/>
  <c r="B664" i="1" s="1"/>
  <c r="D663" i="1"/>
  <c r="D662" i="1"/>
  <c r="C662" i="1" s="1"/>
  <c r="D661" i="1"/>
  <c r="A661" i="1" s="1"/>
  <c r="D660" i="1"/>
  <c r="C660" i="1" s="1"/>
  <c r="D659" i="1"/>
  <c r="D658" i="1"/>
  <c r="C658" i="1" s="1"/>
  <c r="D657" i="1"/>
  <c r="D656" i="1"/>
  <c r="C656" i="1" s="1"/>
  <c r="D655" i="1"/>
  <c r="D654" i="1"/>
  <c r="C654" i="1" s="1"/>
  <c r="D653" i="1"/>
  <c r="C653" i="1" s="1"/>
  <c r="D652" i="1"/>
  <c r="A652" i="1" s="1"/>
  <c r="D651" i="1"/>
  <c r="D650" i="1"/>
  <c r="B650" i="1" s="1"/>
  <c r="D649" i="1"/>
  <c r="C649" i="1" s="1"/>
  <c r="D648" i="1"/>
  <c r="D647" i="1"/>
  <c r="D646" i="1"/>
  <c r="B646" i="1" s="1"/>
  <c r="D645" i="1"/>
  <c r="A645" i="1" s="1"/>
  <c r="D644" i="1"/>
  <c r="C644" i="1" s="1"/>
  <c r="D643" i="1"/>
  <c r="B643" i="1" s="1"/>
  <c r="D642" i="1"/>
  <c r="B642" i="1" s="1"/>
  <c r="D641" i="1"/>
  <c r="B641" i="1" s="1"/>
  <c r="D640" i="1"/>
  <c r="C640" i="1" s="1"/>
  <c r="D639" i="1"/>
  <c r="B639" i="1" s="1"/>
  <c r="D638" i="1"/>
  <c r="B638" i="1" s="1"/>
  <c r="D637" i="1"/>
  <c r="A637" i="1" s="1"/>
  <c r="D636" i="1"/>
  <c r="B636" i="1" s="1"/>
  <c r="D635" i="1"/>
  <c r="C635" i="1" s="1"/>
  <c r="D634" i="1"/>
  <c r="A634" i="1" s="1"/>
  <c r="D633" i="1"/>
  <c r="D632" i="1"/>
  <c r="C632" i="1" s="1"/>
  <c r="D631" i="1"/>
  <c r="A631" i="1" s="1"/>
  <c r="D630" i="1"/>
  <c r="D629" i="1"/>
  <c r="C629" i="1" s="1"/>
  <c r="D628" i="1"/>
  <c r="A628" i="1" s="1"/>
  <c r="D627" i="1"/>
  <c r="C627" i="1" s="1"/>
  <c r="D626" i="1"/>
  <c r="C626" i="1" s="1"/>
  <c r="D625" i="1"/>
  <c r="B625" i="1" s="1"/>
  <c r="D624" i="1"/>
  <c r="C624" i="1" s="1"/>
  <c r="D623" i="1"/>
  <c r="C623" i="1" s="1"/>
  <c r="D622" i="1"/>
  <c r="C622" i="1" s="1"/>
  <c r="D621" i="1"/>
  <c r="A621" i="1" s="1"/>
  <c r="D620" i="1"/>
  <c r="D619" i="1"/>
  <c r="B619" i="1" s="1"/>
  <c r="D618" i="1"/>
  <c r="C618" i="1" s="1"/>
  <c r="D617" i="1"/>
  <c r="C617" i="1" s="1"/>
  <c r="D616" i="1"/>
  <c r="D615" i="1"/>
  <c r="B615" i="1" s="1"/>
  <c r="D614" i="1"/>
  <c r="C614" i="1" s="1"/>
  <c r="D613" i="1"/>
  <c r="A613" i="1" s="1"/>
  <c r="D612" i="1"/>
  <c r="C612" i="1" s="1"/>
  <c r="D611" i="1"/>
  <c r="C611" i="1" s="1"/>
  <c r="D610" i="1"/>
  <c r="A610" i="1" s="1"/>
  <c r="D609" i="1"/>
  <c r="A609" i="1" s="1"/>
  <c r="D608" i="1"/>
  <c r="D607" i="1"/>
  <c r="A607" i="1" s="1"/>
  <c r="D606" i="1"/>
  <c r="C606" i="1" s="1"/>
  <c r="D605" i="1"/>
  <c r="A605" i="1" s="1"/>
  <c r="D604" i="1"/>
  <c r="C604" i="1" s="1"/>
  <c r="D603" i="1"/>
  <c r="C603" i="1" s="1"/>
  <c r="D602" i="1"/>
  <c r="B602" i="1" s="1"/>
  <c r="D601" i="1"/>
  <c r="A601" i="1" s="1"/>
  <c r="D600" i="1"/>
  <c r="D599" i="1"/>
  <c r="C599" i="1" s="1"/>
  <c r="D598" i="1"/>
  <c r="A598" i="1" s="1"/>
  <c r="D597" i="1"/>
  <c r="D596" i="1"/>
  <c r="D595" i="1"/>
  <c r="B595" i="1" s="1"/>
  <c r="D594" i="1"/>
  <c r="B594" i="1" s="1"/>
  <c r="D593" i="1"/>
  <c r="B593" i="1" s="1"/>
  <c r="D592" i="1"/>
  <c r="C592" i="1" s="1"/>
  <c r="D591" i="1"/>
  <c r="C591" i="1" s="1"/>
  <c r="B591" i="1"/>
  <c r="D590" i="1"/>
  <c r="C590" i="1" s="1"/>
  <c r="D589" i="1"/>
  <c r="A589" i="1" s="1"/>
  <c r="D588" i="1"/>
  <c r="A588" i="1" s="1"/>
  <c r="D587" i="1"/>
  <c r="A587" i="1" s="1"/>
  <c r="D586" i="1"/>
  <c r="C586" i="1" s="1"/>
  <c r="D585" i="1"/>
  <c r="D584" i="1"/>
  <c r="B584" i="1" s="1"/>
  <c r="D583" i="1"/>
  <c r="A583" i="1" s="1"/>
  <c r="D582" i="1"/>
  <c r="A582" i="1" s="1"/>
  <c r="D581" i="1"/>
  <c r="C581" i="1" s="1"/>
  <c r="D580" i="1"/>
  <c r="C580" i="1" s="1"/>
  <c r="D579" i="1"/>
  <c r="C579" i="1" s="1"/>
  <c r="D578" i="1"/>
  <c r="D577" i="1"/>
  <c r="C577" i="1" s="1"/>
  <c r="D576" i="1"/>
  <c r="D575" i="1"/>
  <c r="C575" i="1" s="1"/>
  <c r="D574" i="1"/>
  <c r="B574" i="1" s="1"/>
  <c r="D573" i="1"/>
  <c r="C573" i="1" s="1"/>
  <c r="D572" i="1"/>
  <c r="A572" i="1" s="1"/>
  <c r="D571" i="1"/>
  <c r="D570" i="1"/>
  <c r="B570" i="1" s="1"/>
  <c r="D569" i="1"/>
  <c r="C569" i="1" s="1"/>
  <c r="D568" i="1"/>
  <c r="A568" i="1" s="1"/>
  <c r="D567" i="1"/>
  <c r="C567" i="1" s="1"/>
  <c r="D566" i="1"/>
  <c r="A566" i="1" s="1"/>
  <c r="D565" i="1"/>
  <c r="C565" i="1" s="1"/>
  <c r="B565" i="1"/>
  <c r="D564" i="1"/>
  <c r="A564" i="1" s="1"/>
  <c r="D563" i="1"/>
  <c r="D562" i="1"/>
  <c r="A562" i="1" s="1"/>
  <c r="D561" i="1"/>
  <c r="A561" i="1" s="1"/>
  <c r="D560" i="1"/>
  <c r="A560" i="1" s="1"/>
  <c r="D559" i="1"/>
  <c r="A559" i="1" s="1"/>
  <c r="D558" i="1"/>
  <c r="C558" i="1" s="1"/>
  <c r="D557" i="1"/>
  <c r="A557" i="1" s="1"/>
  <c r="D556" i="1"/>
  <c r="A556" i="1" s="1"/>
  <c r="D555" i="1"/>
  <c r="A555" i="1" s="1"/>
  <c r="D554" i="1"/>
  <c r="A554" i="1" s="1"/>
  <c r="D553" i="1"/>
  <c r="A553" i="1" s="1"/>
  <c r="D552" i="1"/>
  <c r="D551" i="1"/>
  <c r="C551" i="1" s="1"/>
  <c r="D550" i="1"/>
  <c r="A550" i="1" s="1"/>
  <c r="D549" i="1"/>
  <c r="A549" i="1" s="1"/>
  <c r="D548" i="1"/>
  <c r="C548" i="1" s="1"/>
  <c r="D547" i="1"/>
  <c r="A547" i="1" s="1"/>
  <c r="D546" i="1"/>
  <c r="D545" i="1"/>
  <c r="A545" i="1" s="1"/>
  <c r="D544" i="1"/>
  <c r="A544" i="1" s="1"/>
  <c r="D543" i="1"/>
  <c r="A543" i="1" s="1"/>
  <c r="D542" i="1"/>
  <c r="B542" i="1" s="1"/>
  <c r="D541" i="1"/>
  <c r="C541" i="1" s="1"/>
  <c r="D540" i="1"/>
  <c r="D539" i="1"/>
  <c r="C539" i="1" s="1"/>
  <c r="D538" i="1"/>
  <c r="C538" i="1" s="1"/>
  <c r="D537" i="1"/>
  <c r="B537" i="1" s="1"/>
  <c r="D536" i="1"/>
  <c r="A536" i="1" s="1"/>
  <c r="D535" i="1"/>
  <c r="C535" i="1" s="1"/>
  <c r="D534" i="1"/>
  <c r="C534" i="1" s="1"/>
  <c r="D533" i="1"/>
  <c r="A533" i="1" s="1"/>
  <c r="D532" i="1"/>
  <c r="C532" i="1" s="1"/>
  <c r="D531" i="1"/>
  <c r="B531" i="1" s="1"/>
  <c r="D530" i="1"/>
  <c r="C530" i="1" s="1"/>
  <c r="D529" i="1"/>
  <c r="A529" i="1" s="1"/>
  <c r="D528" i="1"/>
  <c r="D527" i="1"/>
  <c r="B527" i="1" s="1"/>
  <c r="D526" i="1"/>
  <c r="B526" i="1" s="1"/>
  <c r="D525" i="1"/>
  <c r="A525" i="1" s="1"/>
  <c r="D524" i="1"/>
  <c r="C524" i="1" s="1"/>
  <c r="D523" i="1"/>
  <c r="A523" i="1" s="1"/>
  <c r="D522" i="1"/>
  <c r="A522" i="1" s="1"/>
  <c r="D521" i="1"/>
  <c r="A521" i="1" s="1"/>
  <c r="D520" i="1"/>
  <c r="C520" i="1" s="1"/>
  <c r="D519" i="1"/>
  <c r="D518" i="1"/>
  <c r="A518" i="1" s="1"/>
  <c r="D517" i="1"/>
  <c r="B517" i="1" s="1"/>
  <c r="D516" i="1"/>
  <c r="A516" i="1" s="1"/>
  <c r="D515" i="1"/>
  <c r="A515" i="1" s="1"/>
  <c r="D514" i="1"/>
  <c r="D513" i="1"/>
  <c r="B513" i="1" s="1"/>
  <c r="D512" i="1"/>
  <c r="D511" i="1"/>
  <c r="B511" i="1" s="1"/>
  <c r="D510" i="1"/>
  <c r="B510" i="1" s="1"/>
  <c r="D509" i="1"/>
  <c r="C509" i="1" s="1"/>
  <c r="D508" i="1"/>
  <c r="D507" i="1"/>
  <c r="A507" i="1" s="1"/>
  <c r="D506" i="1"/>
  <c r="B506" i="1" s="1"/>
  <c r="D505" i="1"/>
  <c r="A505" i="1" s="1"/>
  <c r="D504" i="1"/>
  <c r="A504" i="1" s="1"/>
  <c r="D503" i="1"/>
  <c r="D502" i="1"/>
  <c r="B502" i="1" s="1"/>
  <c r="D501" i="1"/>
  <c r="A501" i="1" s="1"/>
  <c r="D500" i="1"/>
  <c r="A500" i="1" s="1"/>
  <c r="D499" i="1"/>
  <c r="A499" i="1" s="1"/>
  <c r="D498" i="1"/>
  <c r="C498" i="1" s="1"/>
  <c r="D497" i="1"/>
  <c r="D496" i="1"/>
  <c r="C496" i="1" s="1"/>
  <c r="D495" i="1"/>
  <c r="C495" i="1" s="1"/>
  <c r="D494" i="1"/>
  <c r="A494" i="1" s="1"/>
  <c r="D493" i="1"/>
  <c r="A493" i="1" s="1"/>
  <c r="D492" i="1"/>
  <c r="C492" i="1" s="1"/>
  <c r="D491" i="1"/>
  <c r="A491" i="1" s="1"/>
  <c r="D490" i="1"/>
  <c r="A490" i="1" s="1"/>
  <c r="D489" i="1"/>
  <c r="C489" i="1" s="1"/>
  <c r="D488" i="1"/>
  <c r="B488" i="1" s="1"/>
  <c r="D487" i="1"/>
  <c r="D486" i="1"/>
  <c r="C486" i="1" s="1"/>
  <c r="D485" i="1"/>
  <c r="A485" i="1" s="1"/>
  <c r="D484" i="1"/>
  <c r="A484" i="1" s="1"/>
  <c r="D483" i="1"/>
  <c r="C483" i="1" s="1"/>
  <c r="D482" i="1"/>
  <c r="C482" i="1" s="1"/>
  <c r="D481" i="1"/>
  <c r="A481" i="1" s="1"/>
  <c r="D480" i="1"/>
  <c r="D479" i="1"/>
  <c r="B479" i="1" s="1"/>
  <c r="D478" i="1"/>
  <c r="B478" i="1" s="1"/>
  <c r="D477" i="1"/>
  <c r="A477" i="1" s="1"/>
  <c r="D476" i="1"/>
  <c r="C476" i="1" s="1"/>
  <c r="D475" i="1"/>
  <c r="C475" i="1" s="1"/>
  <c r="D474" i="1"/>
  <c r="C474" i="1" s="1"/>
  <c r="D473" i="1"/>
  <c r="A473" i="1" s="1"/>
  <c r="D472" i="1"/>
  <c r="B472" i="1" s="1"/>
  <c r="D471" i="1"/>
  <c r="D470" i="1"/>
  <c r="D469" i="1"/>
  <c r="C469" i="1" s="1"/>
  <c r="D468" i="1"/>
  <c r="A468" i="1" s="1"/>
  <c r="D467" i="1"/>
  <c r="B467" i="1" s="1"/>
  <c r="D466" i="1"/>
  <c r="A466" i="1" s="1"/>
  <c r="D465" i="1"/>
  <c r="A465" i="1" s="1"/>
  <c r="D464" i="1"/>
  <c r="A464" i="1" s="1"/>
  <c r="D463" i="1"/>
  <c r="A463" i="1" s="1"/>
  <c r="D462" i="1"/>
  <c r="B462" i="1" s="1"/>
  <c r="D461" i="1"/>
  <c r="B461" i="1" s="1"/>
  <c r="D460" i="1"/>
  <c r="A460" i="1" s="1"/>
  <c r="D459" i="1"/>
  <c r="A459" i="1" s="1"/>
  <c r="D458" i="1"/>
  <c r="C458" i="1" s="1"/>
  <c r="D457" i="1"/>
  <c r="B457" i="1" s="1"/>
  <c r="D456" i="1"/>
  <c r="A456" i="1" s="1"/>
  <c r="D455" i="1"/>
  <c r="D454" i="1"/>
  <c r="B454" i="1" s="1"/>
  <c r="D453" i="1"/>
  <c r="B453" i="1" s="1"/>
  <c r="D452" i="1"/>
  <c r="A452" i="1" s="1"/>
  <c r="D451" i="1"/>
  <c r="A451" i="1" s="1"/>
  <c r="D450" i="1"/>
  <c r="C450" i="1" s="1"/>
  <c r="D449" i="1"/>
  <c r="B449" i="1" s="1"/>
  <c r="D448" i="1"/>
  <c r="A448" i="1" s="1"/>
  <c r="D447" i="1"/>
  <c r="C447" i="1" s="1"/>
  <c r="D446" i="1"/>
  <c r="C446" i="1" s="1"/>
  <c r="D445" i="1"/>
  <c r="A445" i="1" s="1"/>
  <c r="D444" i="1"/>
  <c r="A444" i="1" s="1"/>
  <c r="D443" i="1"/>
  <c r="B443" i="1" s="1"/>
  <c r="D442" i="1"/>
  <c r="A442" i="1" s="1"/>
  <c r="D441" i="1"/>
  <c r="C441" i="1" s="1"/>
  <c r="D440" i="1"/>
  <c r="B440" i="1" s="1"/>
  <c r="C440" i="1"/>
  <c r="D439" i="1"/>
  <c r="A439" i="1" s="1"/>
  <c r="D438" i="1"/>
  <c r="A438" i="1" s="1"/>
  <c r="D437" i="1"/>
  <c r="B437" i="1" s="1"/>
  <c r="D436" i="1"/>
  <c r="C436" i="1" s="1"/>
  <c r="D435" i="1"/>
  <c r="A435" i="1" s="1"/>
  <c r="D434" i="1"/>
  <c r="C434" i="1" s="1"/>
  <c r="D433" i="1"/>
  <c r="B433" i="1" s="1"/>
  <c r="D432" i="1"/>
  <c r="B432" i="1" s="1"/>
  <c r="D431" i="1"/>
  <c r="A431" i="1" s="1"/>
  <c r="D430" i="1"/>
  <c r="C430" i="1" s="1"/>
  <c r="D429" i="1"/>
  <c r="C429" i="1" s="1"/>
  <c r="D428" i="1"/>
  <c r="B428" i="1" s="1"/>
  <c r="D427" i="1"/>
  <c r="B427" i="1" s="1"/>
  <c r="D426" i="1"/>
  <c r="B426" i="1" s="1"/>
  <c r="D425" i="1"/>
  <c r="A425" i="1" s="1"/>
  <c r="D424" i="1"/>
  <c r="A424" i="1" s="1"/>
  <c r="D423" i="1"/>
  <c r="B423" i="1" s="1"/>
  <c r="D422" i="1"/>
  <c r="A422" i="1" s="1"/>
  <c r="D421" i="1"/>
  <c r="D420" i="1"/>
  <c r="B420" i="1" s="1"/>
  <c r="D419" i="1"/>
  <c r="B419" i="1" s="1"/>
  <c r="D418" i="1"/>
  <c r="D417" i="1"/>
  <c r="A417" i="1" s="1"/>
  <c r="D416" i="1"/>
  <c r="B416" i="1" s="1"/>
  <c r="D415" i="1"/>
  <c r="C415" i="1" s="1"/>
  <c r="D414" i="1"/>
  <c r="C414" i="1" s="1"/>
  <c r="D413" i="1"/>
  <c r="C413" i="1" s="1"/>
  <c r="D412" i="1"/>
  <c r="B412" i="1" s="1"/>
  <c r="D411" i="1"/>
  <c r="C411" i="1" s="1"/>
  <c r="D410" i="1"/>
  <c r="D409" i="1"/>
  <c r="C409" i="1" s="1"/>
  <c r="D408" i="1"/>
  <c r="C408" i="1" s="1"/>
  <c r="D407" i="1"/>
  <c r="A407" i="1" s="1"/>
  <c r="D406" i="1"/>
  <c r="D405" i="1"/>
  <c r="C405" i="1" s="1"/>
  <c r="D404" i="1"/>
  <c r="B404" i="1" s="1"/>
  <c r="D403" i="1"/>
  <c r="C403" i="1" s="1"/>
  <c r="D402" i="1"/>
  <c r="D401" i="1"/>
  <c r="D400" i="1"/>
  <c r="A400" i="1" s="1"/>
  <c r="D399" i="1"/>
  <c r="C399" i="1" s="1"/>
  <c r="D398" i="1"/>
  <c r="A398" i="1" s="1"/>
  <c r="D397" i="1"/>
  <c r="B397" i="1" s="1"/>
  <c r="D396" i="1"/>
  <c r="C396" i="1" s="1"/>
  <c r="D395" i="1"/>
  <c r="B395" i="1" s="1"/>
  <c r="D394" i="1"/>
  <c r="B394" i="1" s="1"/>
  <c r="D393" i="1"/>
  <c r="A393" i="1" s="1"/>
  <c r="D392" i="1"/>
  <c r="B392" i="1" s="1"/>
  <c r="D391" i="1"/>
  <c r="A391" i="1" s="1"/>
  <c r="D390" i="1"/>
  <c r="C390" i="1" s="1"/>
  <c r="D389" i="1"/>
  <c r="C389" i="1" s="1"/>
  <c r="D388" i="1"/>
  <c r="C388" i="1" s="1"/>
  <c r="D387" i="1"/>
  <c r="C387" i="1" s="1"/>
  <c r="D386" i="1"/>
  <c r="A386" i="1" s="1"/>
  <c r="D385" i="1"/>
  <c r="A385" i="1" s="1"/>
  <c r="D384" i="1"/>
  <c r="C384" i="1" s="1"/>
  <c r="A384" i="1"/>
  <c r="D383" i="1"/>
  <c r="A383" i="1" s="1"/>
  <c r="D382" i="1"/>
  <c r="C382" i="1" s="1"/>
  <c r="D381" i="1"/>
  <c r="C381" i="1" s="1"/>
  <c r="D380" i="1"/>
  <c r="A380" i="1" s="1"/>
  <c r="D379" i="1"/>
  <c r="A379" i="1" s="1"/>
  <c r="D378" i="1"/>
  <c r="A378" i="1" s="1"/>
  <c r="D377" i="1"/>
  <c r="A377" i="1" s="1"/>
  <c r="D376" i="1"/>
  <c r="A376" i="1" s="1"/>
  <c r="D375" i="1"/>
  <c r="C375" i="1" s="1"/>
  <c r="D374" i="1"/>
  <c r="C374" i="1" s="1"/>
  <c r="D373" i="1"/>
  <c r="A373" i="1" s="1"/>
  <c r="D372" i="1"/>
  <c r="C372" i="1" s="1"/>
  <c r="D371" i="1"/>
  <c r="A371" i="1" s="1"/>
  <c r="D370" i="1"/>
  <c r="C370" i="1" s="1"/>
  <c r="D369" i="1"/>
  <c r="A369" i="1" s="1"/>
  <c r="D368" i="1"/>
  <c r="D367" i="1"/>
  <c r="B367" i="1" s="1"/>
  <c r="D366" i="1"/>
  <c r="C366" i="1" s="1"/>
  <c r="D365" i="1"/>
  <c r="C365" i="1" s="1"/>
  <c r="D364" i="1"/>
  <c r="A364" i="1" s="1"/>
  <c r="D363" i="1"/>
  <c r="C363" i="1" s="1"/>
  <c r="D362" i="1"/>
  <c r="C362" i="1" s="1"/>
  <c r="D361" i="1"/>
  <c r="D360" i="1"/>
  <c r="C360" i="1" s="1"/>
  <c r="D359" i="1"/>
  <c r="A359" i="1" s="1"/>
  <c r="D358" i="1"/>
  <c r="A358" i="1" s="1"/>
  <c r="D357" i="1"/>
  <c r="A357" i="1" s="1"/>
  <c r="D356" i="1"/>
  <c r="C356" i="1" s="1"/>
  <c r="D355" i="1"/>
  <c r="D354" i="1"/>
  <c r="C354" i="1" s="1"/>
  <c r="D353" i="1"/>
  <c r="C353" i="1" s="1"/>
  <c r="D352" i="1"/>
  <c r="D351" i="1"/>
  <c r="A351" i="1" s="1"/>
  <c r="D350" i="1"/>
  <c r="C350" i="1" s="1"/>
  <c r="D349" i="1"/>
  <c r="A349" i="1" s="1"/>
  <c r="D348" i="1"/>
  <c r="C348" i="1" s="1"/>
  <c r="D347" i="1"/>
  <c r="D346" i="1"/>
  <c r="B346" i="1" s="1"/>
  <c r="D345" i="1"/>
  <c r="C345" i="1" s="1"/>
  <c r="D344" i="1"/>
  <c r="D343" i="1"/>
  <c r="D342" i="1"/>
  <c r="A342" i="1" s="1"/>
  <c r="D341" i="1"/>
  <c r="C341" i="1" s="1"/>
  <c r="D340" i="1"/>
  <c r="D339" i="1"/>
  <c r="A339" i="1" s="1"/>
  <c r="D338" i="1"/>
  <c r="C338" i="1" s="1"/>
  <c r="D337" i="1"/>
  <c r="A337" i="1" s="1"/>
  <c r="D336" i="1"/>
  <c r="A336" i="1" s="1"/>
  <c r="D335" i="1"/>
  <c r="B335" i="1" s="1"/>
  <c r="D334" i="1"/>
  <c r="A334" i="1" s="1"/>
  <c r="D333" i="1"/>
  <c r="C333" i="1" s="1"/>
  <c r="D332" i="1"/>
  <c r="B332" i="1" s="1"/>
  <c r="D331" i="1"/>
  <c r="D330" i="1"/>
  <c r="A330" i="1" s="1"/>
  <c r="D329" i="1"/>
  <c r="A329" i="1" s="1"/>
  <c r="D328" i="1"/>
  <c r="A328" i="1" s="1"/>
  <c r="D327" i="1"/>
  <c r="A327" i="1" s="1"/>
  <c r="D326" i="1"/>
  <c r="C326" i="1" s="1"/>
  <c r="D325" i="1"/>
  <c r="C325" i="1" s="1"/>
  <c r="D324" i="1"/>
  <c r="A324" i="1" s="1"/>
  <c r="D323" i="1"/>
  <c r="C323" i="1" s="1"/>
  <c r="D322" i="1"/>
  <c r="D321" i="1"/>
  <c r="B321" i="1" s="1"/>
  <c r="D320" i="1"/>
  <c r="A320" i="1" s="1"/>
  <c r="D319" i="1"/>
  <c r="D318" i="1"/>
  <c r="A318" i="1" s="1"/>
  <c r="D317" i="1"/>
  <c r="C317" i="1" s="1"/>
  <c r="D316" i="1"/>
  <c r="A316" i="1" s="1"/>
  <c r="D315" i="1"/>
  <c r="D314" i="1"/>
  <c r="C314" i="1" s="1"/>
  <c r="D313" i="1"/>
  <c r="B313" i="1" s="1"/>
  <c r="D312" i="1"/>
  <c r="C312" i="1" s="1"/>
  <c r="D311" i="1"/>
  <c r="A311" i="1" s="1"/>
  <c r="D310" i="1"/>
  <c r="A310" i="1" s="1"/>
  <c r="D309" i="1"/>
  <c r="A309" i="1" s="1"/>
  <c r="D308" i="1"/>
  <c r="A308" i="1" s="1"/>
  <c r="D307" i="1"/>
  <c r="C307" i="1" s="1"/>
  <c r="D306" i="1"/>
  <c r="A306" i="1" s="1"/>
  <c r="D305" i="1"/>
  <c r="D304" i="1"/>
  <c r="C304" i="1" s="1"/>
  <c r="D303" i="1"/>
  <c r="A303" i="1" s="1"/>
  <c r="D302" i="1"/>
  <c r="C302" i="1" s="1"/>
  <c r="D301" i="1"/>
  <c r="A301" i="1" s="1"/>
  <c r="D300" i="1"/>
  <c r="A300" i="1" s="1"/>
  <c r="D299" i="1"/>
  <c r="A299" i="1" s="1"/>
  <c r="D298" i="1"/>
  <c r="C298" i="1" s="1"/>
  <c r="B298" i="1"/>
  <c r="D297" i="1"/>
  <c r="C297" i="1" s="1"/>
  <c r="D296" i="1"/>
  <c r="A296" i="1" s="1"/>
  <c r="D295" i="1"/>
  <c r="A295" i="1" s="1"/>
  <c r="D294" i="1"/>
  <c r="A294" i="1" s="1"/>
  <c r="D293" i="1"/>
  <c r="A293" i="1" s="1"/>
  <c r="D292" i="1"/>
  <c r="C292" i="1" s="1"/>
  <c r="D291" i="1"/>
  <c r="C291" i="1" s="1"/>
  <c r="D290" i="1"/>
  <c r="A290" i="1" s="1"/>
  <c r="D289" i="1"/>
  <c r="C289" i="1" s="1"/>
  <c r="D288" i="1"/>
  <c r="A288" i="1" s="1"/>
  <c r="D287" i="1"/>
  <c r="C287" i="1" s="1"/>
  <c r="D286" i="1"/>
  <c r="C286" i="1" s="1"/>
  <c r="D285" i="1"/>
  <c r="D284" i="1"/>
  <c r="C284" i="1" s="1"/>
  <c r="D283" i="1"/>
  <c r="B283" i="1" s="1"/>
  <c r="D282" i="1"/>
  <c r="C282" i="1" s="1"/>
  <c r="D281" i="1"/>
  <c r="A281" i="1" s="1"/>
  <c r="D280" i="1"/>
  <c r="C280" i="1" s="1"/>
  <c r="D279" i="1"/>
  <c r="B279" i="1" s="1"/>
  <c r="D278" i="1"/>
  <c r="B278" i="1" s="1"/>
  <c r="D277" i="1"/>
  <c r="C277" i="1" s="1"/>
  <c r="D276" i="1"/>
  <c r="B276" i="1" s="1"/>
  <c r="D275" i="1"/>
  <c r="C275" i="1" s="1"/>
  <c r="D274" i="1"/>
  <c r="D273" i="1"/>
  <c r="B273" i="1" s="1"/>
  <c r="D272" i="1"/>
  <c r="A272" i="1" s="1"/>
  <c r="D271" i="1"/>
  <c r="B271" i="1" s="1"/>
  <c r="D270" i="1"/>
  <c r="D269" i="1"/>
  <c r="C269" i="1" s="1"/>
  <c r="D268" i="1"/>
  <c r="B268" i="1" s="1"/>
  <c r="D267" i="1"/>
  <c r="A267" i="1" s="1"/>
  <c r="D266" i="1"/>
  <c r="A266" i="1" s="1"/>
  <c r="D265" i="1"/>
  <c r="C265" i="1" s="1"/>
  <c r="D264" i="1"/>
  <c r="C264" i="1" s="1"/>
  <c r="A264" i="1"/>
  <c r="D263" i="1"/>
  <c r="C263" i="1" s="1"/>
  <c r="D262" i="1"/>
  <c r="C262" i="1" s="1"/>
  <c r="D261" i="1"/>
  <c r="B261" i="1" s="1"/>
  <c r="D260" i="1"/>
  <c r="A260" i="1" s="1"/>
  <c r="D259" i="1"/>
  <c r="A259" i="1" s="1"/>
  <c r="D258" i="1"/>
  <c r="A258" i="1" s="1"/>
  <c r="D257" i="1"/>
  <c r="B257" i="1" s="1"/>
  <c r="D256" i="1"/>
  <c r="C256" i="1" s="1"/>
  <c r="D255" i="1"/>
  <c r="C255" i="1" s="1"/>
  <c r="D254" i="1"/>
  <c r="C254" i="1" s="1"/>
  <c r="D253" i="1"/>
  <c r="B253" i="1" s="1"/>
  <c r="D252" i="1"/>
  <c r="D251" i="1"/>
  <c r="A251" i="1" s="1"/>
  <c r="D250" i="1"/>
  <c r="C250" i="1" s="1"/>
  <c r="D249" i="1"/>
  <c r="B249" i="1" s="1"/>
  <c r="D248" i="1"/>
  <c r="A248" i="1" s="1"/>
  <c r="D247" i="1"/>
  <c r="C247" i="1" s="1"/>
  <c r="D246" i="1"/>
  <c r="A246" i="1" s="1"/>
  <c r="D245" i="1"/>
  <c r="B245" i="1" s="1"/>
  <c r="D244" i="1"/>
  <c r="C244" i="1" s="1"/>
  <c r="D243" i="1"/>
  <c r="C243" i="1" s="1"/>
  <c r="D242" i="1"/>
  <c r="C242" i="1" s="1"/>
  <c r="D241" i="1"/>
  <c r="B241" i="1" s="1"/>
  <c r="D240" i="1"/>
  <c r="C240" i="1" s="1"/>
  <c r="D239" i="1"/>
  <c r="A239" i="1" s="1"/>
  <c r="D238" i="1"/>
  <c r="C238" i="1" s="1"/>
  <c r="D237" i="1"/>
  <c r="A237" i="1" s="1"/>
  <c r="D236" i="1"/>
  <c r="A236" i="1" s="1"/>
  <c r="D235" i="1"/>
  <c r="A235" i="1" s="1"/>
  <c r="D234" i="1"/>
  <c r="B234" i="1" s="1"/>
  <c r="D233" i="1"/>
  <c r="C233" i="1" s="1"/>
  <c r="D232" i="1"/>
  <c r="A232" i="1" s="1"/>
  <c r="D231" i="1"/>
  <c r="C231" i="1" s="1"/>
  <c r="D230" i="1"/>
  <c r="B230" i="1" s="1"/>
  <c r="D229" i="1"/>
  <c r="A229" i="1" s="1"/>
  <c r="D228" i="1"/>
  <c r="C228" i="1" s="1"/>
  <c r="D227" i="1"/>
  <c r="C227" i="1" s="1"/>
  <c r="D226" i="1"/>
  <c r="A226" i="1" s="1"/>
  <c r="D225" i="1"/>
  <c r="C225" i="1" s="1"/>
  <c r="D224" i="1"/>
  <c r="C224" i="1" s="1"/>
  <c r="D223" i="1"/>
  <c r="C223" i="1" s="1"/>
  <c r="D222" i="1"/>
  <c r="C222" i="1" s="1"/>
  <c r="D221" i="1"/>
  <c r="D220" i="1"/>
  <c r="B220" i="1" s="1"/>
  <c r="D219" i="1"/>
  <c r="B219" i="1" s="1"/>
  <c r="D218" i="1"/>
  <c r="A218" i="1" s="1"/>
  <c r="D217" i="1"/>
  <c r="A217" i="1" s="1"/>
  <c r="D216" i="1"/>
  <c r="A216" i="1" s="1"/>
  <c r="D215" i="1"/>
  <c r="A215" i="1" s="1"/>
  <c r="D214" i="1"/>
  <c r="B214" i="1" s="1"/>
  <c r="D213" i="1"/>
  <c r="C213" i="1" s="1"/>
  <c r="D212" i="1"/>
  <c r="B212" i="1" s="1"/>
  <c r="D211" i="1"/>
  <c r="C211" i="1" s="1"/>
  <c r="D210" i="1"/>
  <c r="A210" i="1" s="1"/>
  <c r="D209" i="1"/>
  <c r="D208" i="1"/>
  <c r="B208" i="1" s="1"/>
  <c r="D207" i="1"/>
  <c r="B207" i="1" s="1"/>
  <c r="D206" i="1"/>
  <c r="C206" i="1" s="1"/>
  <c r="D205" i="1"/>
  <c r="C205" i="1" s="1"/>
  <c r="D204" i="1"/>
  <c r="A204" i="1" s="1"/>
  <c r="D203" i="1"/>
  <c r="C203" i="1" s="1"/>
  <c r="D202" i="1"/>
  <c r="A202" i="1" s="1"/>
  <c r="D201" i="1"/>
  <c r="C201" i="1" s="1"/>
  <c r="D200" i="1"/>
  <c r="C200" i="1" s="1"/>
  <c r="D199" i="1"/>
  <c r="C199" i="1" s="1"/>
  <c r="D198" i="1"/>
  <c r="B198" i="1" s="1"/>
  <c r="D197" i="1"/>
  <c r="A197" i="1" s="1"/>
  <c r="D196" i="1"/>
  <c r="B196" i="1" s="1"/>
  <c r="D195" i="1"/>
  <c r="A195" i="1" s="1"/>
  <c r="D194" i="1"/>
  <c r="C194" i="1" s="1"/>
  <c r="D193" i="1"/>
  <c r="C193" i="1" s="1"/>
  <c r="D192" i="1"/>
  <c r="A192" i="1" s="1"/>
  <c r="D191" i="1"/>
  <c r="C191" i="1" s="1"/>
  <c r="D190" i="1"/>
  <c r="B190" i="1" s="1"/>
  <c r="D189" i="1"/>
  <c r="C189" i="1" s="1"/>
  <c r="D188" i="1"/>
  <c r="B188" i="1" s="1"/>
  <c r="D187" i="1"/>
  <c r="C187" i="1" s="1"/>
  <c r="D186" i="1"/>
  <c r="D185" i="1"/>
  <c r="C185" i="1" s="1"/>
  <c r="D184" i="1"/>
  <c r="C184" i="1" s="1"/>
  <c r="D183" i="1"/>
  <c r="D182" i="1"/>
  <c r="C182" i="1" s="1"/>
  <c r="D181" i="1"/>
  <c r="C181" i="1" s="1"/>
  <c r="D180" i="1"/>
  <c r="A180" i="1" s="1"/>
  <c r="D179" i="1"/>
  <c r="B179" i="1" s="1"/>
  <c r="D178" i="1"/>
  <c r="B178" i="1" s="1"/>
  <c r="D177" i="1"/>
  <c r="C177" i="1" s="1"/>
  <c r="D176" i="1"/>
  <c r="B176" i="1" s="1"/>
  <c r="D175" i="1"/>
  <c r="B175" i="1" s="1"/>
  <c r="D174" i="1"/>
  <c r="C174" i="1" s="1"/>
  <c r="D173" i="1"/>
  <c r="A173" i="1" s="1"/>
  <c r="D172" i="1"/>
  <c r="C172" i="1" s="1"/>
  <c r="D171" i="1"/>
  <c r="C171" i="1" s="1"/>
  <c r="D170" i="1"/>
  <c r="C170" i="1" s="1"/>
  <c r="D169" i="1"/>
  <c r="D168" i="1"/>
  <c r="B168" i="1" s="1"/>
  <c r="D167" i="1"/>
  <c r="C167" i="1" s="1"/>
  <c r="D166" i="1"/>
  <c r="B166" i="1" s="1"/>
  <c r="D165" i="1"/>
  <c r="B165" i="1" s="1"/>
  <c r="C165" i="1"/>
  <c r="D164" i="1"/>
  <c r="D163" i="1"/>
  <c r="C163" i="1" s="1"/>
  <c r="D162" i="1"/>
  <c r="C162" i="1" s="1"/>
  <c r="D161" i="1"/>
  <c r="B161" i="1" s="1"/>
  <c r="D160" i="1"/>
  <c r="B160" i="1" s="1"/>
  <c r="D159" i="1"/>
  <c r="A159" i="1" s="1"/>
  <c r="D158" i="1"/>
  <c r="C158" i="1" s="1"/>
  <c r="D157" i="1"/>
  <c r="A157" i="1" s="1"/>
  <c r="D156" i="1"/>
  <c r="C156" i="1" s="1"/>
  <c r="D155" i="1"/>
  <c r="D154" i="1"/>
  <c r="C154" i="1" s="1"/>
  <c r="D153" i="1"/>
  <c r="A153" i="1" s="1"/>
  <c r="D152" i="1"/>
  <c r="D151" i="1"/>
  <c r="B151" i="1" s="1"/>
  <c r="D150" i="1"/>
  <c r="B150" i="1" s="1"/>
  <c r="D149" i="1"/>
  <c r="C149" i="1" s="1"/>
  <c r="D148" i="1"/>
  <c r="A148" i="1" s="1"/>
  <c r="D147" i="1"/>
  <c r="C147" i="1" s="1"/>
  <c r="D146" i="1"/>
  <c r="B146" i="1" s="1"/>
  <c r="D145" i="1"/>
  <c r="C145" i="1" s="1"/>
  <c r="D144" i="1"/>
  <c r="C144" i="1" s="1"/>
  <c r="D143" i="1"/>
  <c r="C143" i="1" s="1"/>
  <c r="D142" i="1"/>
  <c r="C142" i="1" s="1"/>
  <c r="D141" i="1"/>
  <c r="B141" i="1" s="1"/>
  <c r="D140" i="1"/>
  <c r="C140" i="1" s="1"/>
  <c r="D139" i="1"/>
  <c r="D138" i="1"/>
  <c r="C138" i="1" s="1"/>
  <c r="D137" i="1"/>
  <c r="B137" i="1" s="1"/>
  <c r="D136" i="1"/>
  <c r="A136" i="1" s="1"/>
  <c r="D135" i="1"/>
  <c r="C135" i="1" s="1"/>
  <c r="D134" i="1"/>
  <c r="B134" i="1" s="1"/>
  <c r="D133" i="1"/>
  <c r="C133" i="1" s="1"/>
  <c r="D132" i="1"/>
  <c r="A132" i="1" s="1"/>
  <c r="D131" i="1"/>
  <c r="B131" i="1" s="1"/>
  <c r="D130" i="1"/>
  <c r="B130" i="1" s="1"/>
  <c r="D129" i="1"/>
  <c r="C129" i="1" s="1"/>
  <c r="D128" i="1"/>
  <c r="C128" i="1" s="1"/>
  <c r="D127" i="1"/>
  <c r="A127" i="1" s="1"/>
  <c r="D126" i="1"/>
  <c r="B126" i="1" s="1"/>
  <c r="D125" i="1"/>
  <c r="B125" i="1" s="1"/>
  <c r="D124" i="1"/>
  <c r="A124" i="1" s="1"/>
  <c r="D123" i="1"/>
  <c r="B123" i="1" s="1"/>
  <c r="D122" i="1"/>
  <c r="B122" i="1" s="1"/>
  <c r="C122" i="1"/>
  <c r="D121" i="1"/>
  <c r="C121" i="1" s="1"/>
  <c r="D120" i="1"/>
  <c r="D119" i="1"/>
  <c r="D118" i="1"/>
  <c r="B118" i="1" s="1"/>
  <c r="D117" i="1"/>
  <c r="B117" i="1" s="1"/>
  <c r="D116" i="1"/>
  <c r="B116" i="1" s="1"/>
  <c r="D115" i="1"/>
  <c r="B115" i="1" s="1"/>
  <c r="D114" i="1"/>
  <c r="C114" i="1" s="1"/>
  <c r="D113" i="1"/>
  <c r="B113" i="1" s="1"/>
  <c r="D112" i="1"/>
  <c r="C112" i="1" s="1"/>
  <c r="D111" i="1"/>
  <c r="B111" i="1" s="1"/>
  <c r="D110" i="1"/>
  <c r="B110" i="1" s="1"/>
  <c r="D109" i="1"/>
  <c r="B109" i="1" s="1"/>
  <c r="C109" i="1"/>
  <c r="D108" i="1"/>
  <c r="C108" i="1" s="1"/>
  <c r="D107" i="1"/>
  <c r="C107" i="1" s="1"/>
  <c r="D106" i="1"/>
  <c r="C106" i="1" s="1"/>
  <c r="D105" i="1"/>
  <c r="B105" i="1" s="1"/>
  <c r="D104" i="1"/>
  <c r="C104" i="1" s="1"/>
  <c r="D103" i="1"/>
  <c r="B103" i="1" s="1"/>
  <c r="D102" i="1"/>
  <c r="B102" i="1" s="1"/>
  <c r="D101" i="1"/>
  <c r="B101" i="1" s="1"/>
  <c r="D100" i="1"/>
  <c r="C100" i="1" s="1"/>
  <c r="D99" i="1"/>
  <c r="C99" i="1" s="1"/>
  <c r="D98" i="1"/>
  <c r="A98" i="1" s="1"/>
  <c r="D97" i="1"/>
  <c r="B97" i="1" s="1"/>
  <c r="D96" i="1"/>
  <c r="C96" i="1" s="1"/>
  <c r="D95" i="1"/>
  <c r="B95" i="1" s="1"/>
  <c r="D94" i="1"/>
  <c r="B94" i="1" s="1"/>
  <c r="D93" i="1"/>
  <c r="C93" i="1" s="1"/>
  <c r="D92" i="1"/>
  <c r="B92" i="1" s="1"/>
  <c r="D91" i="1"/>
  <c r="C91" i="1" s="1"/>
  <c r="D90" i="1"/>
  <c r="A90" i="1" s="1"/>
  <c r="D89" i="1"/>
  <c r="C89" i="1" s="1"/>
  <c r="D88" i="1"/>
  <c r="A88" i="1" s="1"/>
  <c r="D87" i="1"/>
  <c r="B87" i="1" s="1"/>
  <c r="D86" i="1"/>
  <c r="D85" i="1"/>
  <c r="A85" i="1" s="1"/>
  <c r="D84" i="1"/>
  <c r="B84" i="1" s="1"/>
  <c r="D83" i="1"/>
  <c r="B83" i="1" s="1"/>
  <c r="D82" i="1"/>
  <c r="C82" i="1" s="1"/>
  <c r="D81" i="1"/>
  <c r="B81" i="1" s="1"/>
  <c r="D80" i="1"/>
  <c r="B80" i="1" s="1"/>
  <c r="D79" i="1"/>
  <c r="B79" i="1" s="1"/>
  <c r="D78" i="1"/>
  <c r="C78" i="1" s="1"/>
  <c r="D77" i="1"/>
  <c r="C77" i="1" s="1"/>
  <c r="D76" i="1"/>
  <c r="A76" i="1" s="1"/>
  <c r="D75" i="1"/>
  <c r="B75" i="1" s="1"/>
  <c r="D74" i="1"/>
  <c r="A74" i="1" s="1"/>
  <c r="D73" i="1"/>
  <c r="A73" i="1" s="1"/>
  <c r="D72" i="1"/>
  <c r="B72" i="1" s="1"/>
  <c r="D71" i="1"/>
  <c r="B71" i="1" s="1"/>
  <c r="D70" i="1"/>
  <c r="B70" i="1" s="1"/>
  <c r="D69" i="1"/>
  <c r="C69" i="1" s="1"/>
  <c r="D68" i="1"/>
  <c r="A68" i="1" s="1"/>
  <c r="D67" i="1"/>
  <c r="A67" i="1" s="1"/>
  <c r="D66" i="1"/>
  <c r="C66" i="1" s="1"/>
  <c r="D65" i="1"/>
  <c r="B65" i="1" s="1"/>
  <c r="D64" i="1"/>
  <c r="A64" i="1" s="1"/>
  <c r="D63" i="1"/>
  <c r="A63" i="1" s="1"/>
  <c r="D62" i="1"/>
  <c r="B62" i="1" s="1"/>
  <c r="D61" i="1"/>
  <c r="C61" i="1" s="1"/>
  <c r="D60" i="1"/>
  <c r="C60" i="1" s="1"/>
  <c r="D59" i="1"/>
  <c r="C59" i="1" s="1"/>
  <c r="D58" i="1"/>
  <c r="B58" i="1" s="1"/>
  <c r="D57" i="1"/>
  <c r="C57" i="1" s="1"/>
  <c r="D56" i="1"/>
  <c r="B56" i="1" s="1"/>
  <c r="D55" i="1"/>
  <c r="C55" i="1" s="1"/>
  <c r="D54" i="1"/>
  <c r="C54" i="1" s="1"/>
  <c r="D53" i="1"/>
  <c r="B53" i="1" s="1"/>
  <c r="D52" i="1"/>
  <c r="B52" i="1" s="1"/>
  <c r="D51" i="1"/>
  <c r="B51" i="1" s="1"/>
  <c r="D50" i="1"/>
  <c r="B50" i="1" s="1"/>
  <c r="D49" i="1"/>
  <c r="D48" i="1"/>
  <c r="C48" i="1" s="1"/>
  <c r="D47" i="1"/>
  <c r="A47" i="1" s="1"/>
  <c r="C47" i="1"/>
  <c r="D46" i="1"/>
  <c r="A46" i="1" s="1"/>
  <c r="D45" i="1"/>
  <c r="A45" i="1" s="1"/>
  <c r="D44" i="1"/>
  <c r="B44" i="1" s="1"/>
  <c r="D43" i="1"/>
  <c r="C43" i="1" s="1"/>
  <c r="D42" i="1"/>
  <c r="B42" i="1" s="1"/>
  <c r="D41" i="1"/>
  <c r="B41" i="1" s="1"/>
  <c r="D40" i="1"/>
  <c r="A40" i="1" s="1"/>
  <c r="D39" i="1"/>
  <c r="C39" i="1" s="1"/>
  <c r="D38" i="1"/>
  <c r="C38" i="1" s="1"/>
  <c r="D37" i="1"/>
  <c r="B37" i="1" s="1"/>
  <c r="D36" i="1"/>
  <c r="C36" i="1" s="1"/>
  <c r="D35" i="1"/>
  <c r="A35" i="1" s="1"/>
  <c r="D34" i="1"/>
  <c r="A34" i="1" s="1"/>
  <c r="D33" i="1"/>
  <c r="A33" i="1" s="1"/>
  <c r="D32" i="1"/>
  <c r="C32" i="1" s="1"/>
  <c r="D31" i="1"/>
  <c r="C31" i="1" s="1"/>
  <c r="D30" i="1"/>
  <c r="A30" i="1" s="1"/>
  <c r="D29" i="1"/>
  <c r="C29" i="1" s="1"/>
  <c r="D28" i="1"/>
  <c r="A28" i="1" s="1"/>
  <c r="D27" i="1"/>
  <c r="C27" i="1" s="1"/>
  <c r="D26" i="1"/>
  <c r="B26" i="1" s="1"/>
  <c r="D25" i="1"/>
  <c r="C25" i="1" s="1"/>
  <c r="D24" i="1"/>
  <c r="B24" i="1" s="1"/>
  <c r="D23" i="1"/>
  <c r="C23" i="1" s="1"/>
  <c r="D22" i="1"/>
  <c r="C22" i="1" s="1"/>
  <c r="D21" i="1"/>
  <c r="B21" i="1" s="1"/>
  <c r="D20" i="1"/>
  <c r="C20" i="1" s="1"/>
  <c r="D19" i="1"/>
  <c r="C19" i="1" s="1"/>
  <c r="D18" i="1"/>
  <c r="A18" i="1" s="1"/>
  <c r="D17" i="1"/>
  <c r="A17" i="1" s="1"/>
  <c r="D16" i="1"/>
  <c r="B16" i="1" s="1"/>
  <c r="D15" i="1"/>
  <c r="A15" i="1" s="1"/>
  <c r="D14" i="1"/>
  <c r="A14" i="1" s="1"/>
  <c r="D13" i="1"/>
  <c r="B13" i="1" s="1"/>
  <c r="D12" i="1"/>
  <c r="A12" i="1" s="1"/>
  <c r="D11" i="1"/>
  <c r="B11" i="1" s="1"/>
  <c r="D10" i="1"/>
  <c r="B10" i="1" s="1"/>
  <c r="D9" i="1"/>
  <c r="B9" i="1" s="1"/>
  <c r="D8" i="1"/>
  <c r="C8" i="1" s="1"/>
  <c r="D7" i="1"/>
  <c r="B7" i="1" s="1"/>
  <c r="D6" i="1"/>
  <c r="A6" i="1" s="1"/>
  <c r="D5" i="1"/>
  <c r="A5" i="1" s="1"/>
  <c r="D4" i="1"/>
  <c r="A4" i="1" s="1"/>
  <c r="D3" i="1"/>
  <c r="B3" i="1" s="1"/>
  <c r="D2" i="1"/>
  <c r="D1492" i="1"/>
  <c r="C1492" i="1" s="1"/>
  <c r="B227" i="1" l="1"/>
  <c r="B430" i="1"/>
  <c r="C443" i="1"/>
  <c r="A831" i="1"/>
  <c r="C1129" i="1"/>
  <c r="C1309" i="1"/>
  <c r="A1316" i="1"/>
  <c r="C1489" i="1"/>
  <c r="A1108" i="1"/>
  <c r="B1209" i="1"/>
  <c r="B740" i="1"/>
  <c r="B1038" i="1"/>
  <c r="C478" i="1"/>
  <c r="C15" i="1"/>
  <c r="A138" i="1"/>
  <c r="B374" i="1"/>
  <c r="B700" i="1"/>
  <c r="C736" i="1"/>
  <c r="C758" i="1"/>
  <c r="C87" i="1"/>
  <c r="B436" i="1"/>
  <c r="C126" i="1"/>
  <c r="B132" i="1"/>
  <c r="C728" i="1"/>
  <c r="C735" i="1"/>
  <c r="A971" i="1"/>
  <c r="C1109" i="1"/>
  <c r="A1162" i="1"/>
  <c r="A701" i="1"/>
  <c r="A87" i="1"/>
  <c r="A122" i="1"/>
  <c r="B140" i="1"/>
  <c r="A194" i="1"/>
  <c r="C294" i="1"/>
  <c r="B618" i="1"/>
  <c r="C944" i="1"/>
  <c r="B1394" i="1"/>
  <c r="C1486" i="1"/>
  <c r="A890" i="1"/>
  <c r="A1246" i="1"/>
  <c r="A690" i="1"/>
  <c r="C945" i="1"/>
  <c r="B1051" i="1"/>
  <c r="B1128" i="1"/>
  <c r="A20" i="1"/>
  <c r="A104" i="1"/>
  <c r="C110" i="1"/>
  <c r="B243" i="1"/>
  <c r="C745" i="1"/>
  <c r="C791" i="1"/>
  <c r="A1022" i="1"/>
  <c r="C1190" i="1"/>
  <c r="A1204" i="1"/>
  <c r="C52" i="1"/>
  <c r="C159" i="1"/>
  <c r="A188" i="1"/>
  <c r="A1104" i="1"/>
  <c r="A101" i="1"/>
  <c r="A166" i="1"/>
  <c r="C329" i="1"/>
  <c r="C420" i="1"/>
  <c r="A427" i="1"/>
  <c r="C439" i="1"/>
  <c r="B460" i="1"/>
  <c r="C481" i="1"/>
  <c r="C702" i="1"/>
  <c r="C709" i="1"/>
  <c r="C840" i="1"/>
  <c r="A1025" i="1"/>
  <c r="B1084" i="1"/>
  <c r="C1098" i="1"/>
  <c r="A1251" i="1"/>
  <c r="C1258" i="1"/>
  <c r="B299" i="1"/>
  <c r="A502" i="1"/>
  <c r="A517" i="1"/>
  <c r="C827" i="1"/>
  <c r="A990" i="1"/>
  <c r="C1063" i="1"/>
  <c r="C1133" i="1"/>
  <c r="A1343" i="1"/>
  <c r="C1456" i="1"/>
  <c r="A8" i="1"/>
  <c r="B15" i="1"/>
  <c r="B20" i="1"/>
  <c r="B27" i="1"/>
  <c r="C33" i="1"/>
  <c r="B68" i="1"/>
  <c r="B956" i="1"/>
  <c r="C68" i="1"/>
  <c r="B148" i="1"/>
  <c r="A228" i="1"/>
  <c r="C371" i="1"/>
  <c r="A478" i="1"/>
  <c r="B483" i="1"/>
  <c r="B532" i="1"/>
  <c r="C956" i="1"/>
  <c r="B991" i="1"/>
  <c r="A1014" i="1"/>
  <c r="C1072" i="1"/>
  <c r="C1344" i="1"/>
  <c r="C1436" i="1"/>
  <c r="A3" i="1"/>
  <c r="B28" i="1"/>
  <c r="A56" i="1"/>
  <c r="C296" i="1"/>
  <c r="B499" i="1"/>
  <c r="C56" i="1"/>
  <c r="C85" i="1"/>
  <c r="A143" i="1"/>
  <c r="B229" i="1"/>
  <c r="C499" i="1"/>
  <c r="C527" i="1"/>
  <c r="B549" i="1"/>
  <c r="B640" i="1"/>
  <c r="A930" i="1"/>
  <c r="B8" i="1"/>
  <c r="C73" i="1"/>
  <c r="C90" i="1"/>
  <c r="B96" i="1"/>
  <c r="B172" i="1"/>
  <c r="C283" i="1"/>
  <c r="C327" i="1"/>
  <c r="A411" i="1"/>
  <c r="B447" i="1"/>
  <c r="A483" i="1"/>
  <c r="A527" i="1"/>
  <c r="B558" i="1"/>
  <c r="B656" i="1"/>
  <c r="B745" i="1"/>
  <c r="A811" i="1"/>
  <c r="A932" i="1"/>
  <c r="A951" i="1"/>
  <c r="A985" i="1"/>
  <c r="C1016" i="1"/>
  <c r="A1050" i="1"/>
  <c r="B1145" i="1"/>
  <c r="A1307" i="1"/>
  <c r="B1428" i="1"/>
  <c r="B572" i="1"/>
  <c r="A827" i="1"/>
  <c r="A901" i="1"/>
  <c r="B1050" i="1"/>
  <c r="C40" i="1"/>
  <c r="C132" i="1"/>
  <c r="B138" i="1"/>
  <c r="B143" i="1"/>
  <c r="C148" i="1"/>
  <c r="C188" i="1"/>
  <c r="B272" i="1"/>
  <c r="A284" i="1"/>
  <c r="B290" i="1"/>
  <c r="B296" i="1"/>
  <c r="B357" i="1"/>
  <c r="C412" i="1"/>
  <c r="C448" i="1"/>
  <c r="B474" i="1"/>
  <c r="C504" i="1"/>
  <c r="C542" i="1"/>
  <c r="B548" i="1"/>
  <c r="C572" i="1"/>
  <c r="A599" i="1"/>
  <c r="A604" i="1"/>
  <c r="A625" i="1"/>
  <c r="B631" i="1"/>
  <c r="A758" i="1"/>
  <c r="A786" i="1"/>
  <c r="B901" i="1"/>
  <c r="B1007" i="1"/>
  <c r="B1030" i="1"/>
  <c r="C1056" i="1"/>
  <c r="C1096" i="1"/>
  <c r="C1108" i="1"/>
  <c r="B1262" i="1"/>
  <c r="B1275" i="1"/>
  <c r="B1281" i="1"/>
  <c r="C1373" i="1"/>
  <c r="C1394" i="1"/>
  <c r="C625" i="1"/>
  <c r="C631" i="1"/>
  <c r="C672" i="1"/>
  <c r="B693" i="1"/>
  <c r="A717" i="1"/>
  <c r="B786" i="1"/>
  <c r="C792" i="1"/>
  <c r="C867" i="1"/>
  <c r="B908" i="1"/>
  <c r="B942" i="1"/>
  <c r="B1459" i="1"/>
  <c r="C1487" i="1"/>
  <c r="C35" i="1"/>
  <c r="A54" i="1"/>
  <c r="B76" i="1"/>
  <c r="B99" i="1"/>
  <c r="C118" i="1"/>
  <c r="B144" i="1"/>
  <c r="C196" i="1"/>
  <c r="C268" i="1"/>
  <c r="B281" i="1"/>
  <c r="C392" i="1"/>
  <c r="B456" i="1"/>
  <c r="B505" i="1"/>
  <c r="A511" i="1"/>
  <c r="B556" i="1"/>
  <c r="A639" i="1"/>
  <c r="B841" i="1"/>
  <c r="B855" i="1"/>
  <c r="B862" i="1"/>
  <c r="B1014" i="1"/>
  <c r="C1304" i="1"/>
  <c r="B1316" i="1"/>
  <c r="B1360" i="1"/>
  <c r="C1395" i="1"/>
  <c r="B18" i="1"/>
  <c r="A42" i="1"/>
  <c r="B54" i="1"/>
  <c r="B67" i="1"/>
  <c r="C71" i="1"/>
  <c r="C123" i="1"/>
  <c r="A354" i="1"/>
  <c r="A367" i="1"/>
  <c r="A434" i="1"/>
  <c r="C525" i="1"/>
  <c r="C556" i="1"/>
  <c r="C574" i="1"/>
  <c r="B581" i="1"/>
  <c r="C588" i="1"/>
  <c r="C639" i="1"/>
  <c r="A681" i="1"/>
  <c r="B694" i="1"/>
  <c r="C700" i="1"/>
  <c r="A754" i="1"/>
  <c r="C801" i="1"/>
  <c r="B943" i="1"/>
  <c r="B1009" i="1"/>
  <c r="B1058" i="1"/>
  <c r="A1064" i="1"/>
  <c r="A1116" i="1"/>
  <c r="B1143" i="1"/>
  <c r="B1149" i="1"/>
  <c r="C1488" i="1"/>
  <c r="A1492" i="1"/>
  <c r="C67" i="1"/>
  <c r="A77" i="1"/>
  <c r="B89" i="1"/>
  <c r="A165" i="1"/>
  <c r="B233" i="1"/>
  <c r="A269" i="1"/>
  <c r="B287" i="1"/>
  <c r="A298" i="1"/>
  <c r="B311" i="1"/>
  <c r="A326" i="1"/>
  <c r="B354" i="1"/>
  <c r="C367" i="1"/>
  <c r="B434" i="1"/>
  <c r="C451" i="1"/>
  <c r="C463" i="1"/>
  <c r="A506" i="1"/>
  <c r="B545" i="1"/>
  <c r="C602" i="1"/>
  <c r="A759" i="1"/>
  <c r="B830" i="1"/>
  <c r="C891" i="1"/>
  <c r="B926" i="1"/>
  <c r="C931" i="1"/>
  <c r="A1072" i="1"/>
  <c r="A1110" i="1"/>
  <c r="A1137" i="1"/>
  <c r="A1272" i="1"/>
  <c r="C11" i="1"/>
  <c r="C21" i="1"/>
  <c r="A27" i="1"/>
  <c r="B32" i="1"/>
  <c r="B47" i="1"/>
  <c r="C51" i="1"/>
  <c r="B60" i="1"/>
  <c r="C84" i="1"/>
  <c r="B88" i="1"/>
  <c r="C98" i="1"/>
  <c r="C103" i="1"/>
  <c r="A118" i="1"/>
  <c r="C152" i="1"/>
  <c r="B152" i="1"/>
  <c r="A186" i="1"/>
  <c r="C186" i="1"/>
  <c r="B186" i="1"/>
  <c r="B127" i="1"/>
  <c r="C127" i="1"/>
  <c r="A48" i="1"/>
  <c r="C76" i="1"/>
  <c r="A82" i="1"/>
  <c r="B104" i="1"/>
  <c r="B119" i="1"/>
  <c r="C119" i="1"/>
  <c r="B133" i="1"/>
  <c r="B155" i="1"/>
  <c r="C155" i="1"/>
  <c r="A9" i="1"/>
  <c r="A24" i="1"/>
  <c r="B40" i="1"/>
  <c r="B48" i="1"/>
  <c r="C53" i="1"/>
  <c r="C63" i="1"/>
  <c r="C72" i="1"/>
  <c r="B82" i="1"/>
  <c r="B90" i="1"/>
  <c r="A110" i="1"/>
  <c r="C115" i="1"/>
  <c r="C120" i="1"/>
  <c r="B120" i="1"/>
  <c r="A129" i="1"/>
  <c r="B5" i="1"/>
  <c r="C124" i="1"/>
  <c r="B124" i="1"/>
  <c r="C139" i="1"/>
  <c r="A139" i="1"/>
  <c r="A137" i="1"/>
  <c r="C137" i="1"/>
  <c r="C157" i="1"/>
  <c r="B157" i="1"/>
  <c r="B112" i="1"/>
  <c r="A112" i="1"/>
  <c r="B1492" i="1"/>
  <c r="A11" i="1"/>
  <c r="A36" i="1"/>
  <c r="C41" i="1"/>
  <c r="A84" i="1"/>
  <c r="A199" i="1"/>
  <c r="A390" i="1"/>
  <c r="A479" i="1"/>
  <c r="B490" i="1"/>
  <c r="A495" i="1"/>
  <c r="C1127" i="1"/>
  <c r="B1138" i="1"/>
  <c r="B1150" i="1"/>
  <c r="B1154" i="1"/>
  <c r="C166" i="1"/>
  <c r="C179" i="1"/>
  <c r="B199" i="1"/>
  <c r="C229" i="1"/>
  <c r="B264" i="1"/>
  <c r="C290" i="1"/>
  <c r="B390" i="1"/>
  <c r="C404" i="1"/>
  <c r="A409" i="1"/>
  <c r="A420" i="1"/>
  <c r="B439" i="1"/>
  <c r="A443" i="1"/>
  <c r="A447" i="1"/>
  <c r="B451" i="1"/>
  <c r="C460" i="1"/>
  <c r="C479" i="1"/>
  <c r="C490" i="1"/>
  <c r="B495" i="1"/>
  <c r="B534" i="1"/>
  <c r="C545" i="1"/>
  <c r="C549" i="1"/>
  <c r="C561" i="1"/>
  <c r="C583" i="1"/>
  <c r="C636" i="1"/>
  <c r="A662" i="1"/>
  <c r="A750" i="1"/>
  <c r="C754" i="1"/>
  <c r="C762" i="1"/>
  <c r="A797" i="1"/>
  <c r="C831" i="1"/>
  <c r="B884" i="1"/>
  <c r="A896" i="1"/>
  <c r="A924" i="1"/>
  <c r="C949" i="1"/>
  <c r="A960" i="1"/>
  <c r="C971" i="1"/>
  <c r="C985" i="1"/>
  <c r="B995" i="1"/>
  <c r="C1007" i="1"/>
  <c r="C1028" i="1"/>
  <c r="B1040" i="1"/>
  <c r="C1064" i="1"/>
  <c r="C1076" i="1"/>
  <c r="A1089" i="1"/>
  <c r="B1239" i="1"/>
  <c r="A1286" i="1"/>
  <c r="A1344" i="1"/>
  <c r="A1356" i="1"/>
  <c r="C1388" i="1"/>
  <c r="C1428" i="1"/>
  <c r="B1442" i="1"/>
  <c r="B260" i="1"/>
  <c r="B303" i="1"/>
  <c r="A457" i="1"/>
  <c r="B605" i="1"/>
  <c r="A838" i="1"/>
  <c r="A848" i="1"/>
  <c r="A976" i="1"/>
  <c r="A981" i="1"/>
  <c r="B1162" i="1"/>
  <c r="B1481" i="1"/>
  <c r="A196" i="1"/>
  <c r="A200" i="1"/>
  <c r="B213" i="1"/>
  <c r="A219" i="1"/>
  <c r="A243" i="1"/>
  <c r="C260" i="1"/>
  <c r="A276" i="1"/>
  <c r="A291" i="1"/>
  <c r="C303" i="1"/>
  <c r="B329" i="1"/>
  <c r="C335" i="1"/>
  <c r="C357" i="1"/>
  <c r="B363" i="1"/>
  <c r="A405" i="1"/>
  <c r="A436" i="1"/>
  <c r="C457" i="1"/>
  <c r="A474" i="1"/>
  <c r="B491" i="1"/>
  <c r="A530" i="1"/>
  <c r="B535" i="1"/>
  <c r="A542" i="1"/>
  <c r="B567" i="1"/>
  <c r="C584" i="1"/>
  <c r="B590" i="1"/>
  <c r="C595" i="1"/>
  <c r="C605" i="1"/>
  <c r="B627" i="1"/>
  <c r="C650" i="1"/>
  <c r="A686" i="1"/>
  <c r="C751" i="1"/>
  <c r="A755" i="1"/>
  <c r="B770" i="1"/>
  <c r="C803" i="1"/>
  <c r="C809" i="1"/>
  <c r="A815" i="1"/>
  <c r="C838" i="1"/>
  <c r="B848" i="1"/>
  <c r="A873" i="1"/>
  <c r="B897" i="1"/>
  <c r="A908" i="1"/>
  <c r="C913" i="1"/>
  <c r="A936" i="1"/>
  <c r="A942" i="1"/>
  <c r="C972" i="1"/>
  <c r="C976" i="1"/>
  <c r="B981" i="1"/>
  <c r="B996" i="1"/>
  <c r="C1047" i="1"/>
  <c r="A1100" i="1"/>
  <c r="A1124" i="1"/>
  <c r="A1168" i="1"/>
  <c r="C1206" i="1"/>
  <c r="B1228" i="1"/>
  <c r="C1235" i="1"/>
  <c r="C1293" i="1"/>
  <c r="A1311" i="1"/>
  <c r="B1324" i="1"/>
  <c r="B1330" i="1"/>
  <c r="C1481" i="1"/>
  <c r="A1153" i="1"/>
  <c r="B1218" i="1"/>
  <c r="B1277" i="1"/>
  <c r="A176" i="1"/>
  <c r="A182" i="1"/>
  <c r="C192" i="1"/>
  <c r="C232" i="1"/>
  <c r="A250" i="1"/>
  <c r="B256" i="1"/>
  <c r="C272" i="1"/>
  <c r="A292" i="1"/>
  <c r="C299" i="1"/>
  <c r="C311" i="1"/>
  <c r="A350" i="1"/>
  <c r="B358" i="1"/>
  <c r="A388" i="1"/>
  <c r="C433" i="1"/>
  <c r="B469" i="1"/>
  <c r="C502" i="1"/>
  <c r="C506" i="1"/>
  <c r="C511" i="1"/>
  <c r="C517" i="1"/>
  <c r="C628" i="1"/>
  <c r="A687" i="1"/>
  <c r="A692" i="1"/>
  <c r="B726" i="1"/>
  <c r="C756" i="1"/>
  <c r="B759" i="1"/>
  <c r="B777" i="1"/>
  <c r="A784" i="1"/>
  <c r="B794" i="1"/>
  <c r="C862" i="1"/>
  <c r="C881" i="1"/>
  <c r="B914" i="1"/>
  <c r="B937" i="1"/>
  <c r="C977" i="1"/>
  <c r="C1020" i="1"/>
  <c r="A1038" i="1"/>
  <c r="B1043" i="1"/>
  <c r="B1048" i="1"/>
  <c r="C1119" i="1"/>
  <c r="B1153" i="1"/>
  <c r="C1169" i="1"/>
  <c r="B1182" i="1"/>
  <c r="B1212" i="1"/>
  <c r="C1218" i="1"/>
  <c r="B1260" i="1"/>
  <c r="C1277" i="1"/>
  <c r="B1336" i="1"/>
  <c r="B1353" i="1"/>
  <c r="A1414" i="1"/>
  <c r="B1477" i="1"/>
  <c r="B292" i="1"/>
  <c r="B350" i="1"/>
  <c r="A446" i="1"/>
  <c r="A614" i="1"/>
  <c r="A619" i="1"/>
  <c r="A677" i="1"/>
  <c r="A974" i="1"/>
  <c r="A994" i="1"/>
  <c r="A1052" i="1"/>
  <c r="A1092" i="1"/>
  <c r="A1421" i="1"/>
  <c r="A140" i="1"/>
  <c r="B210" i="1"/>
  <c r="A233" i="1"/>
  <c r="C273" i="1"/>
  <c r="C279" i="1"/>
  <c r="C320" i="1"/>
  <c r="B371" i="1"/>
  <c r="B408" i="1"/>
  <c r="B442" i="1"/>
  <c r="B446" i="1"/>
  <c r="A450" i="1"/>
  <c r="B475" i="1"/>
  <c r="C518" i="1"/>
  <c r="A565" i="1"/>
  <c r="A592" i="1"/>
  <c r="B614" i="1"/>
  <c r="C619" i="1"/>
  <c r="B635" i="1"/>
  <c r="B667" i="1"/>
  <c r="B677" i="1"/>
  <c r="C683" i="1"/>
  <c r="A688" i="1"/>
  <c r="A693" i="1"/>
  <c r="B721" i="1"/>
  <c r="C727" i="1"/>
  <c r="C738" i="1"/>
  <c r="C773" i="1"/>
  <c r="C785" i="1"/>
  <c r="A801" i="1"/>
  <c r="C806" i="1"/>
  <c r="A836" i="1"/>
  <c r="C895" i="1"/>
  <c r="C910" i="1"/>
  <c r="C923" i="1"/>
  <c r="A943" i="1"/>
  <c r="A953" i="1"/>
  <c r="B974" i="1"/>
  <c r="B994" i="1"/>
  <c r="A1016" i="1"/>
  <c r="C1052" i="1"/>
  <c r="A1058" i="1"/>
  <c r="C1088" i="1"/>
  <c r="B1092" i="1"/>
  <c r="B1098" i="1"/>
  <c r="A1127" i="1"/>
  <c r="A1154" i="1"/>
  <c r="B1170" i="1"/>
  <c r="C1197" i="1"/>
  <c r="A1209" i="1"/>
  <c r="B1219" i="1"/>
  <c r="A1238" i="1"/>
  <c r="A1244" i="1"/>
  <c r="B1249" i="1"/>
  <c r="A1309" i="1"/>
  <c r="C1332" i="1"/>
  <c r="B1337" i="1"/>
  <c r="B1343" i="1"/>
  <c r="B1387" i="1"/>
  <c r="C1421" i="1"/>
  <c r="B33" i="1"/>
  <c r="A53" i="1"/>
  <c r="B59" i="1"/>
  <c r="B73" i="1"/>
  <c r="C80" i="1"/>
  <c r="A91" i="1"/>
  <c r="A99" i="1"/>
  <c r="C113" i="1"/>
  <c r="A120" i="1"/>
  <c r="A126" i="1"/>
  <c r="C131" i="1"/>
  <c r="B192" i="1"/>
  <c r="B232" i="1"/>
  <c r="C258" i="1"/>
  <c r="B265" i="1"/>
  <c r="B320" i="1"/>
  <c r="A363" i="1"/>
  <c r="C397" i="1"/>
  <c r="C497" i="1"/>
  <c r="B497" i="1"/>
  <c r="B504" i="1"/>
  <c r="C510" i="1"/>
  <c r="B518" i="1"/>
  <c r="B525" i="1"/>
  <c r="A532" i="1"/>
  <c r="A546" i="1"/>
  <c r="C546" i="1"/>
  <c r="B588" i="1"/>
  <c r="C646" i="1"/>
  <c r="A707" i="1"/>
  <c r="B764" i="1"/>
  <c r="B773" i="1"/>
  <c r="C799" i="1"/>
  <c r="B799" i="1"/>
  <c r="A799" i="1"/>
  <c r="C816" i="1"/>
  <c r="C905" i="1"/>
  <c r="B905" i="1"/>
  <c r="A913" i="1"/>
  <c r="C947" i="1"/>
  <c r="B988" i="1"/>
  <c r="C1012" i="1"/>
  <c r="B1012" i="1"/>
  <c r="B1020" i="1"/>
  <c r="B1028" i="1"/>
  <c r="B1063" i="1"/>
  <c r="C1106" i="1"/>
  <c r="C1176" i="1"/>
  <c r="C1265" i="1"/>
  <c r="C322" i="1"/>
  <c r="B322" i="1"/>
  <c r="C9" i="1"/>
  <c r="A16" i="1"/>
  <c r="C28" i="1"/>
  <c r="C88" i="1"/>
  <c r="C101" i="1"/>
  <c r="C116" i="1"/>
  <c r="A133" i="1"/>
  <c r="A172" i="1"/>
  <c r="C180" i="1"/>
  <c r="B194" i="1"/>
  <c r="B209" i="1"/>
  <c r="C209" i="1"/>
  <c r="B252" i="1"/>
  <c r="A252" i="1"/>
  <c r="C276" i="1"/>
  <c r="C332" i="1"/>
  <c r="B341" i="1"/>
  <c r="B401" i="1"/>
  <c r="C401" i="1"/>
  <c r="B409" i="1"/>
  <c r="C427" i="1"/>
  <c r="B606" i="1"/>
  <c r="B701" i="1"/>
  <c r="C820" i="1"/>
  <c r="B820" i="1"/>
  <c r="A820" i="1"/>
  <c r="C855" i="1"/>
  <c r="C958" i="1"/>
  <c r="B958" i="1"/>
  <c r="A958" i="1"/>
  <c r="C1170" i="1"/>
  <c r="C1249" i="1"/>
  <c r="C1269" i="1"/>
  <c r="B1269" i="1"/>
  <c r="A1269" i="1"/>
  <c r="C1363" i="1"/>
  <c r="B1363" i="1"/>
  <c r="A1363" i="1"/>
  <c r="A467" i="1"/>
  <c r="C467" i="1"/>
  <c r="C682" i="1"/>
  <c r="B682" i="1"/>
  <c r="A682" i="1"/>
  <c r="A1198" i="1"/>
  <c r="C1198" i="1"/>
  <c r="B1198" i="1"/>
  <c r="C214" i="1"/>
  <c r="A214" i="1"/>
  <c r="C674" i="1"/>
  <c r="B674" i="1"/>
  <c r="A674" i="1"/>
  <c r="B1151" i="1"/>
  <c r="C1151" i="1"/>
  <c r="B476" i="1"/>
  <c r="A476" i="1"/>
  <c r="C597" i="1"/>
  <c r="B597" i="1"/>
  <c r="A597" i="1"/>
  <c r="B1091" i="1"/>
  <c r="A1091" i="1"/>
  <c r="C1126" i="1"/>
  <c r="B1126" i="1"/>
  <c r="A1126" i="1"/>
  <c r="A1200" i="1"/>
  <c r="C1200" i="1"/>
  <c r="B1200" i="1"/>
  <c r="A1326" i="1"/>
  <c r="C1326" i="1"/>
  <c r="A633" i="1"/>
  <c r="B633" i="1"/>
  <c r="A829" i="1"/>
  <c r="B829" i="1"/>
  <c r="C874" i="1"/>
  <c r="B874" i="1"/>
  <c r="A874" i="1"/>
  <c r="A1298" i="1"/>
  <c r="B1298" i="1"/>
  <c r="B224" i="1"/>
  <c r="A224" i="1"/>
  <c r="B169" i="1"/>
  <c r="C169" i="1"/>
  <c r="C416" i="1"/>
  <c r="A416" i="1"/>
  <c r="B711" i="1"/>
  <c r="C711" i="1"/>
  <c r="B892" i="1"/>
  <c r="A892" i="1"/>
  <c r="C3" i="1"/>
  <c r="B36" i="1"/>
  <c r="C42" i="1"/>
  <c r="A89" i="1"/>
  <c r="A96" i="1"/>
  <c r="A144" i="1"/>
  <c r="C151" i="1"/>
  <c r="C210" i="1"/>
  <c r="B228" i="1"/>
  <c r="B269" i="1"/>
  <c r="A277" i="1"/>
  <c r="B284" i="1"/>
  <c r="C305" i="1"/>
  <c r="A305" i="1"/>
  <c r="A333" i="1"/>
  <c r="C342" i="1"/>
  <c r="C358" i="1"/>
  <c r="C393" i="1"/>
  <c r="C455" i="1"/>
  <c r="B455" i="1"/>
  <c r="C462" i="1"/>
  <c r="A462" i="1"/>
  <c r="A472" i="1"/>
  <c r="C484" i="1"/>
  <c r="C514" i="1"/>
  <c r="A514" i="1"/>
  <c r="A528" i="1"/>
  <c r="C528" i="1"/>
  <c r="B528" i="1"/>
  <c r="B544" i="1"/>
  <c r="B607" i="1"/>
  <c r="C1231" i="1"/>
  <c r="A1231" i="1"/>
  <c r="B1328" i="1"/>
  <c r="A1328" i="1"/>
  <c r="B1386" i="1"/>
  <c r="A1386" i="1"/>
  <c r="B661" i="1"/>
  <c r="A670" i="1"/>
  <c r="C813" i="1"/>
  <c r="B813" i="1"/>
  <c r="A813" i="1"/>
  <c r="B823" i="1"/>
  <c r="C830" i="1"/>
  <c r="A894" i="1"/>
  <c r="B960" i="1"/>
  <c r="A1000" i="1"/>
  <c r="B1329" i="1"/>
  <c r="B1426" i="1"/>
  <c r="C1426" i="1"/>
  <c r="A800" i="1"/>
  <c r="B800" i="1"/>
  <c r="C853" i="1"/>
  <c r="A853" i="1"/>
  <c r="B1276" i="1"/>
  <c r="A1276" i="1"/>
  <c r="C1295" i="1"/>
  <c r="A1295" i="1"/>
  <c r="B282" i="1"/>
  <c r="A282" i="1"/>
  <c r="A596" i="1"/>
  <c r="B596" i="1"/>
  <c r="C1248" i="1"/>
  <c r="A1248" i="1"/>
  <c r="B1372" i="1"/>
  <c r="A1372" i="1"/>
  <c r="C966" i="1"/>
  <c r="B966" i="1"/>
  <c r="A966" i="1"/>
  <c r="C1384" i="1"/>
  <c r="B1384" i="1"/>
  <c r="A1384" i="1"/>
  <c r="A1393" i="1"/>
  <c r="B1393" i="1"/>
  <c r="A262" i="1"/>
  <c r="B262" i="1"/>
  <c r="C18" i="1"/>
  <c r="C24" i="1"/>
  <c r="B31" i="1"/>
  <c r="C37" i="1"/>
  <c r="A43" i="1"/>
  <c r="C65" i="1"/>
  <c r="B77" i="1"/>
  <c r="B129" i="1"/>
  <c r="A152" i="1"/>
  <c r="B159" i="1"/>
  <c r="C173" i="1"/>
  <c r="B182" i="1"/>
  <c r="C204" i="1"/>
  <c r="A256" i="1"/>
  <c r="C316" i="1"/>
  <c r="B326" i="1"/>
  <c r="C394" i="1"/>
  <c r="B485" i="1"/>
  <c r="C537" i="1"/>
  <c r="B551" i="1"/>
  <c r="B592" i="1"/>
  <c r="B644" i="1"/>
  <c r="B653" i="1"/>
  <c r="C661" i="1"/>
  <c r="C670" i="1"/>
  <c r="C678" i="1"/>
  <c r="A714" i="1"/>
  <c r="C722" i="1"/>
  <c r="A738" i="1"/>
  <c r="C796" i="1"/>
  <c r="C823" i="1"/>
  <c r="B894" i="1"/>
  <c r="C928" i="1"/>
  <c r="C992" i="1"/>
  <c r="A992" i="1"/>
  <c r="B1000" i="1"/>
  <c r="B1034" i="1"/>
  <c r="A1034" i="1"/>
  <c r="B1077" i="1"/>
  <c r="C1077" i="1"/>
  <c r="A1087" i="1"/>
  <c r="A1120" i="1"/>
  <c r="B1147" i="1"/>
  <c r="C1387" i="1"/>
  <c r="B1437" i="1"/>
  <c r="C331" i="1"/>
  <c r="B331" i="1"/>
  <c r="A331" i="1"/>
  <c r="B307" i="1"/>
  <c r="A307" i="1"/>
  <c r="B359" i="1"/>
  <c r="C359" i="1"/>
  <c r="C560" i="1"/>
  <c r="B560" i="1"/>
  <c r="B586" i="1"/>
  <c r="A586" i="1"/>
  <c r="C787" i="1"/>
  <c r="A814" i="1"/>
  <c r="B814" i="1"/>
  <c r="A888" i="1"/>
  <c r="C920" i="1"/>
  <c r="C993" i="1"/>
  <c r="A1035" i="1"/>
  <c r="C1035" i="1"/>
  <c r="B1035" i="1"/>
  <c r="C1044" i="1"/>
  <c r="A1078" i="1"/>
  <c r="B1087" i="1"/>
  <c r="B1120" i="1"/>
  <c r="C1147" i="1"/>
  <c r="A1358" i="1"/>
  <c r="C1406" i="1"/>
  <c r="A1406" i="1"/>
  <c r="C5" i="1"/>
  <c r="A19" i="1"/>
  <c r="A32" i="1"/>
  <c r="A38" i="1"/>
  <c r="A44" i="1"/>
  <c r="A66" i="1"/>
  <c r="C183" i="1"/>
  <c r="B183" i="1"/>
  <c r="A183" i="1"/>
  <c r="A205" i="1"/>
  <c r="A212" i="1"/>
  <c r="B247" i="1"/>
  <c r="A247" i="1"/>
  <c r="A345" i="1"/>
  <c r="B388" i="1"/>
  <c r="B405" i="1"/>
  <c r="C587" i="1"/>
  <c r="C593" i="1"/>
  <c r="C609" i="1"/>
  <c r="B609" i="1"/>
  <c r="C645" i="1"/>
  <c r="A654" i="1"/>
  <c r="A723" i="1"/>
  <c r="B730" i="1"/>
  <c r="B771" i="1"/>
  <c r="C771" i="1"/>
  <c r="A780" i="1"/>
  <c r="B879" i="1"/>
  <c r="B888" i="1"/>
  <c r="B912" i="1"/>
  <c r="A954" i="1"/>
  <c r="A1036" i="1"/>
  <c r="C1069" i="1"/>
  <c r="B1069" i="1"/>
  <c r="B1078" i="1"/>
  <c r="B1112" i="1"/>
  <c r="A1140" i="1"/>
  <c r="A1323" i="1"/>
  <c r="B1358" i="1"/>
  <c r="B164" i="1"/>
  <c r="C164" i="1"/>
  <c r="A164" i="1"/>
  <c r="C12" i="1"/>
  <c r="B19" i="1"/>
  <c r="A26" i="1"/>
  <c r="B66" i="1"/>
  <c r="A131" i="1"/>
  <c r="B136" i="1"/>
  <c r="A146" i="1"/>
  <c r="B153" i="1"/>
  <c r="A160" i="1"/>
  <c r="A167" i="1"/>
  <c r="B205" i="1"/>
  <c r="C212" i="1"/>
  <c r="B239" i="1"/>
  <c r="B301" i="1"/>
  <c r="C309" i="1"/>
  <c r="B345" i="1"/>
  <c r="C361" i="1"/>
  <c r="B361" i="1"/>
  <c r="A361" i="1"/>
  <c r="B444" i="1"/>
  <c r="B450" i="1"/>
  <c r="C503" i="1"/>
  <c r="B503" i="1"/>
  <c r="A503" i="1"/>
  <c r="A510" i="1"/>
  <c r="A531" i="1"/>
  <c r="B539" i="1"/>
  <c r="A570" i="1"/>
  <c r="B654" i="1"/>
  <c r="B723" i="1"/>
  <c r="C730" i="1"/>
  <c r="B780" i="1"/>
  <c r="C860" i="1"/>
  <c r="B860" i="1"/>
  <c r="B869" i="1"/>
  <c r="C879" i="1"/>
  <c r="C912" i="1"/>
  <c r="A939" i="1"/>
  <c r="C939" i="1"/>
  <c r="B954" i="1"/>
  <c r="C978" i="1"/>
  <c r="B978" i="1"/>
  <c r="A978" i="1"/>
  <c r="B987" i="1"/>
  <c r="A987" i="1"/>
  <c r="C1112" i="1"/>
  <c r="B1140" i="1"/>
  <c r="A1185" i="1"/>
  <c r="A1265" i="1"/>
  <c r="A1282" i="1"/>
  <c r="B1282" i="1"/>
  <c r="B1323" i="1"/>
  <c r="A1450" i="1"/>
  <c r="B1450" i="1"/>
  <c r="B1471" i="1"/>
  <c r="B355" i="1"/>
  <c r="C355" i="1"/>
  <c r="A355" i="1"/>
  <c r="A1443" i="1"/>
  <c r="B1443" i="1"/>
  <c r="C26" i="1"/>
  <c r="A80" i="1"/>
  <c r="C136" i="1"/>
  <c r="C146" i="1"/>
  <c r="C153" i="1"/>
  <c r="C160" i="1"/>
  <c r="B167" i="1"/>
  <c r="C198" i="1"/>
  <c r="B258" i="1"/>
  <c r="A265" i="1"/>
  <c r="C301" i="1"/>
  <c r="B379" i="1"/>
  <c r="A397" i="1"/>
  <c r="C444" i="1"/>
  <c r="B546" i="1"/>
  <c r="B553" i="1"/>
  <c r="C553" i="1"/>
  <c r="C570" i="1"/>
  <c r="A594" i="1"/>
  <c r="A646" i="1"/>
  <c r="A706" i="1"/>
  <c r="C706" i="1"/>
  <c r="B816" i="1"/>
  <c r="A905" i="1"/>
  <c r="B947" i="1"/>
  <c r="A988" i="1"/>
  <c r="A1012" i="1"/>
  <c r="B1106" i="1"/>
  <c r="C1131" i="1"/>
  <c r="B1131" i="1"/>
  <c r="A1131" i="1"/>
  <c r="B1176" i="1"/>
  <c r="C1185" i="1"/>
  <c r="C1225" i="1"/>
  <c r="B1225" i="1"/>
  <c r="A1225" i="1"/>
  <c r="A1283" i="1"/>
  <c r="A1380" i="1"/>
  <c r="B1380" i="1"/>
  <c r="C875" i="1"/>
  <c r="C897" i="1"/>
  <c r="C926" i="1"/>
  <c r="B932" i="1"/>
  <c r="B953" i="1"/>
  <c r="B959" i="1"/>
  <c r="A979" i="1"/>
  <c r="C1006" i="1"/>
  <c r="C1048" i="1"/>
  <c r="C1054" i="1"/>
  <c r="C1084" i="1"/>
  <c r="B1110" i="1"/>
  <c r="A1118" i="1"/>
  <c r="C1138" i="1"/>
  <c r="A1152" i="1"/>
  <c r="B1168" i="1"/>
  <c r="A1175" i="1"/>
  <c r="C1182" i="1"/>
  <c r="B1232" i="1"/>
  <c r="C1275" i="1"/>
  <c r="C1281" i="1"/>
  <c r="A1288" i="1"/>
  <c r="B1311" i="1"/>
  <c r="B1356" i="1"/>
  <c r="C1379" i="1"/>
  <c r="C1442" i="1"/>
  <c r="B1451" i="1"/>
  <c r="C1459" i="1"/>
  <c r="C1477" i="1"/>
  <c r="B1485" i="1"/>
  <c r="C1105" i="1"/>
  <c r="B1118" i="1"/>
  <c r="B1152" i="1"/>
  <c r="C1161" i="1"/>
  <c r="C1232" i="1"/>
  <c r="C1288" i="1"/>
  <c r="C1347" i="1"/>
  <c r="B1408" i="1"/>
  <c r="C1485" i="1"/>
  <c r="A213" i="1"/>
  <c r="A287" i="1"/>
  <c r="A374" i="1"/>
  <c r="A567" i="1"/>
  <c r="A574" i="1"/>
  <c r="A590" i="1"/>
  <c r="A667" i="1"/>
  <c r="C797" i="1"/>
  <c r="A841" i="1"/>
  <c r="A856" i="1"/>
  <c r="B895" i="1"/>
  <c r="A914" i="1"/>
  <c r="B930" i="1"/>
  <c r="C937" i="1"/>
  <c r="C1009" i="1"/>
  <c r="B1094" i="1"/>
  <c r="B1100" i="1"/>
  <c r="C1114" i="1"/>
  <c r="C1128" i="1"/>
  <c r="A1135" i="1"/>
  <c r="B1197" i="1"/>
  <c r="C1228" i="1"/>
  <c r="B1244" i="1"/>
  <c r="A1260" i="1"/>
  <c r="C1272" i="1"/>
  <c r="C1324" i="1"/>
  <c r="A1337" i="1"/>
  <c r="A1388" i="1"/>
  <c r="B1395" i="1"/>
  <c r="A1456" i="1"/>
  <c r="B1464" i="1"/>
  <c r="B1429" i="1"/>
  <c r="C176" i="1"/>
  <c r="B195" i="1"/>
  <c r="C208" i="1"/>
  <c r="B237" i="1"/>
  <c r="B267" i="1"/>
  <c r="C281" i="1"/>
  <c r="B294" i="1"/>
  <c r="B384" i="1"/>
  <c r="A392" i="1"/>
  <c r="A408" i="1"/>
  <c r="A415" i="1"/>
  <c r="B448" i="1"/>
  <c r="C454" i="1"/>
  <c r="B481" i="1"/>
  <c r="B554" i="1"/>
  <c r="B561" i="1"/>
  <c r="B604" i="1"/>
  <c r="C610" i="1"/>
  <c r="A627" i="1"/>
  <c r="C642" i="1"/>
  <c r="C688" i="1"/>
  <c r="C704" i="1"/>
  <c r="A712" i="1"/>
  <c r="A740" i="1"/>
  <c r="C761" i="1"/>
  <c r="A770" i="1"/>
  <c r="C776" i="1"/>
  <c r="B784" i="1"/>
  <c r="C849" i="1"/>
  <c r="B890" i="1"/>
  <c r="C909" i="1"/>
  <c r="B924" i="1"/>
  <c r="B931" i="1"/>
  <c r="B951" i="1"/>
  <c r="C990" i="1"/>
  <c r="C995" i="1"/>
  <c r="B1003" i="1"/>
  <c r="A1010" i="1"/>
  <c r="A1060" i="1"/>
  <c r="B1089" i="1"/>
  <c r="B1129" i="1"/>
  <c r="C1150" i="1"/>
  <c r="B1238" i="1"/>
  <c r="A1245" i="1"/>
  <c r="C1251" i="1"/>
  <c r="A1267" i="1"/>
  <c r="B1286" i="1"/>
  <c r="C1360" i="1"/>
  <c r="B1377" i="1"/>
  <c r="B1414" i="1"/>
  <c r="C1429" i="1"/>
  <c r="C195" i="1"/>
  <c r="C267" i="1"/>
  <c r="A735" i="1"/>
  <c r="A756" i="1"/>
  <c r="A792" i="1"/>
  <c r="A806" i="1"/>
  <c r="A945" i="1"/>
  <c r="A1096" i="1"/>
  <c r="B1245" i="1"/>
  <c r="B1267" i="1"/>
  <c r="C1274" i="1"/>
  <c r="A1332" i="1"/>
  <c r="C1377" i="1"/>
  <c r="B1396" i="1"/>
  <c r="B1422" i="1"/>
  <c r="A721" i="1"/>
  <c r="A762" i="1"/>
  <c r="A777" i="1"/>
  <c r="B785" i="1"/>
  <c r="B891" i="1"/>
  <c r="B910" i="1"/>
  <c r="A991" i="1"/>
  <c r="A996" i="1"/>
  <c r="A1040" i="1"/>
  <c r="A1076" i="1"/>
  <c r="A1145" i="1"/>
  <c r="B1206" i="1"/>
  <c r="A1239" i="1"/>
  <c r="A1262" i="1"/>
  <c r="B1304" i="1"/>
  <c r="C1491" i="1"/>
  <c r="C49" i="1"/>
  <c r="B49" i="1"/>
  <c r="A49" i="1"/>
  <c r="B293" i="1"/>
  <c r="A375" i="1"/>
  <c r="C7" i="1"/>
  <c r="B12" i="1"/>
  <c r="A37" i="1"/>
  <c r="A65" i="1"/>
  <c r="C75" i="1"/>
  <c r="C81" i="1"/>
  <c r="B85" i="1"/>
  <c r="C95" i="1"/>
  <c r="C105" i="1"/>
  <c r="C117" i="1"/>
  <c r="C125" i="1"/>
  <c r="C134" i="1"/>
  <c r="C168" i="1"/>
  <c r="B173" i="1"/>
  <c r="B180" i="1"/>
  <c r="B200" i="1"/>
  <c r="C226" i="1"/>
  <c r="C245" i="1"/>
  <c r="C257" i="1"/>
  <c r="C261" i="1"/>
  <c r="C293" i="1"/>
  <c r="C308" i="1"/>
  <c r="A322" i="1"/>
  <c r="A341" i="1"/>
  <c r="B375" i="1"/>
  <c r="A577" i="1"/>
  <c r="B1436" i="1"/>
  <c r="C1464" i="1"/>
  <c r="A1488" i="1"/>
  <c r="B382" i="1"/>
  <c r="A394" i="1"/>
  <c r="A412" i="1"/>
  <c r="B435" i="1"/>
  <c r="A440" i="1"/>
  <c r="C456" i="1"/>
  <c r="C472" i="1"/>
  <c r="C477" i="1"/>
  <c r="A482" i="1"/>
  <c r="A488" i="1"/>
  <c r="B514" i="1"/>
  <c r="C531" i="1"/>
  <c r="A541" i="1"/>
  <c r="B577" i="1"/>
  <c r="B589" i="1"/>
  <c r="A593" i="1"/>
  <c r="A632" i="1"/>
  <c r="A710" i="1"/>
  <c r="A749" i="1"/>
  <c r="A763" i="1"/>
  <c r="C778" i="1"/>
  <c r="A804" i="1"/>
  <c r="A824" i="1"/>
  <c r="B836" i="1"/>
  <c r="A904" i="1"/>
  <c r="B936" i="1"/>
  <c r="B1022" i="1"/>
  <c r="A1029" i="1"/>
  <c r="C1034" i="1"/>
  <c r="C1043" i="1"/>
  <c r="A1049" i="1"/>
  <c r="A1070" i="1"/>
  <c r="B1082" i="1"/>
  <c r="A1107" i="1"/>
  <c r="C1116" i="1"/>
  <c r="C1143" i="1"/>
  <c r="A1166" i="1"/>
  <c r="A1183" i="1"/>
  <c r="C1212" i="1"/>
  <c r="B1231" i="1"/>
  <c r="A1255" i="1"/>
  <c r="A1351" i="1"/>
  <c r="A1367" i="1"/>
  <c r="A1400" i="1"/>
  <c r="A1407" i="1"/>
  <c r="A1449" i="1"/>
  <c r="A1454" i="1"/>
  <c r="A1470" i="1"/>
  <c r="C219" i="1"/>
  <c r="A227" i="1"/>
  <c r="C239" i="1"/>
  <c r="C246" i="1"/>
  <c r="C252" i="1"/>
  <c r="B277" i="1"/>
  <c r="B309" i="1"/>
  <c r="B333" i="1"/>
  <c r="B376" i="1"/>
  <c r="B389" i="1"/>
  <c r="C407" i="1"/>
  <c r="A430" i="1"/>
  <c r="C461" i="1"/>
  <c r="C488" i="1"/>
  <c r="A584" i="1"/>
  <c r="C589" i="1"/>
  <c r="B632" i="1"/>
  <c r="B637" i="1"/>
  <c r="A643" i="1"/>
  <c r="B673" i="1"/>
  <c r="B710" i="1"/>
  <c r="A727" i="1"/>
  <c r="B749" i="1"/>
  <c r="B763" i="1"/>
  <c r="A791" i="1"/>
  <c r="B804" i="1"/>
  <c r="A809" i="1"/>
  <c r="A842" i="1"/>
  <c r="A849" i="1"/>
  <c r="A867" i="1"/>
  <c r="B904" i="1"/>
  <c r="A909" i="1"/>
  <c r="A957" i="1"/>
  <c r="A972" i="1"/>
  <c r="A1018" i="1"/>
  <c r="B1029" i="1"/>
  <c r="B1049" i="1"/>
  <c r="B1070" i="1"/>
  <c r="A1077" i="1"/>
  <c r="B1107" i="1"/>
  <c r="A1133" i="1"/>
  <c r="A1161" i="1"/>
  <c r="B1178" i="1"/>
  <c r="B1183" i="1"/>
  <c r="A1190" i="1"/>
  <c r="B1255" i="1"/>
  <c r="B1333" i="1"/>
  <c r="B1351" i="1"/>
  <c r="B1367" i="1"/>
  <c r="A1379" i="1"/>
  <c r="B1400" i="1"/>
  <c r="B1407" i="1"/>
  <c r="A1426" i="1"/>
  <c r="B1431" i="1"/>
  <c r="B1449" i="1"/>
  <c r="B1454" i="1"/>
  <c r="A1465" i="1"/>
  <c r="B1470" i="1"/>
  <c r="B610" i="1"/>
  <c r="C615" i="1"/>
  <c r="C637" i="1"/>
  <c r="C643" i="1"/>
  <c r="A650" i="1"/>
  <c r="C673" i="1"/>
  <c r="A678" i="1"/>
  <c r="A683" i="1"/>
  <c r="A694" i="1"/>
  <c r="B722" i="1"/>
  <c r="A796" i="1"/>
  <c r="B842" i="1"/>
  <c r="A886" i="1"/>
  <c r="A920" i="1"/>
  <c r="C957" i="1"/>
  <c r="C1018" i="1"/>
  <c r="A1044" i="1"/>
  <c r="A1054" i="1"/>
  <c r="A1088" i="1"/>
  <c r="A1149" i="1"/>
  <c r="C1178" i="1"/>
  <c r="B1293" i="1"/>
  <c r="A1329" i="1"/>
  <c r="C1333" i="1"/>
  <c r="B1373" i="1"/>
  <c r="C1431" i="1"/>
  <c r="A1437" i="1"/>
  <c r="B1465" i="1"/>
  <c r="A1489" i="1"/>
  <c r="B4" i="1"/>
  <c r="B14" i="1"/>
  <c r="B34" i="1"/>
  <c r="B38" i="1"/>
  <c r="C4" i="1"/>
  <c r="C14" i="1"/>
  <c r="C34" i="1"/>
  <c r="A55" i="1"/>
  <c r="A61" i="1"/>
  <c r="A108" i="1"/>
  <c r="A145" i="1"/>
  <c r="A171" i="1"/>
  <c r="A187" i="1"/>
  <c r="A203" i="1"/>
  <c r="A356" i="1"/>
  <c r="A360" i="1"/>
  <c r="A413" i="1"/>
  <c r="A441" i="1"/>
  <c r="B295" i="1"/>
  <c r="B305" i="1"/>
  <c r="B324" i="1"/>
  <c r="B330" i="1"/>
  <c r="B356" i="1"/>
  <c r="B360" i="1"/>
  <c r="B378" i="1"/>
  <c r="A396" i="1"/>
  <c r="A403" i="1"/>
  <c r="B413" i="1"/>
  <c r="A419" i="1"/>
  <c r="B441" i="1"/>
  <c r="A454" i="1"/>
  <c r="A458" i="1"/>
  <c r="A538" i="1"/>
  <c r="B547" i="1"/>
  <c r="B580" i="1"/>
  <c r="A611" i="1"/>
  <c r="A623" i="1"/>
  <c r="C633" i="1"/>
  <c r="B679" i="1"/>
  <c r="C690" i="1"/>
  <c r="C750" i="1"/>
  <c r="C764" i="1"/>
  <c r="C1003" i="1"/>
  <c r="C1030" i="1"/>
  <c r="C1060" i="1"/>
  <c r="C1104" i="1"/>
  <c r="C1124" i="1"/>
  <c r="A1330" i="1"/>
  <c r="B1347" i="1"/>
  <c r="A1353" i="1"/>
  <c r="C1408" i="1"/>
  <c r="C1450" i="1"/>
  <c r="C1471" i="1"/>
  <c r="B55" i="1"/>
  <c r="B61" i="1"/>
  <c r="A83" i="1"/>
  <c r="A92" i="1"/>
  <c r="A103" i="1"/>
  <c r="B108" i="1"/>
  <c r="A119" i="1"/>
  <c r="A123" i="1"/>
  <c r="B145" i="1"/>
  <c r="A151" i="1"/>
  <c r="B171" i="1"/>
  <c r="B187" i="1"/>
  <c r="A198" i="1"/>
  <c r="B203" i="1"/>
  <c r="A209" i="1"/>
  <c r="A242" i="1"/>
  <c r="B259" i="1"/>
  <c r="A263" i="1"/>
  <c r="A268" i="1"/>
  <c r="A273" i="1"/>
  <c r="A31" i="1"/>
  <c r="B35" i="1"/>
  <c r="A39" i="1"/>
  <c r="C44" i="1"/>
  <c r="C83" i="1"/>
  <c r="C92" i="1"/>
  <c r="B98" i="1"/>
  <c r="C141" i="1"/>
  <c r="C161" i="1"/>
  <c r="B242" i="1"/>
  <c r="C259" i="1"/>
  <c r="B263" i="1"/>
  <c r="B291" i="1"/>
  <c r="C295" i="1"/>
  <c r="C324" i="1"/>
  <c r="C330" i="1"/>
  <c r="B351" i="1"/>
  <c r="C378" i="1"/>
  <c r="B396" i="1"/>
  <c r="B403" i="1"/>
  <c r="C419" i="1"/>
  <c r="C426" i="1"/>
  <c r="B458" i="1"/>
  <c r="B533" i="1"/>
  <c r="B538" i="1"/>
  <c r="B568" i="1"/>
  <c r="B611" i="1"/>
  <c r="B623" i="1"/>
  <c r="B652" i="1"/>
  <c r="A664" i="1"/>
  <c r="A1490" i="1"/>
  <c r="B463" i="1"/>
  <c r="A469" i="1"/>
  <c r="B496" i="1"/>
  <c r="C533" i="1"/>
  <c r="A548" i="1"/>
  <c r="A558" i="1"/>
  <c r="C568" i="1"/>
  <c r="A581" i="1"/>
  <c r="A591" i="1"/>
  <c r="A602" i="1"/>
  <c r="A618" i="1"/>
  <c r="C652" i="1"/>
  <c r="C664" i="1"/>
  <c r="A697" i="1"/>
  <c r="A702" i="1"/>
  <c r="B707" i="1"/>
  <c r="B712" i="1"/>
  <c r="A751" i="1"/>
  <c r="A761" i="1"/>
  <c r="A776" i="1"/>
  <c r="A787" i="1"/>
  <c r="B811" i="1"/>
  <c r="B815" i="1"/>
  <c r="A840" i="1"/>
  <c r="B851" i="1"/>
  <c r="B856" i="1"/>
  <c r="A875" i="1"/>
  <c r="A881" i="1"/>
  <c r="B896" i="1"/>
  <c r="A923" i="1"/>
  <c r="A944" i="1"/>
  <c r="A949" i="1"/>
  <c r="A970" i="1"/>
  <c r="B979" i="1"/>
  <c r="A989" i="1"/>
  <c r="A993" i="1"/>
  <c r="B1010" i="1"/>
  <c r="B1036" i="1"/>
  <c r="A1056" i="1"/>
  <c r="A1105" i="1"/>
  <c r="A1114" i="1"/>
  <c r="A1119" i="1"/>
  <c r="A1125" i="1"/>
  <c r="B1135" i="1"/>
  <c r="A1146" i="1"/>
  <c r="B1175" i="1"/>
  <c r="A1181" i="1"/>
  <c r="A1192" i="1"/>
  <c r="B1204" i="1"/>
  <c r="A1217" i="1"/>
  <c r="B1246" i="1"/>
  <c r="A1258" i="1"/>
  <c r="B1268" i="1"/>
  <c r="A1274" i="1"/>
  <c r="B1283" i="1"/>
  <c r="B1295" i="1"/>
  <c r="B1307" i="1"/>
  <c r="A1321" i="1"/>
  <c r="A1392" i="1"/>
  <c r="C1396" i="1"/>
  <c r="A1409" i="1"/>
  <c r="C1422" i="1"/>
  <c r="A1451" i="1"/>
  <c r="B1490" i="1"/>
  <c r="C697" i="1"/>
  <c r="A736" i="1"/>
  <c r="A747" i="1"/>
  <c r="A798" i="1"/>
  <c r="A834" i="1"/>
  <c r="C851" i="1"/>
  <c r="A902" i="1"/>
  <c r="A916" i="1"/>
  <c r="A928" i="1"/>
  <c r="B939" i="1"/>
  <c r="A959" i="1"/>
  <c r="A965" i="1"/>
  <c r="B1047" i="1"/>
  <c r="A1051" i="1"/>
  <c r="A1094" i="1"/>
  <c r="A1099" i="1"/>
  <c r="A1109" i="1"/>
  <c r="B1125" i="1"/>
  <c r="A1141" i="1"/>
  <c r="B1146" i="1"/>
  <c r="A1151" i="1"/>
  <c r="A1169" i="1"/>
  <c r="B1181" i="1"/>
  <c r="B1192" i="1"/>
  <c r="B1217" i="1"/>
  <c r="B1235" i="1"/>
  <c r="C1268" i="1"/>
  <c r="A1279" i="1"/>
  <c r="A1302" i="1"/>
  <c r="C1321" i="1"/>
  <c r="B1326" i="1"/>
  <c r="A1336" i="1"/>
  <c r="B1359" i="1"/>
  <c r="A1365" i="1"/>
  <c r="A1381" i="1"/>
  <c r="B1392" i="1"/>
  <c r="B1409" i="1"/>
  <c r="A1463" i="1"/>
  <c r="A1468" i="1"/>
  <c r="C379" i="1"/>
  <c r="C442" i="1"/>
  <c r="A455" i="1"/>
  <c r="C485" i="1"/>
  <c r="C491" i="1"/>
  <c r="A497" i="1"/>
  <c r="A534" i="1"/>
  <c r="A539" i="1"/>
  <c r="C544" i="1"/>
  <c r="B569" i="1"/>
  <c r="C596" i="1"/>
  <c r="C607" i="1"/>
  <c r="A635" i="1"/>
  <c r="A653" i="1"/>
  <c r="A660" i="1"/>
  <c r="A665" i="1"/>
  <c r="A676" i="1"/>
  <c r="B681" i="1"/>
  <c r="B686" i="1"/>
  <c r="B692" i="1"/>
  <c r="A724" i="1"/>
  <c r="A742" i="1"/>
  <c r="B747" i="1"/>
  <c r="A757" i="1"/>
  <c r="A766" i="1"/>
  <c r="A772" i="1"/>
  <c r="A793" i="1"/>
  <c r="B798" i="1"/>
  <c r="A802" i="1"/>
  <c r="A807" i="1"/>
  <c r="B834" i="1"/>
  <c r="A864" i="1"/>
  <c r="A871" i="1"/>
  <c r="A889" i="1"/>
  <c r="A893" i="1"/>
  <c r="B902" i="1"/>
  <c r="B916" i="1"/>
  <c r="A955" i="1"/>
  <c r="B965" i="1"/>
  <c r="A975" i="1"/>
  <c r="A986" i="1"/>
  <c r="A1021" i="1"/>
  <c r="A1042" i="1"/>
  <c r="B1086" i="1"/>
  <c r="A1090" i="1"/>
  <c r="B1099" i="1"/>
  <c r="B1141" i="1"/>
  <c r="B1199" i="1"/>
  <c r="A1211" i="1"/>
  <c r="A1224" i="1"/>
  <c r="A1253" i="1"/>
  <c r="B1279" i="1"/>
  <c r="B1290" i="1"/>
  <c r="B1302" i="1"/>
  <c r="A1349" i="1"/>
  <c r="B1354" i="1"/>
  <c r="B1365" i="1"/>
  <c r="B1381" i="1"/>
  <c r="B1417" i="1"/>
  <c r="A1423" i="1"/>
  <c r="A1435" i="1"/>
  <c r="B1463" i="1"/>
  <c r="B1468" i="1"/>
  <c r="B1473" i="1"/>
  <c r="A1491" i="1"/>
  <c r="B660" i="1"/>
  <c r="B665" i="1"/>
  <c r="B676" i="1"/>
  <c r="B708" i="1"/>
  <c r="A713" i="1"/>
  <c r="C724" i="1"/>
  <c r="B742" i="1"/>
  <c r="B757" i="1"/>
  <c r="B766" i="1"/>
  <c r="B772" i="1"/>
  <c r="B793" i="1"/>
  <c r="B802" i="1"/>
  <c r="B807" i="1"/>
  <c r="A812" i="1"/>
  <c r="C864" i="1"/>
  <c r="C871" i="1"/>
  <c r="B889" i="1"/>
  <c r="C893" i="1"/>
  <c r="C955" i="1"/>
  <c r="C975" i="1"/>
  <c r="B986" i="1"/>
  <c r="A1011" i="1"/>
  <c r="B1021" i="1"/>
  <c r="A1033" i="1"/>
  <c r="B1042" i="1"/>
  <c r="A1080" i="1"/>
  <c r="C1086" i="1"/>
  <c r="B1090" i="1"/>
  <c r="A1158" i="1"/>
  <c r="C1199" i="1"/>
  <c r="B1211" i="1"/>
  <c r="B1224" i="1"/>
  <c r="B1230" i="1"/>
  <c r="B1253" i="1"/>
  <c r="C1290" i="1"/>
  <c r="B1296" i="1"/>
  <c r="A1322" i="1"/>
  <c r="C1349" i="1"/>
  <c r="C1354" i="1"/>
  <c r="B1410" i="1"/>
  <c r="C1417" i="1"/>
  <c r="B1423" i="1"/>
  <c r="B1435" i="1"/>
  <c r="B1457" i="1"/>
  <c r="C1473" i="1"/>
  <c r="A1487" i="1"/>
  <c r="A7" i="1"/>
  <c r="C16" i="1"/>
  <c r="C64" i="1"/>
  <c r="A75" i="1"/>
  <c r="A95" i="1"/>
  <c r="A117" i="1"/>
  <c r="A134" i="1"/>
  <c r="A147" i="1"/>
  <c r="A168" i="1"/>
  <c r="B231" i="1"/>
  <c r="C237" i="1"/>
  <c r="A257" i="1"/>
  <c r="A261" i="1"/>
  <c r="C288" i="1"/>
  <c r="C313" i="1"/>
  <c r="C321" i="1"/>
  <c r="A362" i="1"/>
  <c r="B465" i="1"/>
  <c r="A486" i="1"/>
  <c r="B492" i="1"/>
  <c r="C513" i="1"/>
  <c r="B530" i="1"/>
  <c r="C554" i="1"/>
  <c r="C582" i="1"/>
  <c r="B703" i="1"/>
  <c r="C713" i="1"/>
  <c r="C737" i="1"/>
  <c r="C812" i="1"/>
  <c r="C1011" i="1"/>
  <c r="B1033" i="1"/>
  <c r="B1080" i="1"/>
  <c r="C1158" i="1"/>
  <c r="C1230" i="1"/>
  <c r="C1296" i="1"/>
  <c r="B1322" i="1"/>
  <c r="C1457" i="1"/>
  <c r="A81" i="1"/>
  <c r="B226" i="1"/>
  <c r="B308" i="1"/>
  <c r="C343" i="1"/>
  <c r="B343" i="1"/>
  <c r="B2" i="1"/>
  <c r="C2" i="1"/>
  <c r="C6" i="1"/>
  <c r="C10" i="1"/>
  <c r="A22" i="1"/>
  <c r="C46" i="1"/>
  <c r="C50" i="1"/>
  <c r="C58" i="1"/>
  <c r="C62" i="1"/>
  <c r="C70" i="1"/>
  <c r="B86" i="1"/>
  <c r="A86" i="1"/>
  <c r="C94" i="1"/>
  <c r="C102" i="1"/>
  <c r="A106" i="1"/>
  <c r="C150" i="1"/>
  <c r="A154" i="1"/>
  <c r="A158" i="1"/>
  <c r="A162" i="1"/>
  <c r="A174" i="1"/>
  <c r="C178" i="1"/>
  <c r="C216" i="1"/>
  <c r="A222" i="1"/>
  <c r="C230" i="1"/>
  <c r="C234" i="1"/>
  <c r="A254" i="1"/>
  <c r="C271" i="1"/>
  <c r="A280" i="1"/>
  <c r="B297" i="1"/>
  <c r="A317" i="1"/>
  <c r="C346" i="1"/>
  <c r="C352" i="1"/>
  <c r="B352" i="1"/>
  <c r="A366" i="1"/>
  <c r="C391" i="1"/>
  <c r="C395" i="1"/>
  <c r="B418" i="1"/>
  <c r="A418" i="1"/>
  <c r="C423" i="1"/>
  <c r="C471" i="1"/>
  <c r="B471" i="1"/>
  <c r="A471" i="1"/>
  <c r="A563" i="1"/>
  <c r="B563" i="1"/>
  <c r="B573" i="1"/>
  <c r="C684" i="1"/>
  <c r="C705" i="1"/>
  <c r="A705" i="1"/>
  <c r="B725" i="1"/>
  <c r="A725" i="1"/>
  <c r="C725" i="1"/>
  <c r="A752" i="1"/>
  <c r="C752" i="1"/>
  <c r="B752" i="1"/>
  <c r="A821" i="1"/>
  <c r="B821" i="1"/>
  <c r="C821" i="1"/>
  <c r="B839" i="1"/>
  <c r="A839" i="1"/>
  <c r="C839" i="1"/>
  <c r="A921" i="1"/>
  <c r="C921" i="1"/>
  <c r="B921" i="1"/>
  <c r="B984" i="1"/>
  <c r="C984" i="1"/>
  <c r="A984" i="1"/>
  <c r="B1122" i="1"/>
  <c r="A1122" i="1"/>
  <c r="C1122" i="1"/>
  <c r="A1226" i="1"/>
  <c r="C1226" i="1"/>
  <c r="B1226" i="1"/>
  <c r="B22" i="1"/>
  <c r="A79" i="1"/>
  <c r="B106" i="1"/>
  <c r="B114" i="1"/>
  <c r="A114" i="1"/>
  <c r="B154" i="1"/>
  <c r="B158" i="1"/>
  <c r="B162" i="1"/>
  <c r="B170" i="1"/>
  <c r="A170" i="1"/>
  <c r="B174" i="1"/>
  <c r="A190" i="1"/>
  <c r="C207" i="1"/>
  <c r="A207" i="1"/>
  <c r="B222" i="1"/>
  <c r="A244" i="1"/>
  <c r="B244" i="1"/>
  <c r="B254" i="1"/>
  <c r="B280" i="1"/>
  <c r="A312" i="1"/>
  <c r="B317" i="1"/>
  <c r="B336" i="1"/>
  <c r="B366" i="1"/>
  <c r="B381" i="1"/>
  <c r="A381" i="1"/>
  <c r="B400" i="1"/>
  <c r="B429" i="1"/>
  <c r="A429" i="1"/>
  <c r="B500" i="1"/>
  <c r="C500" i="1"/>
  <c r="A579" i="1"/>
  <c r="B579" i="1"/>
  <c r="B598" i="1"/>
  <c r="C598" i="1"/>
  <c r="C641" i="1"/>
  <c r="A641" i="1"/>
  <c r="B671" i="1"/>
  <c r="A671" i="1"/>
  <c r="C671" i="1"/>
  <c r="A689" i="1"/>
  <c r="B689" i="1"/>
  <c r="B833" i="1"/>
  <c r="C833" i="1"/>
  <c r="C844" i="1"/>
  <c r="A844" i="1"/>
  <c r="B922" i="1"/>
  <c r="C922" i="1"/>
  <c r="A922" i="1"/>
  <c r="B973" i="1"/>
  <c r="C973" i="1"/>
  <c r="A1019" i="1"/>
  <c r="C1019" i="1"/>
  <c r="B1019" i="1"/>
  <c r="B1024" i="1"/>
  <c r="A1024" i="1"/>
  <c r="C1378" i="1"/>
  <c r="A1378" i="1"/>
  <c r="B1378" i="1"/>
  <c r="C1430" i="1"/>
  <c r="A1430" i="1"/>
  <c r="B1430" i="1"/>
  <c r="B30" i="1"/>
  <c r="C30" i="1"/>
  <c r="A51" i="1"/>
  <c r="A59" i="1"/>
  <c r="B63" i="1"/>
  <c r="A71" i="1"/>
  <c r="C79" i="1"/>
  <c r="A115" i="1"/>
  <c r="A179" i="1"/>
  <c r="C190" i="1"/>
  <c r="A208" i="1"/>
  <c r="A231" i="1"/>
  <c r="A245" i="1"/>
  <c r="C249" i="1"/>
  <c r="A249" i="1"/>
  <c r="A302" i="1"/>
  <c r="B302" i="1"/>
  <c r="B312" i="1"/>
  <c r="C336" i="1"/>
  <c r="B342" i="1"/>
  <c r="C347" i="1"/>
  <c r="B347" i="1"/>
  <c r="A347" i="1"/>
  <c r="B353" i="1"/>
  <c r="A353" i="1"/>
  <c r="A382" i="1"/>
  <c r="B387" i="1"/>
  <c r="A387" i="1"/>
  <c r="C400" i="1"/>
  <c r="C410" i="1"/>
  <c r="B410" i="1"/>
  <c r="A410" i="1"/>
  <c r="A414" i="1"/>
  <c r="B414" i="1"/>
  <c r="B477" i="1"/>
  <c r="A540" i="1"/>
  <c r="C540" i="1"/>
  <c r="B540" i="1"/>
  <c r="C564" i="1"/>
  <c r="B564" i="1"/>
  <c r="A569" i="1"/>
  <c r="A580" i="1"/>
  <c r="A642" i="1"/>
  <c r="C647" i="1"/>
  <c r="B647" i="1"/>
  <c r="A647" i="1"/>
  <c r="B731" i="1"/>
  <c r="A731" i="1"/>
  <c r="C731" i="1"/>
  <c r="A783" i="1"/>
  <c r="C783" i="1"/>
  <c r="B783" i="1"/>
  <c r="B915" i="1"/>
  <c r="C915" i="1"/>
  <c r="A915" i="1"/>
  <c r="B927" i="1"/>
  <c r="C927" i="1"/>
  <c r="C1339" i="1"/>
  <c r="B1339" i="1"/>
  <c r="A1339" i="1"/>
  <c r="C648" i="1"/>
  <c r="B648" i="1"/>
  <c r="A648" i="1"/>
  <c r="C846" i="1"/>
  <c r="B846" i="1"/>
  <c r="A846" i="1"/>
  <c r="A863" i="1"/>
  <c r="B863" i="1"/>
  <c r="C863" i="1"/>
  <c r="C1174" i="1"/>
  <c r="B1174" i="1"/>
  <c r="A1174" i="1"/>
  <c r="A1340" i="1"/>
  <c r="C1340" i="1"/>
  <c r="B1340" i="1"/>
  <c r="A1352" i="1"/>
  <c r="C1352" i="1"/>
  <c r="B1352" i="1"/>
  <c r="C1357" i="1"/>
  <c r="A1357" i="1"/>
  <c r="B1362" i="1"/>
  <c r="C1362" i="1"/>
  <c r="B39" i="1"/>
  <c r="B43" i="1"/>
  <c r="B91" i="1"/>
  <c r="A111" i="1"/>
  <c r="B135" i="1"/>
  <c r="A135" i="1"/>
  <c r="B139" i="1"/>
  <c r="B147" i="1"/>
  <c r="A155" i="1"/>
  <c r="A175" i="1"/>
  <c r="B218" i="1"/>
  <c r="A223" i="1"/>
  <c r="A241" i="1"/>
  <c r="B250" i="1"/>
  <c r="A286" i="1"/>
  <c r="A313" i="1"/>
  <c r="B328" i="1"/>
  <c r="A332" i="1"/>
  <c r="B337" i="1"/>
  <c r="B348" i="1"/>
  <c r="A348" i="1"/>
  <c r="B362" i="1"/>
  <c r="C377" i="1"/>
  <c r="B377" i="1"/>
  <c r="A406" i="1"/>
  <c r="C406" i="1"/>
  <c r="B406" i="1"/>
  <c r="B411" i="1"/>
  <c r="B415" i="1"/>
  <c r="B482" i="1"/>
  <c r="B486" i="1"/>
  <c r="C521" i="1"/>
  <c r="B521" i="1"/>
  <c r="A537" i="1"/>
  <c r="B541" i="1"/>
  <c r="C600" i="1"/>
  <c r="B600" i="1"/>
  <c r="A600" i="1"/>
  <c r="C621" i="1"/>
  <c r="B621" i="1"/>
  <c r="B626" i="1"/>
  <c r="A626" i="1"/>
  <c r="C715" i="1"/>
  <c r="B715" i="1"/>
  <c r="A715" i="1"/>
  <c r="C744" i="1"/>
  <c r="A744" i="1"/>
  <c r="B744" i="1"/>
  <c r="A778" i="1"/>
  <c r="C911" i="1"/>
  <c r="B911" i="1"/>
  <c r="A933" i="1"/>
  <c r="C933" i="1"/>
  <c r="B933" i="1"/>
  <c r="B1113" i="1"/>
  <c r="A1113" i="1"/>
  <c r="C1113" i="1"/>
  <c r="B1216" i="1"/>
  <c r="A1216" i="1"/>
  <c r="C1216" i="1"/>
  <c r="C1294" i="1"/>
  <c r="B1294" i="1"/>
  <c r="A1294" i="1"/>
  <c r="B1306" i="1"/>
  <c r="C1306" i="1"/>
  <c r="B23" i="1"/>
  <c r="A23" i="1"/>
  <c r="A52" i="1"/>
  <c r="A60" i="1"/>
  <c r="B64" i="1"/>
  <c r="A72" i="1"/>
  <c r="C111" i="1"/>
  <c r="A116" i="1"/>
  <c r="B163" i="1"/>
  <c r="A163" i="1"/>
  <c r="C175" i="1"/>
  <c r="B204" i="1"/>
  <c r="C218" i="1"/>
  <c r="B223" i="1"/>
  <c r="C236" i="1"/>
  <c r="B236" i="1"/>
  <c r="C241" i="1"/>
  <c r="B246" i="1"/>
  <c r="B255" i="1"/>
  <c r="A255" i="1"/>
  <c r="B286" i="1"/>
  <c r="C318" i="1"/>
  <c r="B318" i="1"/>
  <c r="A323" i="1"/>
  <c r="B323" i="1"/>
  <c r="C328" i="1"/>
  <c r="C337" i="1"/>
  <c r="A343" i="1"/>
  <c r="B407" i="1"/>
  <c r="C473" i="1"/>
  <c r="B473" i="1"/>
  <c r="B555" i="1"/>
  <c r="C555" i="1"/>
  <c r="A649" i="1"/>
  <c r="B649" i="1"/>
  <c r="A691" i="1"/>
  <c r="B691" i="1"/>
  <c r="C691" i="1"/>
  <c r="B847" i="1"/>
  <c r="C847" i="1"/>
  <c r="C1031" i="1"/>
  <c r="A1031" i="1"/>
  <c r="B1031" i="1"/>
  <c r="A1300" i="1"/>
  <c r="B1300" i="1"/>
  <c r="B240" i="1"/>
  <c r="A240" i="1"/>
  <c r="B559" i="1"/>
  <c r="C559" i="1"/>
  <c r="C432" i="1"/>
  <c r="A432" i="1"/>
  <c r="C437" i="1"/>
  <c r="A437" i="1"/>
  <c r="C468" i="1"/>
  <c r="B468" i="1"/>
  <c r="C523" i="1"/>
  <c r="B523" i="1"/>
  <c r="C576" i="1"/>
  <c r="B576" i="1"/>
  <c r="A576" i="1"/>
  <c r="C668" i="1"/>
  <c r="B668" i="1"/>
  <c r="A668" i="1"/>
  <c r="B774" i="1"/>
  <c r="A774" i="1"/>
  <c r="A779" i="1"/>
  <c r="B779" i="1"/>
  <c r="C779" i="1"/>
  <c r="B877" i="1"/>
  <c r="C877" i="1"/>
  <c r="A877" i="1"/>
  <c r="A1037" i="1"/>
  <c r="C1037" i="1"/>
  <c r="B1037" i="1"/>
  <c r="B1074" i="1"/>
  <c r="A1074" i="1"/>
  <c r="C1074" i="1"/>
  <c r="C217" i="1"/>
  <c r="B217" i="1"/>
  <c r="C235" i="1"/>
  <c r="B235" i="1"/>
  <c r="C285" i="1"/>
  <c r="B285" i="1"/>
  <c r="A285" i="1"/>
  <c r="C585" i="1"/>
  <c r="B585" i="1"/>
  <c r="A585" i="1"/>
  <c r="A666" i="1"/>
  <c r="C666" i="1"/>
  <c r="B666" i="1"/>
  <c r="A870" i="1"/>
  <c r="C870" i="1"/>
  <c r="B870" i="1"/>
  <c r="B906" i="1"/>
  <c r="C906" i="1"/>
  <c r="A906" i="1"/>
  <c r="C319" i="1"/>
  <c r="B319" i="1"/>
  <c r="A319" i="1"/>
  <c r="C349" i="1"/>
  <c r="B349" i="1"/>
  <c r="C383" i="1"/>
  <c r="B383" i="1"/>
  <c r="B402" i="1"/>
  <c r="A402" i="1"/>
  <c r="C402" i="1"/>
  <c r="A734" i="1"/>
  <c r="B734" i="1"/>
  <c r="B769" i="1"/>
  <c r="A769" i="1"/>
  <c r="B789" i="1"/>
  <c r="A789" i="1"/>
  <c r="A950" i="1"/>
  <c r="C950" i="1"/>
  <c r="B950" i="1"/>
  <c r="B1085" i="1"/>
  <c r="A1085" i="1"/>
  <c r="C1085" i="1"/>
  <c r="C1156" i="1"/>
  <c r="A1156" i="1"/>
  <c r="B1156" i="1"/>
  <c r="B1234" i="1"/>
  <c r="A1234" i="1"/>
  <c r="C1342" i="1"/>
  <c r="A1342" i="1"/>
  <c r="B1342" i="1"/>
  <c r="B128" i="1"/>
  <c r="A128" i="1"/>
  <c r="A344" i="1"/>
  <c r="C344" i="1"/>
  <c r="B344" i="1"/>
  <c r="C373" i="1"/>
  <c r="B373" i="1"/>
  <c r="A449" i="1"/>
  <c r="C449" i="1"/>
  <c r="A617" i="1"/>
  <c r="B617" i="1"/>
  <c r="A638" i="1"/>
  <c r="C638" i="1"/>
  <c r="B790" i="1"/>
  <c r="A790" i="1"/>
  <c r="C790" i="1"/>
  <c r="B941" i="1"/>
  <c r="C941" i="1"/>
  <c r="A941" i="1"/>
  <c r="C1062" i="1"/>
  <c r="A1062" i="1"/>
  <c r="B1062" i="1"/>
  <c r="A1068" i="1"/>
  <c r="B1068" i="1"/>
  <c r="A1079" i="1"/>
  <c r="C1079" i="1"/>
  <c r="B1079" i="1"/>
  <c r="B1130" i="1"/>
  <c r="A1130" i="1"/>
  <c r="C1130" i="1"/>
  <c r="A1157" i="1"/>
  <c r="C1157" i="1"/>
  <c r="B1157" i="1"/>
  <c r="A1289" i="1"/>
  <c r="B1289" i="1"/>
  <c r="C1289" i="1"/>
  <c r="B1348" i="1"/>
  <c r="C1348" i="1"/>
  <c r="A1348" i="1"/>
  <c r="B1374" i="1"/>
  <c r="C1374" i="1"/>
  <c r="A1391" i="1"/>
  <c r="C1391" i="1"/>
  <c r="B1391" i="1"/>
  <c r="C1444" i="1"/>
  <c r="A1444" i="1"/>
  <c r="B1444" i="1"/>
  <c r="B100" i="1"/>
  <c r="A100" i="1"/>
  <c r="B184" i="1"/>
  <c r="A184" i="1"/>
  <c r="C251" i="1"/>
  <c r="B251" i="1"/>
  <c r="B338" i="1"/>
  <c r="A338" i="1"/>
  <c r="A25" i="1"/>
  <c r="A57" i="1"/>
  <c r="A69" i="1"/>
  <c r="A181" i="1"/>
  <c r="A185" i="1"/>
  <c r="A201" i="1"/>
  <c r="A238" i="1"/>
  <c r="A278" i="1"/>
  <c r="C278" i="1"/>
  <c r="B314" i="1"/>
  <c r="A314" i="1"/>
  <c r="A325" i="1"/>
  <c r="C493" i="1"/>
  <c r="B493" i="1"/>
  <c r="A498" i="1"/>
  <c r="B498" i="1"/>
  <c r="C507" i="1"/>
  <c r="B507" i="1"/>
  <c r="A512" i="1"/>
  <c r="B512" i="1"/>
  <c r="C512" i="1"/>
  <c r="C651" i="1"/>
  <c r="B651" i="1"/>
  <c r="A651" i="1"/>
  <c r="B698" i="1"/>
  <c r="A698" i="1"/>
  <c r="B760" i="1"/>
  <c r="A760" i="1"/>
  <c r="C760" i="1"/>
  <c r="C825" i="1"/>
  <c r="B825" i="1"/>
  <c r="A825" i="1"/>
  <c r="A1057" i="1"/>
  <c r="C1057" i="1"/>
  <c r="B1057" i="1"/>
  <c r="B1075" i="1"/>
  <c r="C1075" i="1"/>
  <c r="A1075" i="1"/>
  <c r="A13" i="1"/>
  <c r="B17" i="1"/>
  <c r="A21" i="1"/>
  <c r="B25" i="1"/>
  <c r="B45" i="1"/>
  <c r="B57" i="1"/>
  <c r="B69" i="1"/>
  <c r="A97" i="1"/>
  <c r="A105" i="1"/>
  <c r="A109" i="1"/>
  <c r="A113" i="1"/>
  <c r="A125" i="1"/>
  <c r="A169" i="1"/>
  <c r="B181" i="1"/>
  <c r="B185" i="1"/>
  <c r="A193" i="1"/>
  <c r="B197" i="1"/>
  <c r="B201" i="1"/>
  <c r="B215" i="1"/>
  <c r="A220" i="1"/>
  <c r="B238" i="1"/>
  <c r="A274" i="1"/>
  <c r="B274" i="1"/>
  <c r="C274" i="1"/>
  <c r="A279" i="1"/>
  <c r="A283" i="1"/>
  <c r="C300" i="1"/>
  <c r="B300" i="1"/>
  <c r="C310" i="1"/>
  <c r="B310" i="1"/>
  <c r="C315" i="1"/>
  <c r="B315" i="1"/>
  <c r="A315" i="1"/>
  <c r="A321" i="1"/>
  <c r="B325" i="1"/>
  <c r="C339" i="1"/>
  <c r="B339" i="1"/>
  <c r="C369" i="1"/>
  <c r="B369" i="1"/>
  <c r="C398" i="1"/>
  <c r="B398" i="1"/>
  <c r="A404" i="1"/>
  <c r="C438" i="1"/>
  <c r="B438" i="1"/>
  <c r="A513" i="1"/>
  <c r="A524" i="1"/>
  <c r="B524" i="1"/>
  <c r="C529" i="1"/>
  <c r="B529" i="1"/>
  <c r="C552" i="1"/>
  <c r="B552" i="1"/>
  <c r="A552" i="1"/>
  <c r="B612" i="1"/>
  <c r="A612" i="1"/>
  <c r="B663" i="1"/>
  <c r="A663" i="1"/>
  <c r="C663" i="1"/>
  <c r="C669" i="1"/>
  <c r="B669" i="1"/>
  <c r="B699" i="1"/>
  <c r="A699" i="1"/>
  <c r="C699" i="1"/>
  <c r="B775" i="1"/>
  <c r="A775" i="1"/>
  <c r="B946" i="1"/>
  <c r="A946" i="1"/>
  <c r="C946" i="1"/>
  <c r="C13" i="1"/>
  <c r="C17" i="1"/>
  <c r="A29" i="1"/>
  <c r="A41" i="1"/>
  <c r="C45" i="1"/>
  <c r="C97" i="1"/>
  <c r="B121" i="1"/>
  <c r="A121" i="1"/>
  <c r="A141" i="1"/>
  <c r="A161" i="1"/>
  <c r="B177" i="1"/>
  <c r="A177" i="1"/>
  <c r="A189" i="1"/>
  <c r="B193" i="1"/>
  <c r="C197" i="1"/>
  <c r="C215" i="1"/>
  <c r="C220" i="1"/>
  <c r="C270" i="1"/>
  <c r="B270" i="1"/>
  <c r="A270" i="1"/>
  <c r="A275" i="1"/>
  <c r="B288" i="1"/>
  <c r="B316" i="1"/>
  <c r="C340" i="1"/>
  <c r="B340" i="1"/>
  <c r="A340" i="1"/>
  <c r="A370" i="1"/>
  <c r="C385" i="1"/>
  <c r="B385" i="1"/>
  <c r="A399" i="1"/>
  <c r="C422" i="1"/>
  <c r="B422" i="1"/>
  <c r="C459" i="1"/>
  <c r="B459" i="1"/>
  <c r="C494" i="1"/>
  <c r="B494" i="1"/>
  <c r="A509" i="1"/>
  <c r="B583" i="1"/>
  <c r="A603" i="1"/>
  <c r="B603" i="1"/>
  <c r="B608" i="1"/>
  <c r="C608" i="1"/>
  <c r="A608" i="1"/>
  <c r="B709" i="1"/>
  <c r="C729" i="1"/>
  <c r="A729" i="1"/>
  <c r="B729" i="1"/>
  <c r="A741" i="1"/>
  <c r="C741" i="1"/>
  <c r="B741" i="1"/>
  <c r="B805" i="1"/>
  <c r="C805" i="1"/>
  <c r="A805" i="1"/>
  <c r="B967" i="1"/>
  <c r="A967" i="1"/>
  <c r="C967" i="1"/>
  <c r="A1017" i="1"/>
  <c r="C1017" i="1"/>
  <c r="B1017" i="1"/>
  <c r="B622" i="1"/>
  <c r="A622" i="1"/>
  <c r="C935" i="1"/>
  <c r="B935" i="1"/>
  <c r="A935" i="1"/>
  <c r="B29" i="1"/>
  <c r="A78" i="1"/>
  <c r="A102" i="1"/>
  <c r="B149" i="1"/>
  <c r="A149" i="1"/>
  <c r="B189" i="1"/>
  <c r="B248" i="1"/>
  <c r="C306" i="1"/>
  <c r="B306" i="1"/>
  <c r="A346" i="1"/>
  <c r="B370" i="1"/>
  <c r="A423" i="1"/>
  <c r="B489" i="1"/>
  <c r="A489" i="1"/>
  <c r="C613" i="1"/>
  <c r="B613" i="1"/>
  <c r="C630" i="1"/>
  <c r="B630" i="1"/>
  <c r="A630" i="1"/>
  <c r="B680" i="1"/>
  <c r="A684" i="1"/>
  <c r="A719" i="1"/>
  <c r="C719" i="1"/>
  <c r="A861" i="1"/>
  <c r="B861" i="1"/>
  <c r="C861" i="1"/>
  <c r="C900" i="1"/>
  <c r="B900" i="1"/>
  <c r="A900" i="1"/>
  <c r="C1160" i="1"/>
  <c r="B1160" i="1"/>
  <c r="A1160" i="1"/>
  <c r="B1177" i="1"/>
  <c r="A1177" i="1"/>
  <c r="C1177" i="1"/>
  <c r="B304" i="1"/>
  <c r="A304" i="1"/>
  <c r="A10" i="1"/>
  <c r="A50" i="1"/>
  <c r="A62" i="1"/>
  <c r="B74" i="1"/>
  <c r="A94" i="1"/>
  <c r="A130" i="1"/>
  <c r="A178" i="1"/>
  <c r="A225" i="1"/>
  <c r="B225" i="1"/>
  <c r="A230" i="1"/>
  <c r="A234" i="1"/>
  <c r="A271" i="1"/>
  <c r="B275" i="1"/>
  <c r="C334" i="1"/>
  <c r="B334" i="1"/>
  <c r="B386" i="1"/>
  <c r="A395" i="1"/>
  <c r="B399" i="1"/>
  <c r="C464" i="1"/>
  <c r="B464" i="1"/>
  <c r="B509" i="1"/>
  <c r="A658" i="1"/>
  <c r="B658" i="1"/>
  <c r="A1008" i="1"/>
  <c r="B1008" i="1"/>
  <c r="A2" i="1"/>
  <c r="B6" i="1"/>
  <c r="B46" i="1"/>
  <c r="A58" i="1"/>
  <c r="A70" i="1"/>
  <c r="C74" i="1"/>
  <c r="B78" i="1"/>
  <c r="C86" i="1"/>
  <c r="C130" i="1"/>
  <c r="A150" i="1"/>
  <c r="B206" i="1"/>
  <c r="A206" i="1"/>
  <c r="A211" i="1"/>
  <c r="B211" i="1"/>
  <c r="B216" i="1"/>
  <c r="C221" i="1"/>
  <c r="B221" i="1"/>
  <c r="A221" i="1"/>
  <c r="C248" i="1"/>
  <c r="A253" i="1"/>
  <c r="C253" i="1"/>
  <c r="C266" i="1"/>
  <c r="B266" i="1"/>
  <c r="A297" i="1"/>
  <c r="A352" i="1"/>
  <c r="A365" i="1"/>
  <c r="B365" i="1"/>
  <c r="C380" i="1"/>
  <c r="B380" i="1"/>
  <c r="C386" i="1"/>
  <c r="B391" i="1"/>
  <c r="C418" i="1"/>
  <c r="A428" i="1"/>
  <c r="C428" i="1"/>
  <c r="A470" i="1"/>
  <c r="C470" i="1"/>
  <c r="B470" i="1"/>
  <c r="C480" i="1"/>
  <c r="B480" i="1"/>
  <c r="A480" i="1"/>
  <c r="C563" i="1"/>
  <c r="A573" i="1"/>
  <c r="C578" i="1"/>
  <c r="B578" i="1"/>
  <c r="A578" i="1"/>
  <c r="A659" i="1"/>
  <c r="C659" i="1"/>
  <c r="B659" i="1"/>
  <c r="A675" i="1"/>
  <c r="B675" i="1"/>
  <c r="C675" i="1"/>
  <c r="C680" i="1"/>
  <c r="B705" i="1"/>
  <c r="B720" i="1"/>
  <c r="C720" i="1"/>
  <c r="A720" i="1"/>
  <c r="B843" i="1"/>
  <c r="A843" i="1"/>
  <c r="B983" i="1"/>
  <c r="A983" i="1"/>
  <c r="C983" i="1"/>
  <c r="C1002" i="1"/>
  <c r="B1002" i="1"/>
  <c r="B1023" i="1"/>
  <c r="A1023" i="1"/>
  <c r="C1023" i="1"/>
  <c r="C425" i="1"/>
  <c r="B425" i="1"/>
  <c r="C487" i="1"/>
  <c r="B487" i="1"/>
  <c r="A487" i="1"/>
  <c r="A519" i="1"/>
  <c r="C519" i="1"/>
  <c r="B519" i="1"/>
  <c r="A575" i="1"/>
  <c r="B575" i="1"/>
  <c r="B629" i="1"/>
  <c r="A629" i="1"/>
  <c r="B765" i="1"/>
  <c r="C765" i="1"/>
  <c r="B818" i="1"/>
  <c r="A818" i="1"/>
  <c r="C818" i="1"/>
  <c r="C858" i="1"/>
  <c r="B858" i="1"/>
  <c r="A858" i="1"/>
  <c r="C1111" i="1"/>
  <c r="A1111" i="1"/>
  <c r="B1111" i="1"/>
  <c r="A1164" i="1"/>
  <c r="B1164" i="1"/>
  <c r="A1193" i="1"/>
  <c r="B1193" i="1"/>
  <c r="C1193" i="1"/>
  <c r="B107" i="1"/>
  <c r="A107" i="1"/>
  <c r="B156" i="1"/>
  <c r="A156" i="1"/>
  <c r="C202" i="1"/>
  <c r="B202" i="1"/>
  <c r="B289" i="1"/>
  <c r="A289" i="1"/>
  <c r="A335" i="1"/>
  <c r="C351" i="1"/>
  <c r="C376" i="1"/>
  <c r="A401" i="1"/>
  <c r="A426" i="1"/>
  <c r="C435" i="1"/>
  <c r="C465" i="1"/>
  <c r="C501" i="1"/>
  <c r="B501" i="1"/>
  <c r="C505" i="1"/>
  <c r="C566" i="1"/>
  <c r="B566" i="1"/>
  <c r="C571" i="1"/>
  <c r="B571" i="1"/>
  <c r="A571" i="1"/>
  <c r="A595" i="1"/>
  <c r="B599" i="1"/>
  <c r="C634" i="1"/>
  <c r="B634" i="1"/>
  <c r="C685" i="1"/>
  <c r="A685" i="1"/>
  <c r="A695" i="1"/>
  <c r="C695" i="1"/>
  <c r="B695" i="1"/>
  <c r="C726" i="1"/>
  <c r="B882" i="1"/>
  <c r="A882" i="1"/>
  <c r="C882" i="1"/>
  <c r="B1004" i="1"/>
  <c r="C1004" i="1"/>
  <c r="A1004" i="1"/>
  <c r="A1097" i="1"/>
  <c r="B1097" i="1"/>
  <c r="C1097" i="1"/>
  <c r="C1137" i="1"/>
  <c r="C1142" i="1"/>
  <c r="B1142" i="1"/>
  <c r="A1142" i="1"/>
  <c r="A1247" i="1"/>
  <c r="C1247" i="1"/>
  <c r="B1247" i="1"/>
  <c r="B327" i="1"/>
  <c r="C368" i="1"/>
  <c r="B368" i="1"/>
  <c r="A368" i="1"/>
  <c r="A372" i="1"/>
  <c r="B372" i="1"/>
  <c r="A389" i="1"/>
  <c r="B393" i="1"/>
  <c r="A421" i="1"/>
  <c r="C421" i="1"/>
  <c r="B421" i="1"/>
  <c r="A461" i="1"/>
  <c r="A475" i="1"/>
  <c r="A520" i="1"/>
  <c r="B520" i="1"/>
  <c r="B587" i="1"/>
  <c r="B645" i="1"/>
  <c r="A656" i="1"/>
  <c r="B696" i="1"/>
  <c r="A696" i="1"/>
  <c r="C696" i="1"/>
  <c r="B819" i="1"/>
  <c r="A819" i="1"/>
  <c r="A865" i="1"/>
  <c r="C865" i="1"/>
  <c r="C883" i="1"/>
  <c r="B883" i="1"/>
  <c r="A883" i="1"/>
  <c r="C940" i="1"/>
  <c r="B940" i="1"/>
  <c r="A940" i="1"/>
  <c r="C998" i="1"/>
  <c r="B998" i="1"/>
  <c r="C1005" i="1"/>
  <c r="B1005" i="1"/>
  <c r="A1005" i="1"/>
  <c r="A1103" i="1"/>
  <c r="B1103" i="1"/>
  <c r="C1132" i="1"/>
  <c r="A1132" i="1"/>
  <c r="C1159" i="1"/>
  <c r="B1159" i="1"/>
  <c r="A1159" i="1"/>
  <c r="C1188" i="1"/>
  <c r="B1188" i="1"/>
  <c r="C431" i="1"/>
  <c r="B431" i="1"/>
  <c r="C466" i="1"/>
  <c r="B466" i="1"/>
  <c r="A526" i="1"/>
  <c r="C526" i="1"/>
  <c r="C557" i="1"/>
  <c r="B557" i="1"/>
  <c r="B616" i="1"/>
  <c r="A616" i="1"/>
  <c r="C616" i="1"/>
  <c r="B716" i="1"/>
  <c r="A716" i="1"/>
  <c r="C716" i="1"/>
  <c r="B732" i="1"/>
  <c r="A732" i="1"/>
  <c r="C732" i="1"/>
  <c r="C743" i="1"/>
  <c r="B743" i="1"/>
  <c r="C748" i="1"/>
  <c r="B748" i="1"/>
  <c r="B782" i="1"/>
  <c r="C782" i="1"/>
  <c r="A837" i="1"/>
  <c r="C837" i="1"/>
  <c r="B837" i="1"/>
  <c r="C854" i="1"/>
  <c r="B854" i="1"/>
  <c r="A854" i="1"/>
  <c r="B918" i="1"/>
  <c r="C918" i="1"/>
  <c r="B1067" i="1"/>
  <c r="A1067" i="1"/>
  <c r="C1067" i="1"/>
  <c r="B1123" i="1"/>
  <c r="A1123" i="1"/>
  <c r="C1123" i="1"/>
  <c r="C364" i="1"/>
  <c r="B364" i="1"/>
  <c r="B93" i="1"/>
  <c r="A93" i="1"/>
  <c r="B142" i="1"/>
  <c r="A142" i="1"/>
  <c r="B191" i="1"/>
  <c r="A191" i="1"/>
  <c r="C453" i="1"/>
  <c r="A453" i="1"/>
  <c r="B516" i="1"/>
  <c r="C516" i="1"/>
  <c r="C536" i="1"/>
  <c r="B536" i="1"/>
  <c r="C562" i="1"/>
  <c r="B562" i="1"/>
  <c r="B601" i="1"/>
  <c r="C601" i="1"/>
  <c r="B657" i="1"/>
  <c r="C657" i="1"/>
  <c r="A657" i="1"/>
  <c r="C733" i="1"/>
  <c r="B733" i="1"/>
  <c r="A733" i="1"/>
  <c r="A919" i="1"/>
  <c r="C919" i="1"/>
  <c r="B919" i="1"/>
  <c r="B1144" i="1"/>
  <c r="C1144" i="1"/>
  <c r="A1144" i="1"/>
  <c r="A1270" i="1"/>
  <c r="C1270" i="1"/>
  <c r="B1270" i="1"/>
  <c r="C508" i="1"/>
  <c r="B508" i="1"/>
  <c r="C620" i="1"/>
  <c r="A620" i="1"/>
  <c r="B828" i="1"/>
  <c r="A828" i="1"/>
  <c r="B859" i="1"/>
  <c r="A859" i="1"/>
  <c r="A880" i="1"/>
  <c r="C880" i="1"/>
  <c r="B1102" i="1"/>
  <c r="C1102" i="1"/>
  <c r="A1102" i="1"/>
  <c r="A1180" i="1"/>
  <c r="C1180" i="1"/>
  <c r="A1221" i="1"/>
  <c r="C1221" i="1"/>
  <c r="B1221" i="1"/>
  <c r="B1250" i="1"/>
  <c r="C1250" i="1"/>
  <c r="A1250" i="1"/>
  <c r="C1399" i="1"/>
  <c r="B1399" i="1"/>
  <c r="A1399" i="1"/>
  <c r="B1412" i="1"/>
  <c r="A1412" i="1"/>
  <c r="C1412" i="1"/>
  <c r="C1419" i="1"/>
  <c r="B1419" i="1"/>
  <c r="A1419" i="1"/>
  <c r="C1458" i="1"/>
  <c r="A1458" i="1"/>
  <c r="B1458" i="1"/>
  <c r="C1475" i="1"/>
  <c r="B1475" i="1"/>
  <c r="A1475" i="1"/>
  <c r="C655" i="1"/>
  <c r="B655" i="1"/>
  <c r="A655" i="1"/>
  <c r="B845" i="1"/>
  <c r="C845" i="1"/>
  <c r="A845" i="1"/>
  <c r="A850" i="1"/>
  <c r="B850" i="1"/>
  <c r="C866" i="1"/>
  <c r="B866" i="1"/>
  <c r="C872" i="1"/>
  <c r="B872" i="1"/>
  <c r="A872" i="1"/>
  <c r="A876" i="1"/>
  <c r="B876" i="1"/>
  <c r="B997" i="1"/>
  <c r="A997" i="1"/>
  <c r="C997" i="1"/>
  <c r="B1093" i="1"/>
  <c r="A1093" i="1"/>
  <c r="C1093" i="1"/>
  <c r="B1187" i="1"/>
  <c r="C1187" i="1"/>
  <c r="B1229" i="1"/>
  <c r="C1229" i="1"/>
  <c r="C1252" i="1"/>
  <c r="B1252" i="1"/>
  <c r="A1252" i="1"/>
  <c r="C1301" i="1"/>
  <c r="B1301" i="1"/>
  <c r="A1301" i="1"/>
  <c r="C424" i="1"/>
  <c r="B424" i="1"/>
  <c r="C522" i="1"/>
  <c r="B522" i="1"/>
  <c r="A703" i="1"/>
  <c r="A711" i="1"/>
  <c r="B753" i="1"/>
  <c r="A753" i="1"/>
  <c r="A794" i="1"/>
  <c r="A803" i="1"/>
  <c r="A826" i="1"/>
  <c r="C826" i="1"/>
  <c r="B878" i="1"/>
  <c r="C878" i="1"/>
  <c r="A884" i="1"/>
  <c r="A907" i="1"/>
  <c r="C907" i="1"/>
  <c r="A952" i="1"/>
  <c r="C952" i="1"/>
  <c r="B952" i="1"/>
  <c r="B961" i="1"/>
  <c r="A961" i="1"/>
  <c r="B980" i="1"/>
  <c r="C980" i="1"/>
  <c r="A999" i="1"/>
  <c r="B999" i="1"/>
  <c r="C999" i="1"/>
  <c r="A1006" i="1"/>
  <c r="A1059" i="1"/>
  <c r="B1059" i="1"/>
  <c r="C1139" i="1"/>
  <c r="A1139" i="1"/>
  <c r="B1139" i="1"/>
  <c r="C1259" i="1"/>
  <c r="A1259" i="1"/>
  <c r="B1259" i="1"/>
  <c r="C1308" i="1"/>
  <c r="B1308" i="1"/>
  <c r="A1308" i="1"/>
  <c r="A1134" i="1"/>
  <c r="C1134" i="1"/>
  <c r="B1134" i="1"/>
  <c r="C1315" i="1"/>
  <c r="B1315" i="1"/>
  <c r="A1403" i="1"/>
  <c r="C1403" i="1"/>
  <c r="B1403" i="1"/>
  <c r="C1479" i="1"/>
  <c r="A1479" i="1"/>
  <c r="B1479" i="1"/>
  <c r="B852" i="1"/>
  <c r="C852" i="1"/>
  <c r="B857" i="1"/>
  <c r="A857" i="1"/>
  <c r="C857" i="1"/>
  <c r="C868" i="1"/>
  <c r="B868" i="1"/>
  <c r="A868" i="1"/>
  <c r="B962" i="1"/>
  <c r="A962" i="1"/>
  <c r="A1045" i="1"/>
  <c r="B1045" i="1"/>
  <c r="C1045" i="1"/>
  <c r="B1081" i="1"/>
  <c r="C1081" i="1"/>
  <c r="A1081" i="1"/>
  <c r="C1237" i="1"/>
  <c r="B1237" i="1"/>
  <c r="A1237" i="1"/>
  <c r="C1280" i="1"/>
  <c r="A1280" i="1"/>
  <c r="B1280" i="1"/>
  <c r="B1327" i="1"/>
  <c r="C1327" i="1"/>
  <c r="A1327" i="1"/>
  <c r="B1370" i="1"/>
  <c r="A1370" i="1"/>
  <c r="B1446" i="1"/>
  <c r="C1446" i="1"/>
  <c r="A1446" i="1"/>
  <c r="A1480" i="1"/>
  <c r="C1480" i="1"/>
  <c r="B1480" i="1"/>
  <c r="A433" i="1"/>
  <c r="C452" i="1"/>
  <c r="B452" i="1"/>
  <c r="C550" i="1"/>
  <c r="B550" i="1"/>
  <c r="C417" i="1"/>
  <c r="B417" i="1"/>
  <c r="B484" i="1"/>
  <c r="A492" i="1"/>
  <c r="A496" i="1"/>
  <c r="C515" i="1"/>
  <c r="B515" i="1"/>
  <c r="A535" i="1"/>
  <c r="A551" i="1"/>
  <c r="B582" i="1"/>
  <c r="A606" i="1"/>
  <c r="A615" i="1"/>
  <c r="B628" i="1"/>
  <c r="A636" i="1"/>
  <c r="A640" i="1"/>
  <c r="A644" i="1"/>
  <c r="A704" i="1"/>
  <c r="A708" i="1"/>
  <c r="B737" i="1"/>
  <c r="B767" i="1"/>
  <c r="A767" i="1"/>
  <c r="C767" i="1"/>
  <c r="B781" i="1"/>
  <c r="A781" i="1"/>
  <c r="C781" i="1"/>
  <c r="C795" i="1"/>
  <c r="B795" i="1"/>
  <c r="A795" i="1"/>
  <c r="A822" i="1"/>
  <c r="B822" i="1"/>
  <c r="A832" i="1"/>
  <c r="B832" i="1"/>
  <c r="C832" i="1"/>
  <c r="A869" i="1"/>
  <c r="B885" i="1"/>
  <c r="A885" i="1"/>
  <c r="C885" i="1"/>
  <c r="A903" i="1"/>
  <c r="B903" i="1"/>
  <c r="B917" i="1"/>
  <c r="C917" i="1"/>
  <c r="A917" i="1"/>
  <c r="B938" i="1"/>
  <c r="C938" i="1"/>
  <c r="B977" i="1"/>
  <c r="B1026" i="1"/>
  <c r="A1026" i="1"/>
  <c r="B1055" i="1"/>
  <c r="A1055" i="1"/>
  <c r="B1065" i="1"/>
  <c r="A1065" i="1"/>
  <c r="A1082" i="1"/>
  <c r="C1173" i="1"/>
  <c r="A1173" i="1"/>
  <c r="C1196" i="1"/>
  <c r="B1196" i="1"/>
  <c r="A1196" i="1"/>
  <c r="A1207" i="1"/>
  <c r="C1207" i="1"/>
  <c r="B1207" i="1"/>
  <c r="A1303" i="1"/>
  <c r="C1303" i="1"/>
  <c r="C445" i="1"/>
  <c r="B445" i="1"/>
  <c r="A508" i="1"/>
  <c r="C543" i="1"/>
  <c r="B543" i="1"/>
  <c r="C547" i="1"/>
  <c r="C594" i="1"/>
  <c r="B620" i="1"/>
  <c r="A624" i="1"/>
  <c r="B624" i="1"/>
  <c r="B662" i="1"/>
  <c r="C679" i="1"/>
  <c r="C687" i="1"/>
  <c r="C755" i="1"/>
  <c r="C768" i="1"/>
  <c r="B768" i="1"/>
  <c r="B808" i="1"/>
  <c r="A808" i="1"/>
  <c r="B817" i="1"/>
  <c r="C817" i="1"/>
  <c r="A817" i="1"/>
  <c r="C828" i="1"/>
  <c r="C859" i="1"/>
  <c r="B880" i="1"/>
  <c r="C886" i="1"/>
  <c r="B899" i="1"/>
  <c r="A899" i="1"/>
  <c r="C899" i="1"/>
  <c r="B929" i="1"/>
  <c r="A929" i="1"/>
  <c r="C929" i="1"/>
  <c r="C964" i="1"/>
  <c r="A964" i="1"/>
  <c r="B969" i="1"/>
  <c r="A969" i="1"/>
  <c r="C982" i="1"/>
  <c r="B982" i="1"/>
  <c r="A982" i="1"/>
  <c r="C1027" i="1"/>
  <c r="A1027" i="1"/>
  <c r="C1071" i="1"/>
  <c r="A1071" i="1"/>
  <c r="B1071" i="1"/>
  <c r="A1101" i="1"/>
  <c r="C1101" i="1"/>
  <c r="B1101" i="1"/>
  <c r="A1115" i="1"/>
  <c r="C1115" i="1"/>
  <c r="B1180" i="1"/>
  <c r="A1184" i="1"/>
  <c r="C1184" i="1"/>
  <c r="C1213" i="1"/>
  <c r="A1213" i="1"/>
  <c r="B1015" i="1"/>
  <c r="A1015" i="1"/>
  <c r="B1083" i="1"/>
  <c r="A1083" i="1"/>
  <c r="B1163" i="1"/>
  <c r="C1163" i="1"/>
  <c r="A1163" i="1"/>
  <c r="A1233" i="1"/>
  <c r="B1233" i="1"/>
  <c r="C1233" i="1"/>
  <c r="A1284" i="1"/>
  <c r="B1284" i="1"/>
  <c r="C1284" i="1"/>
  <c r="A1389" i="1"/>
  <c r="C1389" i="1"/>
  <c r="B1389" i="1"/>
  <c r="B1039" i="1"/>
  <c r="A1039" i="1"/>
  <c r="B1053" i="1"/>
  <c r="C1053" i="1"/>
  <c r="A1053" i="1"/>
  <c r="B1148" i="1"/>
  <c r="A1148" i="1"/>
  <c r="B1189" i="1"/>
  <c r="C1189" i="1"/>
  <c r="A1254" i="1"/>
  <c r="C1254" i="1"/>
  <c r="B1254" i="1"/>
  <c r="B1314" i="1"/>
  <c r="A1314" i="1"/>
  <c r="C1314" i="1"/>
  <c r="B1325" i="1"/>
  <c r="A1325" i="1"/>
  <c r="C1335" i="1"/>
  <c r="B1335" i="1"/>
  <c r="B788" i="1"/>
  <c r="A788" i="1"/>
  <c r="C835" i="1"/>
  <c r="B835" i="1"/>
  <c r="A835" i="1"/>
  <c r="B898" i="1"/>
  <c r="A898" i="1"/>
  <c r="B925" i="1"/>
  <c r="A925" i="1"/>
  <c r="B934" i="1"/>
  <c r="C934" i="1"/>
  <c r="B948" i="1"/>
  <c r="A948" i="1"/>
  <c r="C948" i="1"/>
  <c r="B1201" i="1"/>
  <c r="C1201" i="1"/>
  <c r="B1208" i="1"/>
  <c r="C1208" i="1"/>
  <c r="A1208" i="1"/>
  <c r="C1266" i="1"/>
  <c r="B1266" i="1"/>
  <c r="A1297" i="1"/>
  <c r="B1297" i="1"/>
  <c r="C1297" i="1"/>
  <c r="A1375" i="1"/>
  <c r="C1375" i="1"/>
  <c r="B1375" i="1"/>
  <c r="B718" i="1"/>
  <c r="A718" i="1"/>
  <c r="C718" i="1"/>
  <c r="B1041" i="1"/>
  <c r="A1041" i="1"/>
  <c r="B1046" i="1"/>
  <c r="A1046" i="1"/>
  <c r="A1155" i="1"/>
  <c r="B1166" i="1"/>
  <c r="A1191" i="1"/>
  <c r="C1191" i="1"/>
  <c r="C1203" i="1"/>
  <c r="B1203" i="1"/>
  <c r="A1203" i="1"/>
  <c r="A1214" i="1"/>
  <c r="C1214" i="1"/>
  <c r="B1214" i="1"/>
  <c r="B1220" i="1"/>
  <c r="A1220" i="1"/>
  <c r="C1220" i="1"/>
  <c r="C1241" i="1"/>
  <c r="B1241" i="1"/>
  <c r="A1256" i="1"/>
  <c r="C1256" i="1"/>
  <c r="C1287" i="1"/>
  <c r="A1287" i="1"/>
  <c r="B1287" i="1"/>
  <c r="B1355" i="1"/>
  <c r="C1355" i="1"/>
  <c r="A1355" i="1"/>
  <c r="B739" i="1"/>
  <c r="A739" i="1"/>
  <c r="B810" i="1"/>
  <c r="A810" i="1"/>
  <c r="C810" i="1"/>
  <c r="A968" i="1"/>
  <c r="B968" i="1"/>
  <c r="B1032" i="1"/>
  <c r="A1032" i="1"/>
  <c r="A1066" i="1"/>
  <c r="C1066" i="1"/>
  <c r="B1121" i="1"/>
  <c r="A1121" i="1"/>
  <c r="B1155" i="1"/>
  <c r="B1215" i="1"/>
  <c r="C1215" i="1"/>
  <c r="A1215" i="1"/>
  <c r="B1257" i="1"/>
  <c r="C1257" i="1"/>
  <c r="A1257" i="1"/>
  <c r="C1350" i="1"/>
  <c r="A1350" i="1"/>
  <c r="C1371" i="1"/>
  <c r="A1371" i="1"/>
  <c r="A1171" i="1"/>
  <c r="B1171" i="1"/>
  <c r="C1186" i="1"/>
  <c r="B1186" i="1"/>
  <c r="A1186" i="1"/>
  <c r="A1242" i="1"/>
  <c r="B1242" i="1"/>
  <c r="C1273" i="1"/>
  <c r="B1273" i="1"/>
  <c r="A1273" i="1"/>
  <c r="A1317" i="1"/>
  <c r="C1317" i="1"/>
  <c r="B1411" i="1"/>
  <c r="C1411" i="1"/>
  <c r="A1411" i="1"/>
  <c r="B1418" i="1"/>
  <c r="C1418" i="1"/>
  <c r="A1418" i="1"/>
  <c r="A1424" i="1"/>
  <c r="B1424" i="1"/>
  <c r="C1424" i="1"/>
  <c r="C1013" i="1"/>
  <c r="B1013" i="1"/>
  <c r="A1013" i="1"/>
  <c r="B1073" i="1"/>
  <c r="C1073" i="1"/>
  <c r="A1073" i="1"/>
  <c r="B1095" i="1"/>
  <c r="A1095" i="1"/>
  <c r="A1117" i="1"/>
  <c r="C1117" i="1"/>
  <c r="B1117" i="1"/>
  <c r="A1136" i="1"/>
  <c r="B1136" i="1"/>
  <c r="A1205" i="1"/>
  <c r="B1205" i="1"/>
  <c r="A1305" i="1"/>
  <c r="C1305" i="1"/>
  <c r="B1305" i="1"/>
  <c r="A1310" i="1"/>
  <c r="B1310" i="1"/>
  <c r="C1364" i="1"/>
  <c r="A1364" i="1"/>
  <c r="B1364" i="1"/>
  <c r="C1385" i="1"/>
  <c r="B1385" i="1"/>
  <c r="A1385" i="1"/>
  <c r="B1478" i="1"/>
  <c r="A1478" i="1"/>
  <c r="B1313" i="1"/>
  <c r="C1313" i="1"/>
  <c r="A1313" i="1"/>
  <c r="A1319" i="1"/>
  <c r="B1319" i="1"/>
  <c r="A1366" i="1"/>
  <c r="B1366" i="1"/>
  <c r="B1440" i="1"/>
  <c r="C1440" i="1"/>
  <c r="B746" i="1"/>
  <c r="A746" i="1"/>
  <c r="C887" i="1"/>
  <c r="B887" i="1"/>
  <c r="A887" i="1"/>
  <c r="C963" i="1"/>
  <c r="B963" i="1"/>
  <c r="A963" i="1"/>
  <c r="B1001" i="1"/>
  <c r="A1001" i="1"/>
  <c r="B1061" i="1"/>
  <c r="A1061" i="1"/>
  <c r="A1202" i="1"/>
  <c r="C1202" i="1"/>
  <c r="B1320" i="1"/>
  <c r="C1320" i="1"/>
  <c r="A1320" i="1"/>
  <c r="B1334" i="1"/>
  <c r="C1334" i="1"/>
  <c r="A1345" i="1"/>
  <c r="C1345" i="1"/>
  <c r="A1361" i="1"/>
  <c r="C1361" i="1"/>
  <c r="B1402" i="1"/>
  <c r="A1402" i="1"/>
  <c r="B1432" i="1"/>
  <c r="C1432" i="1"/>
  <c r="A1432" i="1"/>
  <c r="B1482" i="1"/>
  <c r="A1482" i="1"/>
  <c r="C1167" i="1"/>
  <c r="B1167" i="1"/>
  <c r="A1195" i="1"/>
  <c r="C1195" i="1"/>
  <c r="B1222" i="1"/>
  <c r="C1222" i="1"/>
  <c r="B1227" i="1"/>
  <c r="C1227" i="1"/>
  <c r="B1243" i="1"/>
  <c r="C1243" i="1"/>
  <c r="A1263" i="1"/>
  <c r="C1263" i="1"/>
  <c r="B1397" i="1"/>
  <c r="C1397" i="1"/>
  <c r="B1404" i="1"/>
  <c r="C1404" i="1"/>
  <c r="B1460" i="1"/>
  <c r="C1460" i="1"/>
  <c r="A1460" i="1"/>
  <c r="C1483" i="1"/>
  <c r="B1483" i="1"/>
  <c r="A1483" i="1"/>
  <c r="C824" i="1"/>
  <c r="C1025" i="1"/>
  <c r="B1172" i="1"/>
  <c r="A1172" i="1"/>
  <c r="A1291" i="1"/>
  <c r="B1291" i="1"/>
  <c r="A1312" i="1"/>
  <c r="C1312" i="1"/>
  <c r="B1312" i="1"/>
  <c r="B1318" i="1"/>
  <c r="A1318" i="1"/>
  <c r="C1433" i="1"/>
  <c r="B1433" i="1"/>
  <c r="A1438" i="1"/>
  <c r="B1438" i="1"/>
  <c r="B1223" i="1"/>
  <c r="A1223" i="1"/>
  <c r="B1264" i="1"/>
  <c r="C1264" i="1"/>
  <c r="A1338" i="1"/>
  <c r="B1338" i="1"/>
  <c r="A1368" i="1"/>
  <c r="B1368" i="1"/>
  <c r="A1382" i="1"/>
  <c r="B1382" i="1"/>
  <c r="C1405" i="1"/>
  <c r="B1405" i="1"/>
  <c r="B1416" i="1"/>
  <c r="A1416" i="1"/>
  <c r="A1445" i="1"/>
  <c r="B1445" i="1"/>
  <c r="C1472" i="1"/>
  <c r="A1472" i="1"/>
  <c r="B1165" i="1"/>
  <c r="C1165" i="1"/>
  <c r="A1240" i="1"/>
  <c r="B1240" i="1"/>
  <c r="A1261" i="1"/>
  <c r="C1261" i="1"/>
  <c r="B1261" i="1"/>
  <c r="B1341" i="1"/>
  <c r="C1341" i="1"/>
  <c r="C1346" i="1"/>
  <c r="B1346" i="1"/>
  <c r="C1413" i="1"/>
  <c r="B1413" i="1"/>
  <c r="C1447" i="1"/>
  <c r="B1447" i="1"/>
  <c r="A1452" i="1"/>
  <c r="B1452" i="1"/>
  <c r="C1210" i="1"/>
  <c r="B1210" i="1"/>
  <c r="B1285" i="1"/>
  <c r="C1285" i="1"/>
  <c r="B1299" i="1"/>
  <c r="C1299" i="1"/>
  <c r="A1401" i="1"/>
  <c r="B1401" i="1"/>
  <c r="C1461" i="1"/>
  <c r="B1461" i="1"/>
  <c r="A1466" i="1"/>
  <c r="B1466" i="1"/>
  <c r="B1179" i="1"/>
  <c r="A1179" i="1"/>
  <c r="B1236" i="1"/>
  <c r="C1236" i="1"/>
  <c r="A1331" i="1"/>
  <c r="B1331" i="1"/>
  <c r="B1383" i="1"/>
  <c r="C1383" i="1"/>
  <c r="B1398" i="1"/>
  <c r="A1398" i="1"/>
  <c r="A1415" i="1"/>
  <c r="B1415" i="1"/>
  <c r="B1474" i="1"/>
  <c r="C1474" i="1"/>
  <c r="A1474" i="1"/>
  <c r="C1427" i="1"/>
  <c r="A1427" i="1"/>
  <c r="C1441" i="1"/>
  <c r="A1441" i="1"/>
  <c r="C1455" i="1"/>
  <c r="A1455" i="1"/>
  <c r="C1469" i="1"/>
  <c r="A1469" i="1"/>
  <c r="B1278" i="1"/>
  <c r="C1278" i="1"/>
  <c r="C1359" i="1"/>
  <c r="B1376" i="1"/>
  <c r="C1376" i="1"/>
  <c r="B1406" i="1"/>
  <c r="C1410" i="1"/>
  <c r="B1194" i="1"/>
  <c r="C1194" i="1"/>
  <c r="B1292" i="1"/>
  <c r="C1292" i="1"/>
  <c r="B1390" i="1"/>
  <c r="C1390" i="1"/>
  <c r="C1420" i="1"/>
  <c r="A1420" i="1"/>
  <c r="C1434" i="1"/>
  <c r="A1434" i="1"/>
  <c r="C1448" i="1"/>
  <c r="A1448" i="1"/>
  <c r="C1462" i="1"/>
  <c r="A1462" i="1"/>
  <c r="C1476" i="1"/>
  <c r="A1476" i="1"/>
  <c r="B1271" i="1"/>
  <c r="C1271" i="1"/>
  <c r="B1369" i="1"/>
  <c r="C1369" i="1"/>
  <c r="B1425" i="1"/>
  <c r="C1425" i="1"/>
  <c r="B1439" i="1"/>
  <c r="C1439" i="1"/>
  <c r="B1453" i="1"/>
  <c r="C1453" i="1"/>
  <c r="B1467" i="1"/>
  <c r="C1467" i="1"/>
  <c r="A1486" i="1"/>
  <c r="A1484" i="1"/>
  <c r="B1484" i="1"/>
</calcChain>
</file>

<file path=xl/sharedStrings.xml><?xml version="1.0" encoding="utf-8"?>
<sst xmlns="http://schemas.openxmlformats.org/spreadsheetml/2006/main" count="25071" uniqueCount="4764">
  <si>
    <t>Date Hour appointement</t>
  </si>
  <si>
    <t>ShipID</t>
  </si>
  <si>
    <t>ShipID / Delivery</t>
  </si>
  <si>
    <t>OrderID</t>
  </si>
  <si>
    <t>Flow</t>
  </si>
  <si>
    <t>Haulier</t>
  </si>
  <si>
    <t>Haulier loading comment</t>
  </si>
  <si>
    <t>WH comment</t>
  </si>
  <si>
    <t>Pallets returns</t>
  </si>
  <si>
    <t>Loading Point</t>
  </si>
  <si>
    <t>Delivery Point</t>
  </si>
  <si>
    <t>Total boxes</t>
  </si>
  <si>
    <t>Total ML</t>
  </si>
  <si>
    <t>Total weight (kg)</t>
  </si>
  <si>
    <t>Ideo CT comment</t>
  </si>
  <si>
    <t>Type of capacity</t>
  </si>
  <si>
    <t>Gate Number</t>
  </si>
  <si>
    <t>planned delivery date</t>
  </si>
  <si>
    <t>Trailer Plate</t>
  </si>
  <si>
    <t>Distinct SKU qty</t>
  </si>
  <si>
    <t>Haulier deliv. comment</t>
  </si>
  <si>
    <t>Co-loading</t>
  </si>
  <si>
    <t>Loading status</t>
  </si>
  <si>
    <t>Trailer type</t>
  </si>
  <si>
    <t>Loading instructions</t>
  </si>
  <si>
    <t>Delivery instructions</t>
  </si>
  <si>
    <t>Not managed Booking Haulier email</t>
  </si>
  <si>
    <t>Ship-To Ref</t>
  </si>
  <si>
    <t>Loading Incident Comment</t>
  </si>
  <si>
    <t>Loading Incident</t>
  </si>
  <si>
    <t>Documents</t>
  </si>
  <si>
    <t>References</t>
  </si>
  <si>
    <t>Truck Plate</t>
  </si>
  <si>
    <t>Driver</t>
  </si>
  <si>
    <t>Driver Phone Number</t>
  </si>
  <si>
    <t>364771_OOS</t>
  </si>
  <si>
    <t>Loading</t>
  </si>
  <si>
    <t>MEA-SEA_OOS</t>
  </si>
  <si>
    <t>Aval non piloté_EN</t>
  </si>
  <si>
    <t>HELLMANN</t>
  </si>
  <si>
    <t>No</t>
  </si>
  <si>
    <t>NL Haps DC (DSV)</t>
  </si>
  <si>
    <t>OOS_OUT - Delivery OOS</t>
  </si>
  <si>
    <t xml:space="preserve">ELN 5018892911  </t>
  </si>
  <si>
    <t>2 Export</t>
  </si>
  <si>
    <t>02/10/2025 10:00-10:00</t>
  </si>
  <si>
    <t>Shipped/Received</t>
  </si>
  <si>
    <t>Direct</t>
  </si>
  <si>
    <t>mdc.transport@danone.com</t>
  </si>
  <si>
    <t>&amp;nbsp</t>
  </si>
  <si>
    <t>0006069400_4900</t>
  </si>
  <si>
    <t>Primary flows</t>
  </si>
  <si>
    <t>SAMSKIP FOR SN 3PO</t>
  </si>
  <si>
    <t>REDD - GB Redditch</t>
  </si>
  <si>
    <t>1  01</t>
  </si>
  <si>
    <t>1 Loading</t>
  </si>
  <si>
    <t>07/10/2025 23:00-23:00</t>
  </si>
  <si>
    <t>HAPSDCUK20251001-02</t>
  </si>
  <si>
    <t>362404_OOS</t>
  </si>
  <si>
    <t>AU-SEA-6058453_OOS</t>
  </si>
  <si>
    <t>MAERSK - Control Tower</t>
  </si>
  <si>
    <t>02/10/2025 00:01-00:01</t>
  </si>
  <si>
    <t>nutricia.ct.eu@lns.maersk.com</t>
  </si>
  <si>
    <t>359734_OOS</t>
  </si>
  <si>
    <t>BR-SEA-6048318_OOS</t>
  </si>
  <si>
    <t>0006060474_4900</t>
  </si>
  <si>
    <t>BELF - IE Belfast (Moviento)</t>
  </si>
  <si>
    <t>08/10/2025 16:00-16:00</t>
  </si>
  <si>
    <t>HAPSDCIE20251001-01</t>
  </si>
  <si>
    <t>362405_OOS</t>
  </si>
  <si>
    <t>AU-SEA-6058454_OOS</t>
  </si>
  <si>
    <t>362406_OOS</t>
  </si>
  <si>
    <t>AU-SEA-6058455_OOS</t>
  </si>
  <si>
    <t>359744_OOS</t>
  </si>
  <si>
    <t>BR-SEA-6048322_OOS</t>
  </si>
  <si>
    <t xml:space="preserve">5018948062 5018958924 </t>
  </si>
  <si>
    <t>0006060477_4900</t>
  </si>
  <si>
    <t>453524 / 447455</t>
  </si>
  <si>
    <t>Primary flows / Primary flows</t>
  </si>
  <si>
    <t>VEST - NO Vestby Leman / VEST - NO Vestby Leman</t>
  </si>
  <si>
    <t>08/10/2025 15:00-15:00</t>
  </si>
  <si>
    <t xml:space="preserve"> / </t>
  </si>
  <si>
    <t>HAPSDCNO20251001-01 / HAPSDCNO20251001-01</t>
  </si>
  <si>
    <t>5019067750 / 5019057061</t>
  </si>
  <si>
    <t>0006069401_4900</t>
  </si>
  <si>
    <t>HAPSDCUK20251001-03</t>
  </si>
  <si>
    <t>364818_OOS</t>
  </si>
  <si>
    <t>ELN 5019014808</t>
  </si>
  <si>
    <t>0006060478_4900</t>
  </si>
  <si>
    <t>HART LOGISTICS FOR SN 3PO</t>
  </si>
  <si>
    <t>GRAB - PL Grabica</t>
  </si>
  <si>
    <t>1 01</t>
  </si>
  <si>
    <t>03/10/2025 12:00-12:00</t>
  </si>
  <si>
    <t>HAPSDCPL20251001-01</t>
  </si>
  <si>
    <t>364852_OOS</t>
  </si>
  <si>
    <t xml:space="preserve">ELN 5018976105 5019011901 </t>
  </si>
  <si>
    <t>0006069402_4900</t>
  </si>
  <si>
    <t>HAPSDCUK20251001-04</t>
  </si>
  <si>
    <t>365368_OOS</t>
  </si>
  <si>
    <t>GEODIS</t>
  </si>
  <si>
    <t>ELN 5019010887</t>
  </si>
  <si>
    <t>3 Under 10 pal</t>
  </si>
  <si>
    <t>Scheduled</t>
  </si>
  <si>
    <t>MAROCCO</t>
  </si>
  <si>
    <t>SRTMS181127</t>
  </si>
  <si>
    <t>363239_OOS</t>
  </si>
  <si>
    <t>TR-ROAD_OOS</t>
  </si>
  <si>
    <t>Intercombi</t>
  </si>
  <si>
    <t>02/10/2025 12:00-12:00</t>
  </si>
  <si>
    <t>seray.sezer@intercombi.com</t>
  </si>
  <si>
    <t>363364_OOS</t>
  </si>
  <si>
    <t>CN-AIR_OOS</t>
  </si>
  <si>
    <t>KERRY LOGISTICS</t>
  </si>
  <si>
    <t>CN 5019004543</t>
  </si>
  <si>
    <t>362407_OOS</t>
  </si>
  <si>
    <t>AU-SEA-6058456_OOS</t>
  </si>
  <si>
    <t>02/10/2025 00:03-00:03</t>
  </si>
  <si>
    <t>0006060469_4900</t>
  </si>
  <si>
    <t>P AND O FOR SN 3PO</t>
  </si>
  <si>
    <t>TAMP - FI Tampere</t>
  </si>
  <si>
    <t>03/10/2025 15:00-15:00</t>
  </si>
  <si>
    <t>HAPSDCFI20251001-01</t>
  </si>
  <si>
    <t>362403_OOS</t>
  </si>
  <si>
    <t>AU-SEA-6058452_OOS</t>
  </si>
  <si>
    <t xml:space="preserve">5018996300 5018989678 </t>
  </si>
  <si>
    <t>0006060463_4900</t>
  </si>
  <si>
    <t>PIOMAR FOR SN 3PO</t>
  </si>
  <si>
    <t>RICA - CZ Ricany DC2 Ambient WH</t>
  </si>
  <si>
    <t>03/10/2025 17:00-17:00</t>
  </si>
  <si>
    <t>HAPSDCCZ20251001-01</t>
  </si>
  <si>
    <t>356749_OOS</t>
  </si>
  <si>
    <t>US-SEA-6038631_OOS</t>
  </si>
  <si>
    <t xml:space="preserve">5018950802 5018950803 5018980146 5018983535 5018990174 </t>
  </si>
  <si>
    <t>3POeuropect@lns.maersk.com</t>
  </si>
  <si>
    <t>364822_OOS</t>
  </si>
  <si>
    <t xml:space="preserve">ELN 5019001826 </t>
  </si>
  <si>
    <t>364770_OOS</t>
  </si>
  <si>
    <t xml:space="preserve">ELN 5018916745  </t>
  </si>
  <si>
    <t>367580_OOS</t>
  </si>
  <si>
    <t>GR EXW ROAD_OOS</t>
  </si>
  <si>
    <t>EXW</t>
  </si>
  <si>
    <t>02/10/2025 15:00-15:00</t>
  </si>
  <si>
    <t>0006069399_4900</t>
  </si>
  <si>
    <t>453364 / 450161</t>
  </si>
  <si>
    <t>GIRTEKA FOR SN 3PO</t>
  </si>
  <si>
    <t>REDD - GB Redditch / REDD - GB Redditch</t>
  </si>
  <si>
    <t>02/10/2025 17:00-17:00</t>
  </si>
  <si>
    <t>HAPSDCUK20251001-01 / HAPSDCUK20251001-01</t>
  </si>
  <si>
    <t>5019067416 / 5019059280</t>
  </si>
  <si>
    <t>363365_OOS</t>
  </si>
  <si>
    <t>CN 5019015369</t>
  </si>
  <si>
    <t>363366_OOS</t>
  </si>
  <si>
    <t>CN 5019001186</t>
  </si>
  <si>
    <t>0006060464_4900</t>
  </si>
  <si>
    <t>LKW WALTER FOR SN 3PO</t>
  </si>
  <si>
    <t>ALZE - DE Alzenau</t>
  </si>
  <si>
    <t>02/10/2025 09:00-09:00</t>
  </si>
  <si>
    <t>HAPSDCDE20251001-01</t>
  </si>
  <si>
    <t>364796_OOS</t>
  </si>
  <si>
    <t>ELN 5018925248</t>
  </si>
  <si>
    <t>0006060466_4900</t>
  </si>
  <si>
    <t>453520 / 453363 / 453362 / 447456</t>
  </si>
  <si>
    <t>Primary flows / Primary flows / Primary flows / Primary flows</t>
  </si>
  <si>
    <t>DSV DK FOR SN 3PO</t>
  </si>
  <si>
    <t>GLOS - DK Glostrup / GLOS - DK Glostrup / GLOS - DK Glostrup / GLOS - DK Glostrup</t>
  </si>
  <si>
    <t>03/10/2025 09:00-09:00</t>
  </si>
  <si>
    <t xml:space="preserve"> /  /  / </t>
  </si>
  <si>
    <t>HAPSDCDK20251001-01 / HAPSDCDK20251001-01 / HAPSDCDK20251001-01 / HAPSDCDK20251001-01</t>
  </si>
  <si>
    <t>5019048758 / 5019014704 / 5019002311 / 5018909424</t>
  </si>
  <si>
    <t>364853_OOS</t>
  </si>
  <si>
    <t>ELN 5018973188</t>
  </si>
  <si>
    <t>0006060476_4900</t>
  </si>
  <si>
    <t>GREZ - IT Grezzago (Pozzuolo Martesana)</t>
  </si>
  <si>
    <t>PZ_971WE</t>
  </si>
  <si>
    <t>HAPSDCIT20251001-02</t>
  </si>
  <si>
    <t>MZN_241</t>
  </si>
  <si>
    <t>Ruslan Azimov</t>
  </si>
  <si>
    <t>0006060465_4900</t>
  </si>
  <si>
    <t>HAPSDCDE20251001-02</t>
  </si>
  <si>
    <t>0006060467_4900</t>
  </si>
  <si>
    <t>CH ROBINSON FOR SN 3PO HVO</t>
  </si>
  <si>
    <t>trailer was left by the dock due to system problem+ driver ran out of working time. will be picked up and checked out in the morning.</t>
  </si>
  <si>
    <t>CIE2 - ES Ciempozuelos SN</t>
  </si>
  <si>
    <t>03/10/2025 14:00-14:00</t>
  </si>
  <si>
    <t>R1171BDB</t>
  </si>
  <si>
    <t>HAPSDCES20251001-01</t>
  </si>
  <si>
    <t>3919MKS</t>
  </si>
  <si>
    <t>0006060471_4900</t>
  </si>
  <si>
    <t>ECS FOR SN 3PO</t>
  </si>
  <si>
    <t>MOUS - FR Moussy-Le-Neuf</t>
  </si>
  <si>
    <t>02/10/2025 13:00-13:00</t>
  </si>
  <si>
    <t>HAPSDCFR20251001-02</t>
  </si>
  <si>
    <t>0006060470_4900</t>
  </si>
  <si>
    <t>453619 / 447443</t>
  </si>
  <si>
    <t>GIRTEKA FOR SN 3PO HVO</t>
  </si>
  <si>
    <t>MOUS - FR Moussy-Le-Neuf / MOUS - FR Moussy-Le-Neuf</t>
  </si>
  <si>
    <t>02/10/2025 10:30-10:30</t>
  </si>
  <si>
    <t>HAPSDCFR20251001-01 / HAPSDCFR20251001-01</t>
  </si>
  <si>
    <t>5019071104 / 5019056633</t>
  </si>
  <si>
    <t>0006060468_4900</t>
  </si>
  <si>
    <t>KREISS FOR SN 3PO</t>
  </si>
  <si>
    <t>03/10/2025 11:00-11:00</t>
  </si>
  <si>
    <t>HAPSDCES20251001-02</t>
  </si>
  <si>
    <t>0006060472_4900</t>
  </si>
  <si>
    <t>02/10/2025 13:30-13:30</t>
  </si>
  <si>
    <t>HAPSDCFR20251001-03</t>
  </si>
  <si>
    <t>0006060475_4900</t>
  </si>
  <si>
    <t>08/10/2025 17:00-17:00</t>
  </si>
  <si>
    <t>HAPSDCIT20251001-01</t>
  </si>
  <si>
    <t>0006060462_4900</t>
  </si>
  <si>
    <t>PUCH - AT Puch</t>
  </si>
  <si>
    <t>03/10/2025 07:00-07:00</t>
  </si>
  <si>
    <t>PZ_1X376</t>
  </si>
  <si>
    <t>HAPSDCAT20251001-01</t>
  </si>
  <si>
    <t>NYD_739</t>
  </si>
  <si>
    <t>Danierbek Karimov</t>
  </si>
  <si>
    <t>0006060479_4900</t>
  </si>
  <si>
    <t>453366 / 453365 / 447445</t>
  </si>
  <si>
    <t>Primary flows / Primary flows / Primary flows</t>
  </si>
  <si>
    <t>MIERZWA FOR SN 3PO</t>
  </si>
  <si>
    <t>GRAB - PL Grabica / GRAB - PL Grabica / GRAB - PL Grabica</t>
  </si>
  <si>
    <t>08/10/2025 23:00-23:00</t>
  </si>
  <si>
    <t>KRA8994P</t>
  </si>
  <si>
    <t xml:space="preserve"> /  / </t>
  </si>
  <si>
    <t>HAPSDCPL20251001-02 / HAPSDCPL20251001-02 / HAPSDCPL20251001-02</t>
  </si>
  <si>
    <t>5019071005 / 5019062853 / 5019031038</t>
  </si>
  <si>
    <t>KRA725CF</t>
  </si>
  <si>
    <t xml:space="preserve">Andrzej Kasper </t>
  </si>
  <si>
    <t>0006080506_4900</t>
  </si>
  <si>
    <t>container was left by the dock due to system problem+ driver ran out of working time. will be picked up and checked out in the morning.</t>
  </si>
  <si>
    <t>08/10/2025 05:00-05:00</t>
  </si>
  <si>
    <t>HAPSDCIT20251001-03</t>
  </si>
  <si>
    <t>367969_OOS</t>
  </si>
  <si>
    <t>4 No Show</t>
  </si>
  <si>
    <t>03/10/2025 10:00-10:00</t>
  </si>
  <si>
    <t>0006069405_4900</t>
  </si>
  <si>
    <t>08/10/2025 18:00-18:00</t>
  </si>
  <si>
    <t>HAPSDCUK20251002-03</t>
  </si>
  <si>
    <t>366570_OOS</t>
  </si>
  <si>
    <t>Scrap Denkavit - ROAD_OOS</t>
  </si>
  <si>
    <t>Denkavit</t>
  </si>
  <si>
    <t>90011316 (PO 17288559)</t>
  </si>
  <si>
    <t>supply@denkavit.nl</t>
  </si>
  <si>
    <t>0006060491_4900</t>
  </si>
  <si>
    <t>453916 / 453915 / 447451</t>
  </si>
  <si>
    <t>VEST - NO Vestby Leman / VEST - NO Vestby Leman / VEST - NO Vestby Leman</t>
  </si>
  <si>
    <t>09/10/2025 15:00-15:00</t>
  </si>
  <si>
    <t>HAPSDCNO20251002-01 / HAPSDCNO20251002-01 / HAPSDCNO20251002-01</t>
  </si>
  <si>
    <t>5019059278 / 5019067558 / 5019069897</t>
  </si>
  <si>
    <t>367608_OOS</t>
  </si>
  <si>
    <t>BR-SEA-6048319_OOS</t>
  </si>
  <si>
    <t>03/10/2025 00:00-00:00</t>
  </si>
  <si>
    <t>368251_OOS</t>
  </si>
  <si>
    <t>Samples Haps Lab_OOS</t>
  </si>
  <si>
    <t>Nabuurs</t>
  </si>
  <si>
    <t>362350_OOS</t>
  </si>
  <si>
    <t>BR-SEA-6058457_OOS</t>
  </si>
  <si>
    <t>03/10/2025 00:01-00:01</t>
  </si>
  <si>
    <t>367057_OOS</t>
  </si>
  <si>
    <t>ELN 5019014971 </t>
  </si>
  <si>
    <t>362351_OOS</t>
  </si>
  <si>
    <t>BR-SEA-6058459_OOS</t>
  </si>
  <si>
    <t xml:space="preserve">5018990265 5019014649 </t>
  </si>
  <si>
    <t>366541_OOS</t>
  </si>
  <si>
    <t>DSV-ZTM_OOS</t>
  </si>
  <si>
    <t>Koopman Cargo B.V.</t>
  </si>
  <si>
    <t>4505775603 &amp; 5019079541</t>
  </si>
  <si>
    <t>0006060489_4900</t>
  </si>
  <si>
    <t>RATH - IE Dublin Rathcoole Ambient</t>
  </si>
  <si>
    <t>09/10/2025 23:30-23:30</t>
  </si>
  <si>
    <t>HAPSDCIE20251002-01</t>
  </si>
  <si>
    <t>367064_OOS</t>
  </si>
  <si>
    <t>ELN 5018985450</t>
  </si>
  <si>
    <t>362352_OOS</t>
  </si>
  <si>
    <t>BR-SEA-6058458_OOS</t>
  </si>
  <si>
    <t>359915_OOS</t>
  </si>
  <si>
    <t xml:space="preserve">MEA 5018879990 5018893921 5018905519 5018966954 </t>
  </si>
  <si>
    <t>367065_OOS</t>
  </si>
  <si>
    <t>ELN 5019010901</t>
  </si>
  <si>
    <t>362353_OOS</t>
  </si>
  <si>
    <t>BR-SEA-6058460_OOS</t>
  </si>
  <si>
    <t xml:space="preserve">5018996958 5019001641 </t>
  </si>
  <si>
    <t>0006069404_4900</t>
  </si>
  <si>
    <t>HAPSDCUK20251002-02</t>
  </si>
  <si>
    <t>0006060424_4900</t>
  </si>
  <si>
    <t>452825 / 447398</t>
  </si>
  <si>
    <t>ROBERT KUKLA FOR SN 3PO</t>
  </si>
  <si>
    <t>THIV - GR Thiva-Boetia / THIV - GR Thiva-Boetia</t>
  </si>
  <si>
    <t>14/10/2025 18:00-18:00</t>
  </si>
  <si>
    <t>HAPSDCGR20250929-01 / HAPSDCGR20250929-01</t>
  </si>
  <si>
    <t>5019037109 / 5019049501</t>
  </si>
  <si>
    <t>367695_OOS</t>
  </si>
  <si>
    <t>5019060547_OOS</t>
  </si>
  <si>
    <t>Order to ship 5 rejected pallets Special instructions added: M20004 NBB</t>
  </si>
  <si>
    <t>6 STO to Factory</t>
  </si>
  <si>
    <t>logistic.support.haps@danone.com</t>
  </si>
  <si>
    <t>367090_OOS</t>
  </si>
  <si>
    <t>MEA-AIR_OOS</t>
  </si>
  <si>
    <t>MEA 5018975740 5018980060</t>
  </si>
  <si>
    <t>367066_OOS</t>
  </si>
  <si>
    <t>ELN 5018891117</t>
  </si>
  <si>
    <t>367991_OOS</t>
  </si>
  <si>
    <t>0006069406_4900</t>
  </si>
  <si>
    <t>HAPSDCUK20251002-04</t>
  </si>
  <si>
    <t>364775_OOS</t>
  </si>
  <si>
    <t>CN 5019011863</t>
  </si>
  <si>
    <t>366571_OOS</t>
  </si>
  <si>
    <t>90025511 (PO 17288560)</t>
  </si>
  <si>
    <t>364774_OOS</t>
  </si>
  <si>
    <t>CN 5019015374</t>
  </si>
  <si>
    <t>0006060487_4900</t>
  </si>
  <si>
    <t>03/10/2025 08:30-08:30</t>
  </si>
  <si>
    <t>HAPSDCFR20251002-02</t>
  </si>
  <si>
    <t>0006073425_4900</t>
  </si>
  <si>
    <t>453913 / 451468</t>
  </si>
  <si>
    <t>HAPSDCNO20251002-02 / HAPSDCNO20251002-02</t>
  </si>
  <si>
    <t>5019070108 / 5019070260</t>
  </si>
  <si>
    <t>359916_OOS</t>
  </si>
  <si>
    <t xml:space="preserve">MEA 5018893922 5018894960 5018912954 5019009305 5019011771 (11PL) </t>
  </si>
  <si>
    <t>366466_OOS</t>
  </si>
  <si>
    <t>RU-ROAD_OOS</t>
  </si>
  <si>
    <t>FortaPlus</t>
  </si>
  <si>
    <t>kazimierz.tomas@fortaplus.com</t>
  </si>
  <si>
    <t>0006069403_4900</t>
  </si>
  <si>
    <t>06/10/2025 08:00-08:00</t>
  </si>
  <si>
    <t>HAPSDCUK20251002-01</t>
  </si>
  <si>
    <t>364776_OOS</t>
  </si>
  <si>
    <t>CN 5019015013</t>
  </si>
  <si>
    <t>365263_OOS</t>
  </si>
  <si>
    <t>CN 5019004544</t>
  </si>
  <si>
    <t>365178_OOS</t>
  </si>
  <si>
    <t>MEA 5019010903 5019013816 5019031861</t>
  </si>
  <si>
    <t>364759_OOS</t>
  </si>
  <si>
    <t>BR-SEA-6068776_OOS</t>
  </si>
  <si>
    <t>0006060488_4900</t>
  </si>
  <si>
    <t>03/10/2025 10:30-10:30</t>
  </si>
  <si>
    <t>HAPSDCFR20251002-03</t>
  </si>
  <si>
    <t>365174_OOS</t>
  </si>
  <si>
    <t>MEA 5018991363 5018984262 5018987609 5018973239 5018980570 5018984742 5019001833</t>
  </si>
  <si>
    <t>363240_OOS</t>
  </si>
  <si>
    <t>UA-ROAD_OOS</t>
  </si>
  <si>
    <t>SCANTEK LTD</t>
  </si>
  <si>
    <t>olha.pakon@danone.com</t>
  </si>
  <si>
    <t>364760_OOS</t>
  </si>
  <si>
    <t>BR-SEA-6068775_OOS</t>
  </si>
  <si>
    <t xml:space="preserve">5018993931 5018993932  </t>
  </si>
  <si>
    <t>367104_OOS</t>
  </si>
  <si>
    <t>AU - AIR_OOS</t>
  </si>
  <si>
    <t>JAS</t>
  </si>
  <si>
    <t>AU - AIR 5019001928   5019025091 - 4 Pallets + NZ AIR 5018992917 - 1P</t>
  </si>
  <si>
    <t>NLAMS-Export-Air@jas.com</t>
  </si>
  <si>
    <t>0006079933_4900</t>
  </si>
  <si>
    <t>HAPSDCFI20251002-01</t>
  </si>
  <si>
    <t>0006060497_4900</t>
  </si>
  <si>
    <t>453917 / 447427</t>
  </si>
  <si>
    <t>LKW WALTER FOR SN 3PO HVO</t>
  </si>
  <si>
    <t>HELS - SE Helsingborg / HELS - SE Helsingborg</t>
  </si>
  <si>
    <t>09/10/2025 16:00-16:00</t>
  </si>
  <si>
    <t>HAPSDCSE20251002-01 / HAPSDCSE20251002-01</t>
  </si>
  <si>
    <t>5019070313 / 5019079947</t>
  </si>
  <si>
    <t>0006073424_4900</t>
  </si>
  <si>
    <t>09/10/2025 14:00-14:00</t>
  </si>
  <si>
    <t>HAPSDCFI20251003-01</t>
  </si>
  <si>
    <t>353833_OOS</t>
  </si>
  <si>
    <t>KO- SEA_OOS</t>
  </si>
  <si>
    <t>Geodis</t>
  </si>
  <si>
    <t>DN : 5019023248 + 5019027882 + 5019028121</t>
  </si>
  <si>
    <t>nutricia-booking.ff.nl@geodis.com</t>
  </si>
  <si>
    <t>KOREA EIBE</t>
  </si>
  <si>
    <t>SRTMS180649/1</t>
  </si>
  <si>
    <t>0006082156_4900</t>
  </si>
  <si>
    <t>PETR - RO Petresti</t>
  </si>
  <si>
    <t>09/10/2025 12:00-12:00</t>
  </si>
  <si>
    <t>UIT: 9X5W853607230100</t>
  </si>
  <si>
    <t>0006060485_4900</t>
  </si>
  <si>
    <t>LOGISTA FOR SN 3PO</t>
  </si>
  <si>
    <t>R0550BDN</t>
  </si>
  <si>
    <t>HAPSDCES20251002-01</t>
  </si>
  <si>
    <t>9063MDV</t>
  </si>
  <si>
    <t>Joaquin Morcillo</t>
  </si>
  <si>
    <t>0006060495_4900</t>
  </si>
  <si>
    <t>453918 / 447439</t>
  </si>
  <si>
    <t>AZA2 - PT Azambuja Ambient / AZA2 - PT Azambuja Ambient</t>
  </si>
  <si>
    <t>06/10/2025 14:00-14:00</t>
  </si>
  <si>
    <t>HAPSDCPT20251002-02 / HAPSDCPT20251002-02</t>
  </si>
  <si>
    <t>5019081047 / 5019081401</t>
  </si>
  <si>
    <t>0006060486_4900</t>
  </si>
  <si>
    <t>03/10/2025 08:00-08:00</t>
  </si>
  <si>
    <t>HAPSDCFR20251002-01</t>
  </si>
  <si>
    <t>367863_OOS</t>
  </si>
  <si>
    <t>5019069272_OOS</t>
  </si>
  <si>
    <t>Downey's</t>
  </si>
  <si>
    <t>5 Haps to External</t>
  </si>
  <si>
    <t>default@danone.com</t>
  </si>
  <si>
    <t>0006060492_4900</t>
  </si>
  <si>
    <t>09/10/2025 23:00-23:00</t>
  </si>
  <si>
    <t>WPR218AA</t>
  </si>
  <si>
    <t>HAPSDCPL20251002-01</t>
  </si>
  <si>
    <t>WPR6374U</t>
  </si>
  <si>
    <t xml:space="preserve">Sewielski Micha? </t>
  </si>
  <si>
    <t>0006080190_4900</t>
  </si>
  <si>
    <t>06/10/2025 20:00-20:00</t>
  </si>
  <si>
    <t>PZ_4N638</t>
  </si>
  <si>
    <t>HAPSDCIT20251002-02</t>
  </si>
  <si>
    <t>MTZ_750</t>
  </si>
  <si>
    <t>Sudarsanan Sunderasan Pillai</t>
  </si>
  <si>
    <t>0006060490_4900</t>
  </si>
  <si>
    <t>09/10/2025 05:00-05:00</t>
  </si>
  <si>
    <t>HAPSDCIT20251002-01</t>
  </si>
  <si>
    <t>0006079935_4900</t>
  </si>
  <si>
    <t>06/10/2025 11:00-11:00</t>
  </si>
  <si>
    <t>PZ_4U124</t>
  </si>
  <si>
    <t>HAPSDCPL20251002-03</t>
  </si>
  <si>
    <t>PZ_5G990</t>
  </si>
  <si>
    <t>Oleksandr Zhytskyi</t>
  </si>
  <si>
    <t>0006060493_4900</t>
  </si>
  <si>
    <t>454165 / 447472</t>
  </si>
  <si>
    <t>GRAB - PL Grabica / GRAB - PL Grabica</t>
  </si>
  <si>
    <t>PZ_7G860</t>
  </si>
  <si>
    <t>HAPSDCPL20251002-02 / HAPSDCPL20251002-02</t>
  </si>
  <si>
    <t>5019078115 / 5019083681</t>
  </si>
  <si>
    <t>PZ_5V766</t>
  </si>
  <si>
    <t>Andrei Papinau</t>
  </si>
  <si>
    <t>0006069409_4900</t>
  </si>
  <si>
    <t>09/10/2025 18:00-18:00</t>
  </si>
  <si>
    <t>HAPSDCUK20251003-03</t>
  </si>
  <si>
    <t>362857_OOS</t>
  </si>
  <si>
    <t>AU-SEA-6061107_OOS</t>
  </si>
  <si>
    <t>04/10/2025 00:01-00:01</t>
  </si>
  <si>
    <t>366542_OOS</t>
  </si>
  <si>
    <t>4505777774 Regular</t>
  </si>
  <si>
    <t>04/10/2025 10:00-10:00</t>
  </si>
  <si>
    <t>0006079934_4900</t>
  </si>
  <si>
    <t>DUBL - IE Dublin (United Drug)</t>
  </si>
  <si>
    <t>HAPSDCIE20251002-02</t>
  </si>
  <si>
    <t>0006082720_4900</t>
  </si>
  <si>
    <t>OPOL - PL Opole</t>
  </si>
  <si>
    <t>06/10/2025 12:00-12:00</t>
  </si>
  <si>
    <t>SPHapsOPO-031025-01</t>
  </si>
  <si>
    <t>366572_OOS</t>
  </si>
  <si>
    <t>90012989 (PO 17288561)</t>
  </si>
  <si>
    <t>04/10/2025 12:00-12:00</t>
  </si>
  <si>
    <t>0006060517_4900</t>
  </si>
  <si>
    <t>454730 / 454541 / 447489 / 447490</t>
  </si>
  <si>
    <t>DUBL - IE Dublin (United Drug) / DUBL - IE Dublin (United Drug) / DUBL - IE Dublin (United Drug) / DUB3 - IE Dublin (Pemberton)</t>
  </si>
  <si>
    <t>10/10/2025 23:00-23:00 / 10/10/2025 18:00-18:00</t>
  </si>
  <si>
    <t>HAPSDCIE20251003-01 / HAPSDCIE20251003-01 / HAPSDCIE20251003-01 / HAPSDCIE20251003-01</t>
  </si>
  <si>
    <t>5019100650 / 5019080793 / 5019080792 / 5019080559</t>
  </si>
  <si>
    <t>368115_OOS</t>
  </si>
  <si>
    <t>CN 5019026126</t>
  </si>
  <si>
    <t>366875_OOS</t>
  </si>
  <si>
    <t>MAERSK</t>
  </si>
  <si>
    <t>AU AIR 5019027890</t>
  </si>
  <si>
    <t>04/10/2025 09:00-09:00</t>
  </si>
  <si>
    <t>export.AMS@maersk.com</t>
  </si>
  <si>
    <t>0006060494_4900</t>
  </si>
  <si>
    <t>454546 / 447440</t>
  </si>
  <si>
    <t>07/10/2025 16:00-16:00</t>
  </si>
  <si>
    <t>HAPSDCPT20251002-01 / HAPSDCPT20251002-01</t>
  </si>
  <si>
    <t>5019081744 / 5019069718</t>
  </si>
  <si>
    <t>0006060518_4900</t>
  </si>
  <si>
    <t>PZ_1M586</t>
  </si>
  <si>
    <t>HAPSDCIT20251003-01</t>
  </si>
  <si>
    <t>PZ_3T925</t>
  </si>
  <si>
    <t>Aleh Tsarun</t>
  </si>
  <si>
    <t>364773_OOS</t>
  </si>
  <si>
    <t>CN 5019009259</t>
  </si>
  <si>
    <t>368116_OOS</t>
  </si>
  <si>
    <t>CN 5019019931 (22PL) CN 5019024771   5019014742   5019014474 (3PL) TOTAL 25PL</t>
  </si>
  <si>
    <t>368192_OOS</t>
  </si>
  <si>
    <t>5019090404_OOS</t>
  </si>
  <si>
    <t>Trivium</t>
  </si>
  <si>
    <t>return to supplier  details shared by mail lizzy</t>
  </si>
  <si>
    <t>364772_OOS</t>
  </si>
  <si>
    <t>MEA 5018837186</t>
  </si>
  <si>
    <t>0006069411_4900</t>
  </si>
  <si>
    <t>RUGB - GB Rugby</t>
  </si>
  <si>
    <t>HAPSDCUK20251003-05</t>
  </si>
  <si>
    <t>367415_OOS</t>
  </si>
  <si>
    <t>MEA 5018848481</t>
  </si>
  <si>
    <t>0006082761_4900</t>
  </si>
  <si>
    <t>06/10/2025 15:45-15:45</t>
  </si>
  <si>
    <t>SPHapsOPO-031025-02</t>
  </si>
  <si>
    <t>367759_OOS</t>
  </si>
  <si>
    <t>MEA  5018916163 5018912700 5018903781 5018920268 5018980067</t>
  </si>
  <si>
    <t>0006069412_4900</t>
  </si>
  <si>
    <t>454051 / 454050 / 450198</t>
  </si>
  <si>
    <t>REDD - GB Redditch / REDD - GB Redditch / REDD - GB Redditch</t>
  </si>
  <si>
    <t>HAPSDCUK20251003-06 / HAPSDCUK20251003-06 / HAPSDCUK20251003-06</t>
  </si>
  <si>
    <t>5019027891 / 5019023519 / 5019019951</t>
  </si>
  <si>
    <t>0006069408_4900</t>
  </si>
  <si>
    <t>HAPSDCUK20251003-02</t>
  </si>
  <si>
    <t>363234_OOS</t>
  </si>
  <si>
    <t>0006069407_4900</t>
  </si>
  <si>
    <t>454545 / 450180</t>
  </si>
  <si>
    <t>HAPSDCUK20251003-01 / HAPSDCUK20251003-01</t>
  </si>
  <si>
    <t>5019080464 / 5019078185</t>
  </si>
  <si>
    <t>364933_OOS</t>
  </si>
  <si>
    <t>CN 5019002026</t>
  </si>
  <si>
    <t>363235_OOS</t>
  </si>
  <si>
    <t xml:space="preserve">5019079926 + 5019070302 </t>
  </si>
  <si>
    <t>364930_OOS</t>
  </si>
  <si>
    <t>CN 5019001703</t>
  </si>
  <si>
    <t>367416_OOS</t>
  </si>
  <si>
    <t>MEA 5018844822</t>
  </si>
  <si>
    <t>0006060511_4900</t>
  </si>
  <si>
    <t>05/10/2025 23:30-23:30</t>
  </si>
  <si>
    <t>HAPSDCDE20251003-02</t>
  </si>
  <si>
    <t>363367_OOS</t>
  </si>
  <si>
    <t>CN 5019002028</t>
  </si>
  <si>
    <t>364931_OOS</t>
  </si>
  <si>
    <t>CN 5019016495</t>
  </si>
  <si>
    <t>0006060520_4900</t>
  </si>
  <si>
    <t>NABUURS FOR SN 3PO</t>
  </si>
  <si>
    <t>OOST - NL Oosterhout (Nabuurs)</t>
  </si>
  <si>
    <t>HAPSDCNL20251003-01</t>
  </si>
  <si>
    <t>368193_OOS</t>
  </si>
  <si>
    <t>5019090405_OOS</t>
  </si>
  <si>
    <t>return to supplier - see mail lizzy</t>
  </si>
  <si>
    <t>363368_OOS</t>
  </si>
  <si>
    <t>CN 5019000839</t>
  </si>
  <si>
    <t>364932_OOS</t>
  </si>
  <si>
    <t>CN 5019014568</t>
  </si>
  <si>
    <t>0006060473_4900</t>
  </si>
  <si>
    <t>447461 / 447460</t>
  </si>
  <si>
    <t>BRAT - SK Bratislava / BUDA - HU Budapest (BILK Logisztikai)</t>
  </si>
  <si>
    <t>06/10/2025 15:00-15:00 / 06/10/2025 08:00-08:00</t>
  </si>
  <si>
    <t>HAPSDCHU20251001-01 / HAPSDCHU20251001-01</t>
  </si>
  <si>
    <t>5019049270 / 5019067415</t>
  </si>
  <si>
    <t>0006060524_4900</t>
  </si>
  <si>
    <t>HELS - SE Helsingborg</t>
  </si>
  <si>
    <t>10/10/2025 16:00-16:00</t>
  </si>
  <si>
    <t>HAPSDCSE20251003-01</t>
  </si>
  <si>
    <t>366467_OOS</t>
  </si>
  <si>
    <t>0006060500_4900</t>
  </si>
  <si>
    <t>HAPSDCDE20251003-01</t>
  </si>
  <si>
    <t>363232_OOS</t>
  </si>
  <si>
    <t xml:space="preserve">5019066877+ 5019079921 </t>
  </si>
  <si>
    <t>368194_OOS</t>
  </si>
  <si>
    <t>5019090406_OOS</t>
  </si>
  <si>
    <t>return to supplier - see mail Lizzy</t>
  </si>
  <si>
    <t>0006060499_4900</t>
  </si>
  <si>
    <t>PZ_3V316</t>
  </si>
  <si>
    <t>HAPSDCCZ20251003-01</t>
  </si>
  <si>
    <t>MIO_884</t>
  </si>
  <si>
    <t>Abdulvose Nazarzoda</t>
  </si>
  <si>
    <t>0006073423_4900</t>
  </si>
  <si>
    <t>06/10/2025 13:00-13:00</t>
  </si>
  <si>
    <t>WPR_6754A</t>
  </si>
  <si>
    <t>HAPSDCCZ20251003-02</t>
  </si>
  <si>
    <t>MIO_455</t>
  </si>
  <si>
    <t>Uladzimir Lapkouski</t>
  </si>
  <si>
    <t>0006060514_4900</t>
  </si>
  <si>
    <t>454542 / 447496</t>
  </si>
  <si>
    <t>CIE2 - ES Ciempozuelos SN / CIE2 - ES Ciempozuelos SN</t>
  </si>
  <si>
    <t>HAPSDCES20251003-01 / HAPSDCES20251003-01</t>
  </si>
  <si>
    <t>5019093242 / 5019090169</t>
  </si>
  <si>
    <t>0006060521_4900</t>
  </si>
  <si>
    <t>454544 / 454543 / 447491</t>
  </si>
  <si>
    <t>PZ_3C020</t>
  </si>
  <si>
    <t>HAPSDCPL20251003-01 / HAPSDCPL20251003-01 / HAPSDCPL20251003-01</t>
  </si>
  <si>
    <t>5019069513 / 5019069474 / 5019069033</t>
  </si>
  <si>
    <t>MJG_621</t>
  </si>
  <si>
    <t>Khushruz Nurilloev</t>
  </si>
  <si>
    <t>0006060515_4900</t>
  </si>
  <si>
    <t>07/10/2025 08:00-08:00</t>
  </si>
  <si>
    <t>R2397BCT</t>
  </si>
  <si>
    <t>HAPSDCES20251003-02</t>
  </si>
  <si>
    <t>0082MDK</t>
  </si>
  <si>
    <t>0006060523_4900</t>
  </si>
  <si>
    <t>454731 / 447494</t>
  </si>
  <si>
    <t>PZ_7T641</t>
  </si>
  <si>
    <t>HAPSDCPL20251003-03 / HAPSDCPL20251003-03</t>
  </si>
  <si>
    <t>5019096407 / 5019080990</t>
  </si>
  <si>
    <t>PZ_5R464</t>
  </si>
  <si>
    <t>Aliaksei Danilenka</t>
  </si>
  <si>
    <t>0006060512_4900</t>
  </si>
  <si>
    <t>06/10/2025 06:00-06:00</t>
  </si>
  <si>
    <t>HAPSDCDE20251003-03</t>
  </si>
  <si>
    <t>0006060519_4900</t>
  </si>
  <si>
    <t>10/10/2025 10:00-10:00</t>
  </si>
  <si>
    <t>HAPSDCIT20251003-02</t>
  </si>
  <si>
    <t>0006060522_4900</t>
  </si>
  <si>
    <t>PZ_3N519</t>
  </si>
  <si>
    <t>HAPSDCPL20251003-02</t>
  </si>
  <si>
    <t>WGM_2129H</t>
  </si>
  <si>
    <t>Mikalai Klimovich</t>
  </si>
  <si>
    <t>369501_OOS</t>
  </si>
  <si>
    <t>04/10/2025 15:00-15:00</t>
  </si>
  <si>
    <t>0006069410_4900</t>
  </si>
  <si>
    <t>HAPSDCUK20251003-04</t>
  </si>
  <si>
    <t>0006082502_4900</t>
  </si>
  <si>
    <t>07/10/2025 17:00-17:00</t>
  </si>
  <si>
    <t>PZ_4P488</t>
  </si>
  <si>
    <t>HAPSDCUK20251006-01</t>
  </si>
  <si>
    <t>PZ_5V281</t>
  </si>
  <si>
    <t>Yurii Verbytskyi</t>
  </si>
  <si>
    <t>0006085492_4900</t>
  </si>
  <si>
    <t>10/10/2025 18:00-18:00</t>
  </si>
  <si>
    <t>HAPSDCUK20251006-06</t>
  </si>
  <si>
    <t>0006082506_4900</t>
  </si>
  <si>
    <t>10/10/2025 23:30-23:30</t>
  </si>
  <si>
    <t>HAPSDCUK20251006-05</t>
  </si>
  <si>
    <t>0006072889_4900</t>
  </si>
  <si>
    <t>07/10/2025 09:00-09:00</t>
  </si>
  <si>
    <t>HAPSDCFR20251006-01</t>
  </si>
  <si>
    <t>0006084409_4900</t>
  </si>
  <si>
    <t>07/10/2025 21:45-21:45</t>
  </si>
  <si>
    <t>WPR121AE</t>
  </si>
  <si>
    <t>SPHapsOPO-061025-01</t>
  </si>
  <si>
    <t>kn0754K</t>
  </si>
  <si>
    <t>Dariusz Winnicki</t>
  </si>
  <si>
    <t>369508_OOS</t>
  </si>
  <si>
    <t>07/10/2025 10:00-10:00</t>
  </si>
  <si>
    <t>367276_OOS</t>
  </si>
  <si>
    <t xml:space="preserve">MEA 5018925506 5018893484 5018948513 5018949913 5018771912 </t>
  </si>
  <si>
    <t>0006072893_4900</t>
  </si>
  <si>
    <t>13/10/2025 23:00-23:00</t>
  </si>
  <si>
    <t>HAPSDCIE20251006-01</t>
  </si>
  <si>
    <t>0006084410_4900</t>
  </si>
  <si>
    <t>07/10/2025 23:15-23:15</t>
  </si>
  <si>
    <t>KRA674PG</t>
  </si>
  <si>
    <t>SPHapsOPO-061025-02</t>
  </si>
  <si>
    <t>WPR1861U</t>
  </si>
  <si>
    <t>Mariusz Czy?</t>
  </si>
  <si>
    <t>368386_OOS</t>
  </si>
  <si>
    <t>ARG-SEA_OOS</t>
  </si>
  <si>
    <t>ARG 5018930974   5018912512   5018984467</t>
  </si>
  <si>
    <t>368984_OOS</t>
  </si>
  <si>
    <t>4505779314 &amp; 5019107256 Regulier</t>
  </si>
  <si>
    <t>367105_OOS</t>
  </si>
  <si>
    <t>AU AIR 5019023398 - 17 Pallets</t>
  </si>
  <si>
    <t>367318_OOS</t>
  </si>
  <si>
    <t>ELN 5018844755</t>
  </si>
  <si>
    <t>362208_OOS</t>
  </si>
  <si>
    <t>TH-SEA-6058466_OOS</t>
  </si>
  <si>
    <t>07/10/2025 00:01-00:01</t>
  </si>
  <si>
    <t>354101_OOS</t>
  </si>
  <si>
    <t>CN-SEA-6029857_OOS</t>
  </si>
  <si>
    <t xml:space="preserve">5018935682 5018960778 5018971395 </t>
  </si>
  <si>
    <t>07/10/2025 00:06-00:06</t>
  </si>
  <si>
    <t>0006082503_4900</t>
  </si>
  <si>
    <t>HAPSDCUK20251006-02</t>
  </si>
  <si>
    <t>362854_OOS</t>
  </si>
  <si>
    <t>NZ-SEA-6061182_OOS</t>
  </si>
  <si>
    <t>Maersk - Control Tower</t>
  </si>
  <si>
    <t>5019017121 5018996796</t>
  </si>
  <si>
    <t>366450_OOS</t>
  </si>
  <si>
    <t>07/10/2025 12:00-12:00</t>
  </si>
  <si>
    <t>362209_OOS</t>
  </si>
  <si>
    <t>TH-SEA-6058467_OOS</t>
  </si>
  <si>
    <t xml:space="preserve">5018998295 5019000710 5018990742 </t>
  </si>
  <si>
    <t>362855_OOS</t>
  </si>
  <si>
    <t>NZ-SEA-6061183_OOS</t>
  </si>
  <si>
    <t>07/10/2025 00:02-00:02</t>
  </si>
  <si>
    <t>0006082504_4900</t>
  </si>
  <si>
    <t>HAPSDCUK20251006-03</t>
  </si>
  <si>
    <t>0006082505_4900</t>
  </si>
  <si>
    <t>HAPSDCUK20251006-04</t>
  </si>
  <si>
    <t>368195_OOS</t>
  </si>
  <si>
    <t>5019090407_OOS</t>
  </si>
  <si>
    <t>return to supplier - mail lizzy</t>
  </si>
  <si>
    <t>369282_OOS</t>
  </si>
  <si>
    <t>Scrap ZTM PIM - ROAD_OOS</t>
  </si>
  <si>
    <t>s.eek@koopman.nl</t>
  </si>
  <si>
    <t>0006072894_4900</t>
  </si>
  <si>
    <t>10/10/2025 17:00-17:00</t>
  </si>
  <si>
    <t>HAPSDCIT20251006-01</t>
  </si>
  <si>
    <t>362856_OOS</t>
  </si>
  <si>
    <t>NZ-SEA-6061184_OOS</t>
  </si>
  <si>
    <t>367413_OOS</t>
  </si>
  <si>
    <t>MEA 5018879990 5018893921 5018905519 5018966954</t>
  </si>
  <si>
    <t>367319_OOS</t>
  </si>
  <si>
    <t>ELN 5018849553</t>
  </si>
  <si>
    <t>367414_OOS</t>
  </si>
  <si>
    <t>IL - AIR_OOS</t>
  </si>
  <si>
    <t>DN 5018947438 (1 PLT)   DN 5019037631 (1 PLT)</t>
  </si>
  <si>
    <t>export.ams.ff.nl@geodis.com</t>
  </si>
  <si>
    <t>362858_OOS</t>
  </si>
  <si>
    <t>NZ-SEA-6061185_OOS</t>
  </si>
  <si>
    <t>5019059337 5019062149</t>
  </si>
  <si>
    <t>367320_OOS</t>
  </si>
  <si>
    <t>ELN 5018856298</t>
  </si>
  <si>
    <t>0006072886_4900</t>
  </si>
  <si>
    <t>HAPSDCDE20251006-01</t>
  </si>
  <si>
    <t>368539_OOS</t>
  </si>
  <si>
    <t>PA - SEA_OOS</t>
  </si>
  <si>
    <t>DN 5019081224</t>
  </si>
  <si>
    <t>PANAMA</t>
  </si>
  <si>
    <t>SRTMS182520</t>
  </si>
  <si>
    <t>367321_OOS</t>
  </si>
  <si>
    <t>ELN 5018847574</t>
  </si>
  <si>
    <t>367325_OOS</t>
  </si>
  <si>
    <t>ELN 5018912556</t>
  </si>
  <si>
    <t>367324_OOS</t>
  </si>
  <si>
    <t>ELN 5018862086</t>
  </si>
  <si>
    <t>0006072895_4900</t>
  </si>
  <si>
    <t>06/10/2025 16:00-16:00</t>
  </si>
  <si>
    <t>HAPSDCIT20251006-02</t>
  </si>
  <si>
    <t>368196_OOS</t>
  </si>
  <si>
    <t>5019086945_OOS</t>
  </si>
  <si>
    <t>return supplier - mail lizzy</t>
  </si>
  <si>
    <t>367323_OOS</t>
  </si>
  <si>
    <t>ELN 5018847575</t>
  </si>
  <si>
    <t>0006072888_4900</t>
  </si>
  <si>
    <t>08/10/2025 12:00-12:00</t>
  </si>
  <si>
    <t>HAPSDCES20251006-01</t>
  </si>
  <si>
    <t>368389_OOS</t>
  </si>
  <si>
    <t>ARG 5018979378</t>
  </si>
  <si>
    <t>0006072887_4900</t>
  </si>
  <si>
    <t>HAPSDCDE20251006-02</t>
  </si>
  <si>
    <t>0006084765_4900</t>
  </si>
  <si>
    <t>455370 / 455352</t>
  </si>
  <si>
    <t>VLANTANA FOR SN 3PO</t>
  </si>
  <si>
    <t>RIGA - LV Riga (EUGESTA SIA) / RIGA - LV Riga (EUGESTA SIA)</t>
  </si>
  <si>
    <t>10/10/2025 14:30-14:30</t>
  </si>
  <si>
    <t>HAPSDCLV20251006-01 / HAPSDCLV20251006-01</t>
  </si>
  <si>
    <t>5019091205 / 5019089736</t>
  </si>
  <si>
    <t>0006085516_4900</t>
  </si>
  <si>
    <t>455840 / 455839</t>
  </si>
  <si>
    <t>08/10/2025 11:00-11:00</t>
  </si>
  <si>
    <t>PZ_4P016</t>
  </si>
  <si>
    <t>HAPSDCPL20251006-04 / HAPSDCPL20251006-04</t>
  </si>
  <si>
    <t>5019090057 / 5019081913</t>
  </si>
  <si>
    <t>MSM_927</t>
  </si>
  <si>
    <t>Yury Stankevich</t>
  </si>
  <si>
    <t>0006072890_4900</t>
  </si>
  <si>
    <t>HAPSDCFR20251006-02</t>
  </si>
  <si>
    <t>0006072891_4900</t>
  </si>
  <si>
    <t>07/10/2025 13:00-13:00</t>
  </si>
  <si>
    <t>HAPSDCFR20251006-03</t>
  </si>
  <si>
    <t>0006072897_4900</t>
  </si>
  <si>
    <t>13/10/2025 22:00-22:00</t>
  </si>
  <si>
    <t>KRA8181P</t>
  </si>
  <si>
    <t>HAPSDCPL20251006-02</t>
  </si>
  <si>
    <t>WPR0415U</t>
  </si>
  <si>
    <t>Janusz Tryka</t>
  </si>
  <si>
    <t>0006072884_4900</t>
  </si>
  <si>
    <t>08/10/2025 07:00-07:00</t>
  </si>
  <si>
    <t>PZ_925YJ</t>
  </si>
  <si>
    <t>HAPSDCAT20251006-01</t>
  </si>
  <si>
    <t>PZ_3U526</t>
  </si>
  <si>
    <t>Vasyl Meleshko</t>
  </si>
  <si>
    <t>0006072900_4900</t>
  </si>
  <si>
    <t>455369 / 452201</t>
  </si>
  <si>
    <t>13/10/2025 16:00-16:00</t>
  </si>
  <si>
    <t>HAPSDCSE20251006-01 / HAPSDCSE20251006-01</t>
  </si>
  <si>
    <t>5019096623 / 5019097216</t>
  </si>
  <si>
    <t>0006084461_4900</t>
  </si>
  <si>
    <t>OP6442J</t>
  </si>
  <si>
    <t>SPHapsOPO-061025-03</t>
  </si>
  <si>
    <t>OKR6AL7</t>
  </si>
  <si>
    <t>KY? HENRYK</t>
  </si>
  <si>
    <t>0006072898_4900</t>
  </si>
  <si>
    <t>KRA442PA</t>
  </si>
  <si>
    <t>HAPSDCPL20251006-03</t>
  </si>
  <si>
    <t>KRA139CK</t>
  </si>
  <si>
    <t>Wies?aw Surman</t>
  </si>
  <si>
    <t>0006073224_4900</t>
  </si>
  <si>
    <t>09/10/2025 17:00-17:00</t>
  </si>
  <si>
    <t>QATD440</t>
  </si>
  <si>
    <t>HAPSDCIT20251008-01</t>
  </si>
  <si>
    <t>NEI225</t>
  </si>
  <si>
    <t>Nabeelahmed Raza</t>
  </si>
  <si>
    <t>0006072885_4900</t>
  </si>
  <si>
    <t>OP6443J</t>
  </si>
  <si>
    <t>HAPSDCCZ20251006-01</t>
  </si>
  <si>
    <t>OP8935S</t>
  </si>
  <si>
    <t>HETMANSKI ROBERT</t>
  </si>
  <si>
    <t>0006072896_4900</t>
  </si>
  <si>
    <t>455368 / 452207</t>
  </si>
  <si>
    <t>08/10/2025 22:00-22:00</t>
  </si>
  <si>
    <t>OP2334K</t>
  </si>
  <si>
    <t>HAPSDCPL20251006-01 / HAPSDCPL20251006-01</t>
  </si>
  <si>
    <t>5019092624 / 5019090994</t>
  </si>
  <si>
    <t>OKR51V7</t>
  </si>
  <si>
    <t>HUSAKOWSKI RYSZARD</t>
  </si>
  <si>
    <t>368197_OOS</t>
  </si>
  <si>
    <t>5019090408_OOS</t>
  </si>
  <si>
    <t>0006082510_4900</t>
  </si>
  <si>
    <t>HAPSDCUK20251007-04</t>
  </si>
  <si>
    <t>369509_OOS</t>
  </si>
  <si>
    <t>08/10/2025 10:00-10:00</t>
  </si>
  <si>
    <t>0006085885_4900</t>
  </si>
  <si>
    <t>14/10/2025 21:00-21:00</t>
  </si>
  <si>
    <t>HAPSDCIE20251007-03</t>
  </si>
  <si>
    <t>369883_OOS</t>
  </si>
  <si>
    <t>354749_OOS</t>
  </si>
  <si>
    <t>VN-SEA-6029865_OOS</t>
  </si>
  <si>
    <t>08/10/2025 00:02-00:02</t>
  </si>
  <si>
    <t>RTMF24443800</t>
  </si>
  <si>
    <t>369510_OOS</t>
  </si>
  <si>
    <t>0006081900_4900</t>
  </si>
  <si>
    <t>14/10/2025 22:00-22:00</t>
  </si>
  <si>
    <t>HAPSDCIE20251007-02</t>
  </si>
  <si>
    <t>364758_OOS</t>
  </si>
  <si>
    <t>BR-SEA-6068779_OOS</t>
  </si>
  <si>
    <t>08/10/2025 00:01-00:01</t>
  </si>
  <si>
    <t>368985_OOS</t>
  </si>
  <si>
    <t>4505781220 LZV</t>
  </si>
  <si>
    <t>354736_OOS</t>
  </si>
  <si>
    <t>VN-SEA-6029864_OOS</t>
  </si>
  <si>
    <t>368390_OOS</t>
  </si>
  <si>
    <t>ARG 5018979379</t>
  </si>
  <si>
    <t>364761_OOS</t>
  </si>
  <si>
    <t>BR-SEA-6068777_OOS</t>
  </si>
  <si>
    <t xml:space="preserve">5019010909 5019045861 </t>
  </si>
  <si>
    <t>0006084801_4900</t>
  </si>
  <si>
    <t>DFDS FOR SN 3PO</t>
  </si>
  <si>
    <t>WEXF - IE Wexford Factory</t>
  </si>
  <si>
    <t>LYSU5455569</t>
  </si>
  <si>
    <t>SPHapsWex-071025-01</t>
  </si>
  <si>
    <t>0006073204_4900</t>
  </si>
  <si>
    <t>14/10/2025 23:00-23:00</t>
  </si>
  <si>
    <t>HAPSDCIE20251007-01</t>
  </si>
  <si>
    <t>369511_OOS</t>
  </si>
  <si>
    <t>CN 5019002026 (NO-SHOW)</t>
  </si>
  <si>
    <t>369305_OOS</t>
  </si>
  <si>
    <t>364762_OOS</t>
  </si>
  <si>
    <t>NZ-SEA-6068784_OOS</t>
  </si>
  <si>
    <t>Save</t>
  </si>
  <si>
    <t>0006082508_4900</t>
  </si>
  <si>
    <t>HAPSDCUK20251007-02</t>
  </si>
  <si>
    <t>0006085887_4900</t>
  </si>
  <si>
    <t>HAPSDCUK20251007-07</t>
  </si>
  <si>
    <t>369747_OOS</t>
  </si>
  <si>
    <t>MEA 5019090023</t>
  </si>
  <si>
    <t>0006085886_4900</t>
  </si>
  <si>
    <t>13/10/2025 18:00-18:00</t>
  </si>
  <si>
    <t>HAPSDCUK20251007-06</t>
  </si>
  <si>
    <t>0006082531_4900</t>
  </si>
  <si>
    <t>HAPSDCUK20251007-05</t>
  </si>
  <si>
    <t>0006073184_4900</t>
  </si>
  <si>
    <t>456111 / 451324</t>
  </si>
  <si>
    <t>HELLMANN FOR SN 3PO</t>
  </si>
  <si>
    <t>NEUE - CH Neuendorf (MURPF) SN / NEUE - CH Neuendorf (MURPF) SN</t>
  </si>
  <si>
    <t>09/10/2025 13:30-13:30</t>
  </si>
  <si>
    <t>HAPSDCCH20251007-01 / HAPSDCCH20251007-01</t>
  </si>
  <si>
    <t>5019096671 / 5019095630</t>
  </si>
  <si>
    <t>354755_OOS</t>
  </si>
  <si>
    <t>VN-SEA-6029870_OOS</t>
  </si>
  <si>
    <t>RTMF24444900</t>
  </si>
  <si>
    <t>0006082509_4900</t>
  </si>
  <si>
    <t>HAPSDCUK20251007-03</t>
  </si>
  <si>
    <t>0006084802_4900</t>
  </si>
  <si>
    <t>455383 / 455382</t>
  </si>
  <si>
    <t>WEXF - IE Wexford Factory / WEXF - IE Wexford Factory</t>
  </si>
  <si>
    <t>LYSU0009800</t>
  </si>
  <si>
    <t>SPHapsWex-071025-02 / SPHapsWex-071025-02</t>
  </si>
  <si>
    <t>5019091792 / 5019100217</t>
  </si>
  <si>
    <t>38-BSF-9</t>
  </si>
  <si>
    <t xml:space="preserve">Mohandoss Rajendran </t>
  </si>
  <si>
    <t>369069_OOS</t>
  </si>
  <si>
    <t>MEA 5019089429</t>
  </si>
  <si>
    <t>368391_OOS</t>
  </si>
  <si>
    <t>ARG 5018990649</t>
  </si>
  <si>
    <t>0006086073_4900</t>
  </si>
  <si>
    <t>14/10/2025 20:00-20:00</t>
  </si>
  <si>
    <t>HAPSDCIE20251007-04</t>
  </si>
  <si>
    <t>369070_OOS</t>
  </si>
  <si>
    <t>MEA 5019101288 5019089431 5019094700 5019078435 5019090384 (12PL) MEA 5019086676 (14PL)</t>
  </si>
  <si>
    <t>0006082507_4900</t>
  </si>
  <si>
    <t>HAPSDCUK20251007-01</t>
  </si>
  <si>
    <t>369654_OOS</t>
  </si>
  <si>
    <t>HK-AIR_OOS</t>
  </si>
  <si>
    <t>HK 5019090127 (9PL)</t>
  </si>
  <si>
    <t>0006073205_4900</t>
  </si>
  <si>
    <t>HAPSDCIT20251007-01</t>
  </si>
  <si>
    <t>0006073210_4900</t>
  </si>
  <si>
    <t>14/10/2025 16:00-16:00</t>
  </si>
  <si>
    <t>HAPSDCSE20251007-01</t>
  </si>
  <si>
    <t>369071_OOS</t>
  </si>
  <si>
    <t>MEA 5019091752</t>
  </si>
  <si>
    <t>0006073202_4900</t>
  </si>
  <si>
    <t>QATM562</t>
  </si>
  <si>
    <t>HAPSDCFR20251007-02</t>
  </si>
  <si>
    <t>SV23MLX</t>
  </si>
  <si>
    <t>PETRARIU SORIN</t>
  </si>
  <si>
    <t>369066_OOS</t>
  </si>
  <si>
    <t>IQ-ROAD_OOS</t>
  </si>
  <si>
    <t>EXPEDITE ONE</t>
  </si>
  <si>
    <t>5019001754   5018980474</t>
  </si>
  <si>
    <t>Operations@expedite.one</t>
  </si>
  <si>
    <t>0006085543_4900</t>
  </si>
  <si>
    <t>PZ_3V277</t>
  </si>
  <si>
    <t>HAPSDCPL20251007-03</t>
  </si>
  <si>
    <t>NMC_026</t>
  </si>
  <si>
    <t>Andrei Maziuk</t>
  </si>
  <si>
    <t>370096_OOS</t>
  </si>
  <si>
    <t>5019123750_OOS</t>
  </si>
  <si>
    <t>REINING (Hoogezand)</t>
  </si>
  <si>
    <t>RETURN SEE MAIL LIZZY</t>
  </si>
  <si>
    <t>08/10/2025 09:00-09:00</t>
  </si>
  <si>
    <t>369649_OOS</t>
  </si>
  <si>
    <t>HK 5019063591 (ONLY 18PL)</t>
  </si>
  <si>
    <t>0006072899_4900</t>
  </si>
  <si>
    <t>455367 / 452209</t>
  </si>
  <si>
    <t>10/10/2025 07:00-07:00</t>
  </si>
  <si>
    <t>HAPSDCPT20251006-01 / HAPSDCPT20251006-01</t>
  </si>
  <si>
    <t>5019100002 / 5019083709</t>
  </si>
  <si>
    <t>0006073189_4900</t>
  </si>
  <si>
    <t>HAPSDCES20251007-01</t>
  </si>
  <si>
    <t>0006073190_4900</t>
  </si>
  <si>
    <t>HAPSDCFI20251007-01</t>
  </si>
  <si>
    <t>0006073207_4900</t>
  </si>
  <si>
    <t>456110 / 451346</t>
  </si>
  <si>
    <t>10/10/2025 11:30-11:30</t>
  </si>
  <si>
    <t>HAPSDCLV20251007-01 / HAPSDCLV20251007-01</t>
  </si>
  <si>
    <t>5019095592 / 5019091757</t>
  </si>
  <si>
    <t>0006073186_4900</t>
  </si>
  <si>
    <t>HAPSDCDE20251007-01</t>
  </si>
  <si>
    <t>0006073203_4900</t>
  </si>
  <si>
    <t>08/10/2025 13:00-13:00</t>
  </si>
  <si>
    <t>Qatu420</t>
  </si>
  <si>
    <t>HAPSDCFR20251007-03</t>
  </si>
  <si>
    <t>B18BTR</t>
  </si>
  <si>
    <t>Nicolae Secher</t>
  </si>
  <si>
    <t>370097_OOS</t>
  </si>
  <si>
    <t>5019123751_OOS</t>
  </si>
  <si>
    <t>RETURN SUPPLIER SEE MAIL LIZZY</t>
  </si>
  <si>
    <t>0006073187_4900</t>
  </si>
  <si>
    <t>HAPSDCDE20251007-02</t>
  </si>
  <si>
    <t>0006073201_4900</t>
  </si>
  <si>
    <t>08/10/2025 07:30-07:30</t>
  </si>
  <si>
    <t>HAPSDCFR20251007-01</t>
  </si>
  <si>
    <t>0006073217_4900</t>
  </si>
  <si>
    <t>10/10/2025 08:00-08:00</t>
  </si>
  <si>
    <t>R7704BCZ</t>
  </si>
  <si>
    <t>HAPSDCES20251008-02</t>
  </si>
  <si>
    <t>2857KGH</t>
  </si>
  <si>
    <t xml:space="preserve"> FLORENTIN MANEA</t>
  </si>
  <si>
    <t>0006085514_4900</t>
  </si>
  <si>
    <t>08/10/2025 19:00-19:00</t>
  </si>
  <si>
    <t>HAPSDCNL20251007-02</t>
  </si>
  <si>
    <t>0006073209_4900</t>
  </si>
  <si>
    <t>456112 / 451325</t>
  </si>
  <si>
    <t>KRA987PG</t>
  </si>
  <si>
    <t>HAPSDCPL20251007-02 / HAPSDCPL20251007-02</t>
  </si>
  <si>
    <t>5019101623 / 5019113281</t>
  </si>
  <si>
    <t>KRA607EV</t>
  </si>
  <si>
    <t xml:space="preserve">Urba?ski Grzegorz </t>
  </si>
  <si>
    <t>0006073185_4900</t>
  </si>
  <si>
    <t>456113 / 451345</t>
  </si>
  <si>
    <t>RICA - CZ Ricany DC2 Ambient WH / RICA - CZ Ricany DC2 Ambient WH</t>
  </si>
  <si>
    <t>OP7453U</t>
  </si>
  <si>
    <t>HAPSDCCZ20251007-01 / HAPSDCCZ20251007-01</t>
  </si>
  <si>
    <t>5019115481 / 5019101018</t>
  </si>
  <si>
    <t>OP6658M</t>
  </si>
  <si>
    <t>ZALCMAN PAWEL</t>
  </si>
  <si>
    <t>0006073208_4900</t>
  </si>
  <si>
    <t>09/10/2025 22:00-22:00</t>
  </si>
  <si>
    <t>OP7424G</t>
  </si>
  <si>
    <t>HAPSDCPL20251007-01</t>
  </si>
  <si>
    <t>OKR9AW4</t>
  </si>
  <si>
    <t>PROKOP DARIUSZ</t>
  </si>
  <si>
    <t>0006082533_4900</t>
  </si>
  <si>
    <t>HAPSDCUK20251008-02</t>
  </si>
  <si>
    <t>367322_OOS</t>
  </si>
  <si>
    <t>HK-SEA-6078315_OOS</t>
  </si>
  <si>
    <t>09/10/2025 00:01-00:01</t>
  </si>
  <si>
    <t>368986_OOS</t>
  </si>
  <si>
    <t xml:space="preserve">4505782862 &amp; 4505782945 LZV  </t>
  </si>
  <si>
    <t>09/10/2025 10:00-10:00</t>
  </si>
  <si>
    <t>0006088357_4900</t>
  </si>
  <si>
    <t>PZ_920WS</t>
  </si>
  <si>
    <t>HAPSDCUK20251008-05</t>
  </si>
  <si>
    <t>PZ_7F796</t>
  </si>
  <si>
    <t>Valery Andrushkevich</t>
  </si>
  <si>
    <t>0006073223_4900</t>
  </si>
  <si>
    <t>15/10/2025 23:30-23:30</t>
  </si>
  <si>
    <t>HAPSDCIE20251008-01</t>
  </si>
  <si>
    <t>364763_OOS</t>
  </si>
  <si>
    <t>BR-SEA-6068778_OOS</t>
  </si>
  <si>
    <t>0006073226_4900</t>
  </si>
  <si>
    <t>456480 / 456479</t>
  </si>
  <si>
    <t>15/10/2025 15:00-15:00</t>
  </si>
  <si>
    <t>HAPSDCNO20251008-01 / HAPSDCNO20251008-01</t>
  </si>
  <si>
    <t>5019125004 / 5019101259</t>
  </si>
  <si>
    <t>368392_OOS</t>
  </si>
  <si>
    <t>ARG 5019045538</t>
  </si>
  <si>
    <t>365238_OOS</t>
  </si>
  <si>
    <t>CN-SEA-6071109_OOS</t>
  </si>
  <si>
    <t>09/10/2025 00:03-00:03</t>
  </si>
  <si>
    <t>370283_OOS</t>
  </si>
  <si>
    <t>5019106667_OOS</t>
  </si>
  <si>
    <t>RETURN TO SUPPLIER SEE MAIL LIZZY/REMON</t>
  </si>
  <si>
    <t>09/10/2025 00:00-00:00</t>
  </si>
  <si>
    <t>dfault.@danone.com</t>
  </si>
  <si>
    <t>Massilly Dronten</t>
  </si>
  <si>
    <t>367241_OOS</t>
  </si>
  <si>
    <t>BR-SEA-6078291_OOS</t>
  </si>
  <si>
    <t>0006073227_4900</t>
  </si>
  <si>
    <t>VEST - NO Vestby Leman</t>
  </si>
  <si>
    <t>HAPSDCNO20251008-02</t>
  </si>
  <si>
    <t>365239_OOS</t>
  </si>
  <si>
    <t>CN-SEA-6071110_OOS</t>
  </si>
  <si>
    <t>0006082534_4900</t>
  </si>
  <si>
    <t>HAPSDCUK20251008-03</t>
  </si>
  <si>
    <t>369934_OOS</t>
  </si>
  <si>
    <t>AU - AIR 5019031376 -8P</t>
  </si>
  <si>
    <t>09/10/2025 11:00-11:00</t>
  </si>
  <si>
    <t>amsexport@hellmann.com</t>
  </si>
  <si>
    <t>0006072892_4900</t>
  </si>
  <si>
    <t>456468 / 452208</t>
  </si>
  <si>
    <t>20/10/2025 14:00-14:00</t>
  </si>
  <si>
    <t>HAPSDCGR20251006-01 / HAPSDCGR20251006-01</t>
  </si>
  <si>
    <t>5019127163 / 5019127280</t>
  </si>
  <si>
    <t>362206_OOS</t>
  </si>
  <si>
    <t>TH-SEA-6058468_OOS</t>
  </si>
  <si>
    <t>3poeuropect@lns.maersk.com</t>
  </si>
  <si>
    <t>362859_OOS</t>
  </si>
  <si>
    <t>AU-SEA-6061108_OOS</t>
  </si>
  <si>
    <t xml:space="preserve">5019038483 5019039080 </t>
  </si>
  <si>
    <t>367704_OOS</t>
  </si>
  <si>
    <t>HK 5019057262 (10 PL) KR 5018926834 (1 PL)</t>
  </si>
  <si>
    <t>tom.bloos@danone.com</t>
  </si>
  <si>
    <t>0006082545_4900</t>
  </si>
  <si>
    <t>16/10/2025 18:00-18:00</t>
  </si>
  <si>
    <t>HAPSDCUK20251010-06</t>
  </si>
  <si>
    <t>0006082532_4900</t>
  </si>
  <si>
    <t>PZ_2K270</t>
  </si>
  <si>
    <t>HAPSDCUK20251008-01</t>
  </si>
  <si>
    <t>NCH_776</t>
  </si>
  <si>
    <t>Khamza Rakhimov</t>
  </si>
  <si>
    <t>0006082535_4900</t>
  </si>
  <si>
    <t>EMONS FOR SN 3PO</t>
  </si>
  <si>
    <t>HAPSDCUK20251008-04</t>
  </si>
  <si>
    <t>364741_OOS</t>
  </si>
  <si>
    <t>CO-SEA-6068782_OOS</t>
  </si>
  <si>
    <t>369306_OOS</t>
  </si>
  <si>
    <t>0006081817_4900</t>
  </si>
  <si>
    <t>456842 / 454061 / 456841 / 454060</t>
  </si>
  <si>
    <t>GEFCO FOR SN 3PO</t>
  </si>
  <si>
    <t>ZAGR - HR Zagreb / ZAGR - HR Zagreb / LJUB - SI Ljubljana / LJUB - SI Ljubljana</t>
  </si>
  <si>
    <t>10/10/2025 15:00-15:00 / 09/10/2025 15:00-15:00</t>
  </si>
  <si>
    <t>nmlv887</t>
  </si>
  <si>
    <t>HAPSDCBG20251008-01 / HAPSDCBG20251008-01 / HAPSDCBG20251008-01 / HAPSDCBG20251008-01</t>
  </si>
  <si>
    <t>5019091554 / 5019081205 / 5019107380 / 5019070711</t>
  </si>
  <si>
    <t>nmkp444</t>
  </si>
  <si>
    <t>Branko Drnkovic</t>
  </si>
  <si>
    <t>369935_OOS</t>
  </si>
  <si>
    <t>NZ - AIR_OOS / AU - AIR_OOS</t>
  </si>
  <si>
    <t>Aval non piloté_EN / Aval non piloté_EN</t>
  </si>
  <si>
    <t>OOS_OUT - Delivery OOS / OOS_OUT - Delivery OOS</t>
  </si>
  <si>
    <t>AU AIR 5019049486 - 2P    NZ AIR 5019042677 - 1P</t>
  </si>
  <si>
    <t xml:space="preserve"> / &amp;nbsp</t>
  </si>
  <si>
    <t>367524_OOS</t>
  </si>
  <si>
    <t xml:space="preserve">MEA 5018949272 5018433124 5018990691 5019007545 5018412499 5019107024 </t>
  </si>
  <si>
    <t>0006073214_4900</t>
  </si>
  <si>
    <t>HAPSDCDE20251008-01</t>
  </si>
  <si>
    <t>0006073225_4900</t>
  </si>
  <si>
    <t>10/10/2025 12:00-12:00</t>
  </si>
  <si>
    <t>HAPSDCIT20251008-02</t>
  </si>
  <si>
    <t>367869_OOS</t>
  </si>
  <si>
    <t>US-AIR_OOS</t>
  </si>
  <si>
    <t>US 5018715787</t>
  </si>
  <si>
    <t>367528_OOS</t>
  </si>
  <si>
    <t xml:space="preserve">MEA 5019111292 5019107339 5019100393 </t>
  </si>
  <si>
    <t>0006073255_4900</t>
  </si>
  <si>
    <t>ABC CZEPCZYNSKI FOR SN 3PO</t>
  </si>
  <si>
    <t>BUDA - HU Budapest (BILK Logisztikai)</t>
  </si>
  <si>
    <t>10/10/2025 11:00-11:00</t>
  </si>
  <si>
    <t>AACH794</t>
  </si>
  <si>
    <t>HAPSDCHU20251010-01</t>
  </si>
  <si>
    <t>TBY344</t>
  </si>
  <si>
    <t>0006073188_4900</t>
  </si>
  <si>
    <t>HAPSDCDE20251007-03</t>
  </si>
  <si>
    <t>367870_OOS</t>
  </si>
  <si>
    <t>US 5019044117</t>
  </si>
  <si>
    <t>367871_OOS</t>
  </si>
  <si>
    <t>US 5019069475</t>
  </si>
  <si>
    <t>0006073219_4900</t>
  </si>
  <si>
    <t>09/10/2025 13:00-13:00</t>
  </si>
  <si>
    <t>HAPSDCFR20251008-01</t>
  </si>
  <si>
    <t>0006073215_4900</t>
  </si>
  <si>
    <t>09/10/2025 09:00-09:00</t>
  </si>
  <si>
    <t>HAPSDCDE20251008-02</t>
  </si>
  <si>
    <t>0006073221_4900</t>
  </si>
  <si>
    <t>HAPSDCFR20251008-03</t>
  </si>
  <si>
    <t>0006073216_4900</t>
  </si>
  <si>
    <t>13/10/2025 09:00-09:00</t>
  </si>
  <si>
    <t>RH051</t>
  </si>
  <si>
    <t>HAPSDCES20251008-01</t>
  </si>
  <si>
    <t>MNC486</t>
  </si>
  <si>
    <t>Yauhenii Shaveryn</t>
  </si>
  <si>
    <t>0006084559_4900</t>
  </si>
  <si>
    <t>FULD - DE Fulda Zufall</t>
  </si>
  <si>
    <t>PZ_3V206</t>
  </si>
  <si>
    <t>SPHapsFUL-081025-01</t>
  </si>
  <si>
    <t>MTZ_110</t>
  </si>
  <si>
    <t>Viacheslav Kecha</t>
  </si>
  <si>
    <t>0006073220_4900</t>
  </si>
  <si>
    <t>09/10/2025 07:30-07:30</t>
  </si>
  <si>
    <t>HAPSDCFR20251008-02</t>
  </si>
  <si>
    <t>0006073212_4900</t>
  </si>
  <si>
    <t>WGM_89379</t>
  </si>
  <si>
    <t>HAPSDCAT20251008-01</t>
  </si>
  <si>
    <t>NAP_067</t>
  </si>
  <si>
    <t>Adnan Naveed</t>
  </si>
  <si>
    <t>0006084274_4900</t>
  </si>
  <si>
    <t>456472 / 455019</t>
  </si>
  <si>
    <t>GLOS - DK Glostrup / GLOS - DK Glostrup</t>
  </si>
  <si>
    <t>10/10/2025 09:00-09:00</t>
  </si>
  <si>
    <t>HAPSDCDK20251008-01 / HAPSDCDK20251008-01</t>
  </si>
  <si>
    <t>5019081427 / 5019083737</t>
  </si>
  <si>
    <t>0006073228_4900</t>
  </si>
  <si>
    <t>456475 / 451342</t>
  </si>
  <si>
    <t>OP6409J</t>
  </si>
  <si>
    <t>HAPSDCPL20251008-01 / HAPSDCPL20251008-01</t>
  </si>
  <si>
    <t>5019118128 / 5019111741</t>
  </si>
  <si>
    <t>OKR52V7</t>
  </si>
  <si>
    <t>Bogdanik Krzysztof</t>
  </si>
  <si>
    <t>0006073229_4900</t>
  </si>
  <si>
    <t>456470 / 456469 / 451341</t>
  </si>
  <si>
    <t>KN316PC</t>
  </si>
  <si>
    <t>HAPSDCPL20251008-02 / HAPSDCPL20251008-02 / HAPSDCPL20251008-02</t>
  </si>
  <si>
    <t>5019114170 / 5019107830 / 5019093718</t>
  </si>
  <si>
    <t>WPR0414U</t>
  </si>
  <si>
    <t xml:space="preserve">?uba Damian </t>
  </si>
  <si>
    <t>362328_OOS</t>
  </si>
  <si>
    <t>CN-SEA-6058461_OOS</t>
  </si>
  <si>
    <t>10/10/2025 00:03-00:03</t>
  </si>
  <si>
    <t>0006089145_4900</t>
  </si>
  <si>
    <t>457169 / 456763</t>
  </si>
  <si>
    <t>16/10/2025 15:00-15:00</t>
  </si>
  <si>
    <t>HAPSDCNO20251009-02 / HAPSDCNO20251009-02</t>
  </si>
  <si>
    <t>5019124174 / 5019135530</t>
  </si>
  <si>
    <t>370874_OOS</t>
  </si>
  <si>
    <t>10/10/2025 15:00-15:00</t>
  </si>
  <si>
    <t>0006073218_4900</t>
  </si>
  <si>
    <t>456487 / 451334 / 456471</t>
  </si>
  <si>
    <t>TAMP - FI Tampere / TAMP - FI Tampere / VANT - FI Vantaa (Havi Log)</t>
  </si>
  <si>
    <t>15/10/2025 16:00-16:00 / 15/10/2025 11:00-11:00</t>
  </si>
  <si>
    <t>HAPSDCFI20251008-01 / HAPSDCFI20251008-01 / HAPSDCFI20251008-01</t>
  </si>
  <si>
    <t>5019123151 / 5019125125 / 5018433126</t>
  </si>
  <si>
    <t>0006089408_4900</t>
  </si>
  <si>
    <t>15/10/2025 18:00-18:00</t>
  </si>
  <si>
    <t>HAPSDCUK20251009-05</t>
  </si>
  <si>
    <t>0006073243_4900</t>
  </si>
  <si>
    <t>457157 / 451377</t>
  </si>
  <si>
    <t>HAPSDCNO20251009-01 / HAPSDCNO20251009-01</t>
  </si>
  <si>
    <t>5019121371 / 5019121372</t>
  </si>
  <si>
    <t>368987_OOS</t>
  </si>
  <si>
    <t>4505784636 LZV</t>
  </si>
  <si>
    <t>362866_OOS</t>
  </si>
  <si>
    <t>AU-SEA-6061110_OOS</t>
  </si>
  <si>
    <t>10/10/2025 00:01-00:01</t>
  </si>
  <si>
    <t>0006073241_4900</t>
  </si>
  <si>
    <t>457236 / 457235</t>
  </si>
  <si>
    <t>BELF - IE Belfast (Moviento) / BELF - IE Belfast (Moviento)</t>
  </si>
  <si>
    <t>16/10/2025 16:00-16:00</t>
  </si>
  <si>
    <t>HAPSDCIE20251009-01 / HAPSDCIE20251009-01</t>
  </si>
  <si>
    <t>5019140920 / 5019126429</t>
  </si>
  <si>
    <t>0006078819_4900</t>
  </si>
  <si>
    <t>OUDA - FR Le Havre (Oudalle)</t>
  </si>
  <si>
    <t>10/10/2025 09:30-09:30</t>
  </si>
  <si>
    <t>HAPSDCFR20251003-01</t>
  </si>
  <si>
    <t>362867_OOS</t>
  </si>
  <si>
    <t>AU-SEA-6061181_OOS</t>
  </si>
  <si>
    <t xml:space="preserve">5019079808 5019080567 </t>
  </si>
  <si>
    <t>369307_OOS</t>
  </si>
  <si>
    <t>362863_OOS</t>
  </si>
  <si>
    <t>AU-SEA-6061109_OOS</t>
  </si>
  <si>
    <t xml:space="preserve">5019056674 5019064571 </t>
  </si>
  <si>
    <t>0006082537_4900</t>
  </si>
  <si>
    <t>HAPSDCUK20251009-02</t>
  </si>
  <si>
    <t>368230_OOS</t>
  </si>
  <si>
    <t>NWW-ROAD_OOS</t>
  </si>
  <si>
    <t>Kuehne   Nagel Logistics B.V.</t>
  </si>
  <si>
    <t>knmoe.forwarding@kuehne-nagel.com</t>
  </si>
  <si>
    <t>368763_OOS</t>
  </si>
  <si>
    <t>DJ-SEA_OOS</t>
  </si>
  <si>
    <t>Global FF</t>
  </si>
  <si>
    <t>Misba@globalff.co.uk</t>
  </si>
  <si>
    <t>367525_OOS</t>
  </si>
  <si>
    <t>MEA 5018914010</t>
  </si>
  <si>
    <t>370331_OOS</t>
  </si>
  <si>
    <t>DO - SEA_OOS</t>
  </si>
  <si>
    <t>DN 5019091322</t>
  </si>
  <si>
    <t>DOM REP</t>
  </si>
  <si>
    <t>SRTMS</t>
  </si>
  <si>
    <t>0006082539_4900</t>
  </si>
  <si>
    <t>HAPSDCUK20251009-04</t>
  </si>
  <si>
    <t>0006082538_4900</t>
  </si>
  <si>
    <t>HAPSDCUK20251009-03</t>
  </si>
  <si>
    <t>366452_OOS</t>
  </si>
  <si>
    <t>0006073240_4900</t>
  </si>
  <si>
    <t>10/10/2025 08:30-08:30</t>
  </si>
  <si>
    <t>HAPSDCFR20251009-03</t>
  </si>
  <si>
    <t>367529_OOS</t>
  </si>
  <si>
    <t xml:space="preserve">MEA 5018890677 5018913694 5018949224 </t>
  </si>
  <si>
    <t>369839_OOS</t>
  </si>
  <si>
    <t>MEA 5018913009</t>
  </si>
  <si>
    <t>0006073247_4900</t>
  </si>
  <si>
    <t>HAPSDCSE20251009-01</t>
  </si>
  <si>
    <t>0006082536_4900</t>
  </si>
  <si>
    <t>HAPSDCUK20251009-01</t>
  </si>
  <si>
    <t>0006089406_4900</t>
  </si>
  <si>
    <t>09/10/2025 21:00-21:00</t>
  </si>
  <si>
    <t>HAPSDCNL20251009-01</t>
  </si>
  <si>
    <t>0006073238_4900</t>
  </si>
  <si>
    <t>457150 / 451383</t>
  </si>
  <si>
    <t>10/10/2025 10:30-10:30</t>
  </si>
  <si>
    <t>HAPSDCFR20251009-01 / HAPSDCFR20251009-01</t>
  </si>
  <si>
    <t>5019133621 / 5019126857</t>
  </si>
  <si>
    <t>370145_OOS</t>
  </si>
  <si>
    <t>AIR - UY_OOS</t>
  </si>
  <si>
    <t>tom.bloos@geodis.com</t>
  </si>
  <si>
    <t>370431_OOS</t>
  </si>
  <si>
    <t>RWM006630963_OOS</t>
  </si>
  <si>
    <t>Kuehne Nagel</t>
  </si>
  <si>
    <t>370710_OOS</t>
  </si>
  <si>
    <t>ELN 5019112137</t>
  </si>
  <si>
    <t>0006073242_4900</t>
  </si>
  <si>
    <t>HAPSDCIT20251009-01</t>
  </si>
  <si>
    <t>0006089407_4900</t>
  </si>
  <si>
    <t>HAPSDCNL20251009-02</t>
  </si>
  <si>
    <t>368252_OOS</t>
  </si>
  <si>
    <t>0006073232_4900</t>
  </si>
  <si>
    <t>HAPSDCDE20251009-01</t>
  </si>
  <si>
    <t>0006073235_4900</t>
  </si>
  <si>
    <t>HAPSDCDE20251009-04</t>
  </si>
  <si>
    <t>369490_OOS</t>
  </si>
  <si>
    <t>NWW-SEA_OOS</t>
  </si>
  <si>
    <t>Five Star Global Logistics BV</t>
  </si>
  <si>
    <t>5019051527   5018790461   5019069704   5019055798</t>
  </si>
  <si>
    <t>sari.goossens@5star-global.com</t>
  </si>
  <si>
    <t>0006089733_4900</t>
  </si>
  <si>
    <t>10/10/2025 13:00-13:00</t>
  </si>
  <si>
    <t>HAPSDCDE20251009-05</t>
  </si>
  <si>
    <t>0006073233_4900</t>
  </si>
  <si>
    <t>HAPSDCDE20251009-02</t>
  </si>
  <si>
    <t>0006073246_4900</t>
  </si>
  <si>
    <t>457173 / 457172 / 457171 / 451374</t>
  </si>
  <si>
    <t>AZA2 - PT Azambuja Ambient / AZA2 - PT Azambuja Ambient / AZA2 - PT Azambuja Ambient / AZA2 - PT Azambuja Ambient</t>
  </si>
  <si>
    <t>13/10/2025 14:00-14:00</t>
  </si>
  <si>
    <t>HAPSDCPT20251009-01 / HAPSDCPT20251009-01 / HAPSDCPT20251009-01 / HAPSDCPT20251009-01</t>
  </si>
  <si>
    <t>5019125199 / 5019133494 / 5019134985 / 5019136202</t>
  </si>
  <si>
    <t>0006073239_4900</t>
  </si>
  <si>
    <t>10/10/2025 07:30-07:30</t>
  </si>
  <si>
    <t>HAPSDCFR20251009-02</t>
  </si>
  <si>
    <t>0006091373_4900</t>
  </si>
  <si>
    <t>HAPSDCIT20251009-03</t>
  </si>
  <si>
    <t>0006073234_4900</t>
  </si>
  <si>
    <t>HAPSDCDE20251009-03</t>
  </si>
  <si>
    <t>0006073244_4900</t>
  </si>
  <si>
    <t>10/10/2025 21:00-21:00</t>
  </si>
  <si>
    <t>KRA520PA</t>
  </si>
  <si>
    <t>HAPSDCPL20251009-01</t>
  </si>
  <si>
    <t>KRA369CK</t>
  </si>
  <si>
    <t>Przemys?aw Czernik</t>
  </si>
  <si>
    <t>0006073245_4900</t>
  </si>
  <si>
    <t>457153 / 451358</t>
  </si>
  <si>
    <t>DSW567AG</t>
  </si>
  <si>
    <t>HAPSDCPL20251009-02 / HAPSDCPL20251009-02</t>
  </si>
  <si>
    <t>5019123471 / 5019135093</t>
  </si>
  <si>
    <t>OP8725S</t>
  </si>
  <si>
    <t>Sobolewski Dariusz</t>
  </si>
  <si>
    <t>0006073236_4900</t>
  </si>
  <si>
    <t>13/10/2025 12:00-12:00</t>
  </si>
  <si>
    <t>HAPSDCES20251009-01</t>
  </si>
  <si>
    <t>0006082542_4900</t>
  </si>
  <si>
    <t>HAPSDCUK20251010-03</t>
  </si>
  <si>
    <t>359391_OOS</t>
  </si>
  <si>
    <t>US-SEA-6048326_OOS</t>
  </si>
  <si>
    <t xml:space="preserve">5019069634 5019071143 5019081928 </t>
  </si>
  <si>
    <t>11/10/2025 00:06-00:06</t>
  </si>
  <si>
    <t>368988_OOS</t>
  </si>
  <si>
    <t>4505786661 LZV</t>
  </si>
  <si>
    <t>11/10/2025 10:00-10:00</t>
  </si>
  <si>
    <t>0006089976_4900</t>
  </si>
  <si>
    <t>15/10/2025 12:00-12:00</t>
  </si>
  <si>
    <t>HAPSDCIT20251009-02</t>
  </si>
  <si>
    <t>358616_OOS</t>
  </si>
  <si>
    <t>SV - SEA_OOS</t>
  </si>
  <si>
    <t xml:space="preserve">DN 5019070342 / 5019070548 </t>
  </si>
  <si>
    <t>11/10/2025 12:00-12:00</t>
  </si>
  <si>
    <t>EL SALVADOR</t>
  </si>
  <si>
    <t>SRTMS182218</t>
  </si>
  <si>
    <t>371659_OOS</t>
  </si>
  <si>
    <t>11/10/2025 15:00-15:00</t>
  </si>
  <si>
    <t>0006073257_4900</t>
  </si>
  <si>
    <t>11/10/2025 23:00-23:00</t>
  </si>
  <si>
    <t>HAPSDCIT20251010-01</t>
  </si>
  <si>
    <t>370323_OOS</t>
  </si>
  <si>
    <t>ARG 5019103370</t>
  </si>
  <si>
    <t>0006073256_4900</t>
  </si>
  <si>
    <t>451362 / 451363</t>
  </si>
  <si>
    <t>DUBL - IE Dublin (United Drug) / DUB3 - IE Dublin (Pemberton)</t>
  </si>
  <si>
    <t>17/10/2025 23:00-23:00 / 17/10/2025 18:00-18:00</t>
  </si>
  <si>
    <t>HAPSDCIE20251010-01 / HAPSDCIE20251010-01</t>
  </si>
  <si>
    <t>5019138544 / 5019145327</t>
  </si>
  <si>
    <t>371118_OOS</t>
  </si>
  <si>
    <t>MEA 5019112338 5019121494 5019123450 5019098312</t>
  </si>
  <si>
    <t>370324_OOS</t>
  </si>
  <si>
    <t>ARG 5019091475</t>
  </si>
  <si>
    <t>370767_OOS</t>
  </si>
  <si>
    <t>CN 5018847884</t>
  </si>
  <si>
    <t>368764_OOS</t>
  </si>
  <si>
    <t>5019059372   5019065184</t>
  </si>
  <si>
    <t>369308_OOS</t>
  </si>
  <si>
    <t>90021083   90023404</t>
  </si>
  <si>
    <t>0006082543_4900</t>
  </si>
  <si>
    <t>HAPSDCUK20251010-04</t>
  </si>
  <si>
    <t>366446_OOS</t>
  </si>
  <si>
    <t>5019111678 + 5019120871 + 5019129620</t>
  </si>
  <si>
    <t>0006082541_4900</t>
  </si>
  <si>
    <t>HAPSDCUK20251010-02</t>
  </si>
  <si>
    <t>366453_OOS</t>
  </si>
  <si>
    <t>0006082544_4900</t>
  </si>
  <si>
    <t>457977 / 454246</t>
  </si>
  <si>
    <t>slot checked out  but driver came back with container due to fact that COKZ documents were missing</t>
  </si>
  <si>
    <t>HAPSDCUK20251010-05 / HAPSDCUK20251010-05</t>
  </si>
  <si>
    <t>5019080632 / 5019071030</t>
  </si>
  <si>
    <t>369806_OOS</t>
  </si>
  <si>
    <t>0090009466_OOS</t>
  </si>
  <si>
    <t>Transportbedrijf Gerwin van Beek</t>
  </si>
  <si>
    <t>Scraporders to Denkavit: 0090009466 ? 0090030734 ? 0090012990 ? 0090014708 ? 0090024932 - 0090024475 Loading number 0090009466 Special instructions added: M20004 M11138 NBB</t>
  </si>
  <si>
    <t>11/10/2025 00:00-00:00</t>
  </si>
  <si>
    <t>0006073249_4900</t>
  </si>
  <si>
    <t>12/10/2025 23:30-23:30</t>
  </si>
  <si>
    <t>HAPSDCDE20251010-01</t>
  </si>
  <si>
    <t>366447_OOS</t>
  </si>
  <si>
    <t>370794_OOS</t>
  </si>
  <si>
    <t>US 5019091474</t>
  </si>
  <si>
    <t>0006092976_4900</t>
  </si>
  <si>
    <t>17/10/2025 12:00-12:00</t>
  </si>
  <si>
    <t>HAPSDCSE20251010-02</t>
  </si>
  <si>
    <t>0006073251_4900</t>
  </si>
  <si>
    <t>HAPSDCDE20251010-03</t>
  </si>
  <si>
    <t>366451_OOS</t>
  </si>
  <si>
    <t>5019135212 + 5019111835 - NO SHOW</t>
  </si>
  <si>
    <t>371117_OOS</t>
  </si>
  <si>
    <t>MEA 5019100737 5019121528 5019118176</t>
  </si>
  <si>
    <t>368813_OOS</t>
  </si>
  <si>
    <t>5019081264 - NO SHOW</t>
  </si>
  <si>
    <t>370315_OOS</t>
  </si>
  <si>
    <t>ARG 5019101729</t>
  </si>
  <si>
    <t>370766_OOS</t>
  </si>
  <si>
    <t>HK 5019078657 5019067597</t>
  </si>
  <si>
    <t>369461_OOS</t>
  </si>
  <si>
    <t>5019084611 - NO SHOW</t>
  </si>
  <si>
    <t>0006073213_4900</t>
  </si>
  <si>
    <t>457234 / 458474 / 451332</t>
  </si>
  <si>
    <t>INTERKONTAKT FOR SN 3PO</t>
  </si>
  <si>
    <t>PRAH - CZ Praha (PHOENIX) / RICA - CZ Ricany DC2 Ambient WH / RICA - CZ Ricany DC2 Ambient WH</t>
  </si>
  <si>
    <t>13/10/2025 13:00-13:00 / 13/10/2025 08:00-08:00</t>
  </si>
  <si>
    <t>6SY2686</t>
  </si>
  <si>
    <t>HAPSDCCZ20251008-01 / HAPSDCCZ20251008-01 / HAPSDCCZ20251008-01</t>
  </si>
  <si>
    <t>5019147563 / 5019153928 / 5019144211</t>
  </si>
  <si>
    <t>4SV0039</t>
  </si>
  <si>
    <t>370322_OOS</t>
  </si>
  <si>
    <t>ARG 5019093278</t>
  </si>
  <si>
    <t>0006073222_4900</t>
  </si>
  <si>
    <t>451348 / 451347</t>
  </si>
  <si>
    <t>13/10/2025 15:00-15:00 / 13/10/2025 08:00-08:00</t>
  </si>
  <si>
    <t>P7094</t>
  </si>
  <si>
    <t>HAPSDCHU20251008-01 / HAPSDCHU20251008-01</t>
  </si>
  <si>
    <t>5019128945 / 5019140738</t>
  </si>
  <si>
    <t>KT9767</t>
  </si>
  <si>
    <t>0006092897_4900</t>
  </si>
  <si>
    <t>HAPSDCIT20251010-03</t>
  </si>
  <si>
    <t>0006078820_4900</t>
  </si>
  <si>
    <t>456115 / 453336</t>
  </si>
  <si>
    <t>PETR - RO Petresti / PET2 - RO Dragomiresti (Petresti)</t>
  </si>
  <si>
    <t>17/10/2025 14:00-14:00 / 17/10/2025 11:00-11:00</t>
  </si>
  <si>
    <t>UIT: 7V0Y941603430189 / UIT: 6H2H872809430170</t>
  </si>
  <si>
    <t>5019133903 / 5019121532</t>
  </si>
  <si>
    <t>0006073250_4900</t>
  </si>
  <si>
    <t>HAPSDCDE20251010-02</t>
  </si>
  <si>
    <t>0006082540_4900</t>
  </si>
  <si>
    <t>457980 / 454245</t>
  </si>
  <si>
    <t>PZ_3C256</t>
  </si>
  <si>
    <t>HAPSDCUK20251010-01 / HAPSDCUK20251010-01</t>
  </si>
  <si>
    <t>5019135901 / 5019125152</t>
  </si>
  <si>
    <t>PZ_5A944</t>
  </si>
  <si>
    <t>Sergey Ulyanov</t>
  </si>
  <si>
    <t>368866_OOS</t>
  </si>
  <si>
    <t>5019080704 - NO SHOW</t>
  </si>
  <si>
    <t>0006073261_4900</t>
  </si>
  <si>
    <t>PZ_3N596</t>
  </si>
  <si>
    <t>HAPSDCPL20251010-02</t>
  </si>
  <si>
    <t>PZ_4C978</t>
  </si>
  <si>
    <t>Dzmitry Yuryeu</t>
  </si>
  <si>
    <t>0006073252_4900</t>
  </si>
  <si>
    <t>457982 / 457981 / 451370</t>
  </si>
  <si>
    <t>GLOS - DK Glostrup / GLOS - DK Glostrup / GLOS - DK Glostrup</t>
  </si>
  <si>
    <t>HAPSDCDK20251010-01 / HAPSDCDK20251010-01 / HAPSDCDK20251010-01</t>
  </si>
  <si>
    <t>5019145442 / 5019135899 / 5019128032</t>
  </si>
  <si>
    <t>0006073254_4900</t>
  </si>
  <si>
    <t>13/10/2025 23:30-23:30</t>
  </si>
  <si>
    <t>HAPSDCES20251010-02</t>
  </si>
  <si>
    <t>0006073260_4900</t>
  </si>
  <si>
    <t>457979 / 457978 / 451371</t>
  </si>
  <si>
    <t>13/10/2025 13:00-13:00</t>
  </si>
  <si>
    <t>HAPSDCPL20251010-01 / HAPSDCPL20251010-01 / HAPSDCPL20251010-01</t>
  </si>
  <si>
    <t>5019133992 / 5019129631 / 5019123825</t>
  </si>
  <si>
    <t>0006073263_4900</t>
  </si>
  <si>
    <t>17/10/2025 16:00-16:00</t>
  </si>
  <si>
    <t>HAPSDCSE20251010-01</t>
  </si>
  <si>
    <t>0006073258_4900</t>
  </si>
  <si>
    <t>11/10/2025 20:00-20:00</t>
  </si>
  <si>
    <t>HAPSDCIT20251010-02</t>
  </si>
  <si>
    <t>0006073262_4900</t>
  </si>
  <si>
    <t>PZ_4N661</t>
  </si>
  <si>
    <t>HAPSDCPL20251010-03</t>
  </si>
  <si>
    <t>PZ_5K919</t>
  </si>
  <si>
    <t>Dzianis Pauliuchenka</t>
  </si>
  <si>
    <t>372295_OOS</t>
  </si>
  <si>
    <t>0006093958_4900</t>
  </si>
  <si>
    <t>17/10/2025 18:00-18:00</t>
  </si>
  <si>
    <t>HAPSDCUK20251013-06</t>
  </si>
  <si>
    <t>364663_OOS</t>
  </si>
  <si>
    <t>CN-SEA-6068780_OOS</t>
  </si>
  <si>
    <t xml:space="preserve">5019016343 5019051645 </t>
  </si>
  <si>
    <t>14/10/2025 00:02-00:02</t>
  </si>
  <si>
    <t>0006073253_4900</t>
  </si>
  <si>
    <t>14/10/2025 08:00-08:00</t>
  </si>
  <si>
    <t xml:space="preserve">R1392BDG </t>
  </si>
  <si>
    <t>HAPSDCES20251010-01</t>
  </si>
  <si>
    <t>1378MCD</t>
  </si>
  <si>
    <t>0006088382_4900</t>
  </si>
  <si>
    <t>HAPSDCUK20251013-04</t>
  </si>
  <si>
    <t>372163_OOS</t>
  </si>
  <si>
    <t>ARG-SEA (NO-SHOW)_OOS</t>
  </si>
  <si>
    <t>14/10/2025 10:00-10:00</t>
  </si>
  <si>
    <t>364664_OOS</t>
  </si>
  <si>
    <t>CN-SEA-6068781_OOS</t>
  </si>
  <si>
    <t>0006080894_4900</t>
  </si>
  <si>
    <t>19/10/2025 21:00-21:00</t>
  </si>
  <si>
    <t>HAPSDCIE20251013-01</t>
  </si>
  <si>
    <t>0006094749_4900</t>
  </si>
  <si>
    <t>PZ_2S256</t>
  </si>
  <si>
    <t>HAPSDCUK20251013-08</t>
  </si>
  <si>
    <t>PZ_7F816</t>
  </si>
  <si>
    <t>Hryhorii Vilihurskyi</t>
  </si>
  <si>
    <t>0006093959_4900</t>
  </si>
  <si>
    <t>17/10/2025 17:00-17:00</t>
  </si>
  <si>
    <t>HAPSDCUK20251013-07</t>
  </si>
  <si>
    <t>371577_OOS</t>
  </si>
  <si>
    <t xml:space="preserve">4505788486 Regular </t>
  </si>
  <si>
    <t>364764_OOS</t>
  </si>
  <si>
    <t>NZ-SEA-6068785_OOS</t>
  </si>
  <si>
    <t>14/10/2025 00:01-00:01</t>
  </si>
  <si>
    <t>0006088381_4900</t>
  </si>
  <si>
    <t>HAPSDCUK20251013-03</t>
  </si>
  <si>
    <t>0006094746_4900</t>
  </si>
  <si>
    <t>20/10/2025 16:00-16:00</t>
  </si>
  <si>
    <t>HAPSDCFI20251013-01</t>
  </si>
  <si>
    <t>0006094750_4900</t>
  </si>
  <si>
    <t>14/10/2025 17:00-17:00</t>
  </si>
  <si>
    <t>PZ_2S255</t>
  </si>
  <si>
    <t>HAPSDCUK20251013-09</t>
  </si>
  <si>
    <t>PZ_5Y248</t>
  </si>
  <si>
    <t>Vitali Sidarovich</t>
  </si>
  <si>
    <t>370325_OOS</t>
  </si>
  <si>
    <t>ARG 5019101848</t>
  </si>
  <si>
    <t>371027_OOS</t>
  </si>
  <si>
    <t>DN 5019057270 (8 PLT)</t>
  </si>
  <si>
    <t>14/10/2025 09:00-09:00</t>
  </si>
  <si>
    <t>0006088360_4900</t>
  </si>
  <si>
    <t>HAPSDCUK20251013-02</t>
  </si>
  <si>
    <t>0006088383_4900</t>
  </si>
  <si>
    <t>HAPSDCUK20251013-05</t>
  </si>
  <si>
    <t>368971_OOS</t>
  </si>
  <si>
    <t xml:space="preserve">ELN 5019120891 5019164736 </t>
  </si>
  <si>
    <t>0006088359_4900</t>
  </si>
  <si>
    <t>PZ_211WP</t>
  </si>
  <si>
    <t>HAPSDCUK20251013-01</t>
  </si>
  <si>
    <t>PZ_5W067</t>
  </si>
  <si>
    <t>Serhii Dmitrov</t>
  </si>
  <si>
    <t>369462_OOS</t>
  </si>
  <si>
    <t>14/10/2025 12:00-12:00</t>
  </si>
  <si>
    <t>0006080892_4900</t>
  </si>
  <si>
    <t>HAPSDCFR20251013-03</t>
  </si>
  <si>
    <t>370326_OOS</t>
  </si>
  <si>
    <t>ARG 5019101849</t>
  </si>
  <si>
    <t>0006080809_4900</t>
  </si>
  <si>
    <t>16/10/2025 14:00-14:00</t>
  </si>
  <si>
    <t>HAPSDCES20251013-01</t>
  </si>
  <si>
    <t>370328_OOS</t>
  </si>
  <si>
    <t>ARG 5019105444</t>
  </si>
  <si>
    <t>0006080808_4900</t>
  </si>
  <si>
    <t>HAPSDCDE20251013-03</t>
  </si>
  <si>
    <t>0006080806_4900</t>
  </si>
  <si>
    <t>HAPSDCDE20251013-01</t>
  </si>
  <si>
    <t>0006080807_4900</t>
  </si>
  <si>
    <t>HAPSDCDE20251013-02</t>
  </si>
  <si>
    <t>366454_OOS</t>
  </si>
  <si>
    <t>shipped and sealed  but not picked up by driver due to missing documents</t>
  </si>
  <si>
    <t>5018903508 + 5018970318 + 5019022092 + 5019030442 + 5019019934 + 5019023250 + 5019025738 + 5019043780 + 5019041508</t>
  </si>
  <si>
    <t>0006080900_4900</t>
  </si>
  <si>
    <t>HAPSDCSE20251013-01</t>
  </si>
  <si>
    <t>0006080804_4900</t>
  </si>
  <si>
    <t>15/10/2025 11:00-11:00</t>
  </si>
  <si>
    <t>PZ_7T346</t>
  </si>
  <si>
    <t>HAPSDCAT20251013-01</t>
  </si>
  <si>
    <t>NIK_460</t>
  </si>
  <si>
    <t>Tarun Kumar</t>
  </si>
  <si>
    <t>0006080810_4900</t>
  </si>
  <si>
    <t>14/10/2025 13:00-13:00</t>
  </si>
  <si>
    <t>HAPSDCFR20251013-01</t>
  </si>
  <si>
    <t>0006091976_4900</t>
  </si>
  <si>
    <t>15/10/2025 06:00-06:00</t>
  </si>
  <si>
    <t>HAPSDCDE20251013-04</t>
  </si>
  <si>
    <t>0006080891_4900</t>
  </si>
  <si>
    <t>14/10/2025 13:30-13:30</t>
  </si>
  <si>
    <t>HAPSDCFR20251013-02</t>
  </si>
  <si>
    <t>0006080895_4900</t>
  </si>
  <si>
    <t>15/10/2025 22:00-22:00</t>
  </si>
  <si>
    <t>HAPSDCIT20251013-01</t>
  </si>
  <si>
    <t>0006080896_4900</t>
  </si>
  <si>
    <t>HAPSDCIT20251013-02</t>
  </si>
  <si>
    <t>0006094748_4900</t>
  </si>
  <si>
    <t>AZA2 - PT Azambuja Ambient</t>
  </si>
  <si>
    <t>17/10/2025 08:00-08:00</t>
  </si>
  <si>
    <t>MZ_327</t>
  </si>
  <si>
    <t>HAPSDCPT20251013-01</t>
  </si>
  <si>
    <t>NLA_159</t>
  </si>
  <si>
    <t>Akmal Vatanshoev</t>
  </si>
  <si>
    <t>0006080897_4900</t>
  </si>
  <si>
    <t>458534 / 453803</t>
  </si>
  <si>
    <t>20/10/2025 22:00-22:00</t>
  </si>
  <si>
    <t>HAPSDCPL20251013-01 / HAPSDCPL20251013-01</t>
  </si>
  <si>
    <t>5019155161 / 5019135796</t>
  </si>
  <si>
    <t>0006080898_4900</t>
  </si>
  <si>
    <t>15/10/2025 23:00-23:00</t>
  </si>
  <si>
    <t>HAPSDCPL20251013-02</t>
  </si>
  <si>
    <t>0006088387_4900</t>
  </si>
  <si>
    <t>20/10/2025 18:00-18:00</t>
  </si>
  <si>
    <t>HAPSDCUK20251014-04</t>
  </si>
  <si>
    <t>0006095146_4900</t>
  </si>
  <si>
    <t>20/10/2025 23:00-23:00</t>
  </si>
  <si>
    <t>HAPSDCUK20251014-07</t>
  </si>
  <si>
    <t>0006088386_4900</t>
  </si>
  <si>
    <t>HAPSDCUK20251014-03</t>
  </si>
  <si>
    <t>368970_OOS</t>
  </si>
  <si>
    <t xml:space="preserve">ELN 5019111739 5019091442  </t>
  </si>
  <si>
    <t>15/10/2025 10:00-10:00</t>
  </si>
  <si>
    <t>371578_OOS</t>
  </si>
  <si>
    <t>4505790497 LZV</t>
  </si>
  <si>
    <t>372156_OOS</t>
  </si>
  <si>
    <t>5019058483_OOS</t>
  </si>
  <si>
    <t>Eucon</t>
  </si>
  <si>
    <t>Wrong delivery to Haps. Should have been to Opole.</t>
  </si>
  <si>
    <t>15/10/2025 14:00-14:00</t>
  </si>
  <si>
    <t>0006080942_4900</t>
  </si>
  <si>
    <t>19/10/2025 22:00-22:00</t>
  </si>
  <si>
    <t>HAPSDCIE20251014-01</t>
  </si>
  <si>
    <t>367243_OOS</t>
  </si>
  <si>
    <t>BR-SEA-6078292_OOS</t>
  </si>
  <si>
    <t>15/10/2025 00:01-00:01</t>
  </si>
  <si>
    <t>0006080944_4900</t>
  </si>
  <si>
    <t>21/10/2025 23:00-23:00</t>
  </si>
  <si>
    <t>HAPSDCIT20251014-02</t>
  </si>
  <si>
    <t>372389_OOS</t>
  </si>
  <si>
    <t>Kivits Elshout - Road_OOS</t>
  </si>
  <si>
    <t>Koopman</t>
  </si>
  <si>
    <t>15/10/2025 00:00-00:00</t>
  </si>
  <si>
    <t>367244_OOS</t>
  </si>
  <si>
    <t>BR-SEA-6078293_OOS</t>
  </si>
  <si>
    <t>15/10/2025 00:02-00:02</t>
  </si>
  <si>
    <t>367245_OOS</t>
  </si>
  <si>
    <t>BR-SEA-6078294_OOS</t>
  </si>
  <si>
    <t>369277_OOS</t>
  </si>
  <si>
    <t>0006088388_4900</t>
  </si>
  <si>
    <t>HAPSDCUK20251014-05</t>
  </si>
  <si>
    <t>368980_OOS</t>
  </si>
  <si>
    <t>ELN 5019111740 5019095837</t>
  </si>
  <si>
    <t>0006095145_4900</t>
  </si>
  <si>
    <t>HAPSDCUK20251014-06</t>
  </si>
  <si>
    <t>0006088385_4900</t>
  </si>
  <si>
    <t>HAPSDCUK20251014-02</t>
  </si>
  <si>
    <t>368981_OOS</t>
  </si>
  <si>
    <t>MEA 5018990248 5018963081 5019018361 5019011622 5018996950 5019083219</t>
  </si>
  <si>
    <t>0006088384_4900</t>
  </si>
  <si>
    <t>16/10/2025 13:00-13:00</t>
  </si>
  <si>
    <t>HAPSDCUK20251014-01</t>
  </si>
  <si>
    <t>370329_OOS</t>
  </si>
  <si>
    <t>ARG 5019101214</t>
  </si>
  <si>
    <t>368982_OOS</t>
  </si>
  <si>
    <t>MEA 5019096427 5019111016 5019093306</t>
  </si>
  <si>
    <t>0006080910_4900</t>
  </si>
  <si>
    <t>15/10/2025 10:30-10:30</t>
  </si>
  <si>
    <t>HAPSDCFR20251014-02</t>
  </si>
  <si>
    <t>370758_OOS</t>
  </si>
  <si>
    <t>AU-AIR_OOS</t>
  </si>
  <si>
    <t>AU 5019095590 5019070763</t>
  </si>
  <si>
    <t>370330_OOS</t>
  </si>
  <si>
    <t>ARG 5019093356</t>
  </si>
  <si>
    <t>0006080905_4900</t>
  </si>
  <si>
    <t>HAPSDCDE20251014-02</t>
  </si>
  <si>
    <t>0006080906_4900</t>
  </si>
  <si>
    <t>HAPSDCDE20251014-03</t>
  </si>
  <si>
    <t>0006080908_4900</t>
  </si>
  <si>
    <t>459300 / 453841</t>
  </si>
  <si>
    <t>TAMP - FI Tampere / TAMP - FI Tampere</t>
  </si>
  <si>
    <t>21/10/2025 13:00-13:00</t>
  </si>
  <si>
    <t>HAPSDCFI20251014-01 / HAPSDCFI20251014-01</t>
  </si>
  <si>
    <t>5019161084 / 5019148588</t>
  </si>
  <si>
    <t>0006080907_4900</t>
  </si>
  <si>
    <t>17/10/2025 14:00-14:00</t>
  </si>
  <si>
    <t>HAPSDCES20251014-01</t>
  </si>
  <si>
    <t>0006080948_4900</t>
  </si>
  <si>
    <t>459302 / 453879</t>
  </si>
  <si>
    <t>21/10/2025 16:00-16:00</t>
  </si>
  <si>
    <t>HAPSDCSE20251014-01 / HAPSDCSE20251014-01</t>
  </si>
  <si>
    <t>5019167480 / 5019162535</t>
  </si>
  <si>
    <t>0006080909_4900</t>
  </si>
  <si>
    <t>HAPSDCFR20251014-01</t>
  </si>
  <si>
    <t>0006080904_4900</t>
  </si>
  <si>
    <t>HAPSDCDE20251014-01</t>
  </si>
  <si>
    <t>0006080945_4900</t>
  </si>
  <si>
    <t>459305 / 453869</t>
  </si>
  <si>
    <t>17/10/2025 14:30-14:30</t>
  </si>
  <si>
    <t>HAPSDCLV20251014-01 / HAPSDCLV20251014-01</t>
  </si>
  <si>
    <t>5019157011 / 5019149909</t>
  </si>
  <si>
    <t>0006080941_4900</t>
  </si>
  <si>
    <t>459304 / 453889</t>
  </si>
  <si>
    <t>15/10/2025 13:00-13:00</t>
  </si>
  <si>
    <t>HAPSDCFR20251014-03 / HAPSDCFR20251014-03</t>
  </si>
  <si>
    <t>5019153892 / 5019144150</t>
  </si>
  <si>
    <t>0006080947_4900</t>
  </si>
  <si>
    <t>21/10/2025 21:00-21:00</t>
  </si>
  <si>
    <t>KRA8183P</t>
  </si>
  <si>
    <t>HAPSDCPL20251014-02</t>
  </si>
  <si>
    <t>WPR6284T</t>
  </si>
  <si>
    <t xml:space="preserve">Janik Pawe? </t>
  </si>
  <si>
    <t>0006080943_4900</t>
  </si>
  <si>
    <t>453874 / 458902</t>
  </si>
  <si>
    <t>GREZ - IT Grezzago (Pozzuolo Martesana) / CODO - IT Codogno</t>
  </si>
  <si>
    <t>21/10/2025 21:00-21:00 / 21/10/2025 18:00-18:00</t>
  </si>
  <si>
    <t>QATH491</t>
  </si>
  <si>
    <t>HAPSDCIT20251014-01 / HAPSDCIT20251014-01</t>
  </si>
  <si>
    <t>5019151990 / 5019163337</t>
  </si>
  <si>
    <t xml:space="preserve">MDN736             </t>
  </si>
  <si>
    <t>Aliaksei Mezurnishvil</t>
  </si>
  <si>
    <t>0006091977_4900</t>
  </si>
  <si>
    <t>HAPSDCDE20251014-04</t>
  </si>
  <si>
    <t>0006080946_4900</t>
  </si>
  <si>
    <t>17/10/2025 21:00-21:00</t>
  </si>
  <si>
    <t>OP1621T</t>
  </si>
  <si>
    <t>HAPSDCPL20251014-01</t>
  </si>
  <si>
    <t>OKR56V7</t>
  </si>
  <si>
    <t>BURDZINSKI JAN</t>
  </si>
  <si>
    <t>0006088391_4900</t>
  </si>
  <si>
    <t>HAPSDCUK20251015-03</t>
  </si>
  <si>
    <t>0006095320_4900</t>
  </si>
  <si>
    <t>HAPSDCUK20251015-05</t>
  </si>
  <si>
    <t>373031_OOS</t>
  </si>
  <si>
    <t>371579_OOS</t>
  </si>
  <si>
    <t>4505792157 &amp; 5019176115 LZV</t>
  </si>
  <si>
    <t>16/10/2025 10:00-10:00</t>
  </si>
  <si>
    <t>0006088392_4900</t>
  </si>
  <si>
    <t>459505 / 459504</t>
  </si>
  <si>
    <t>HAPSDCUK20251015-04 / HAPSDCUK20251015-04</t>
  </si>
  <si>
    <t>5019071030 / 5019080632</t>
  </si>
  <si>
    <t>370572_OOS</t>
  </si>
  <si>
    <t>CI - SEA_OOS</t>
  </si>
  <si>
    <t>DN 5019131340</t>
  </si>
  <si>
    <t>16/10/2025 09:00-09:00</t>
  </si>
  <si>
    <t>IVORY COAST</t>
  </si>
  <si>
    <t>0006080964_4900</t>
  </si>
  <si>
    <t>17/10/2025 15:00-15:00</t>
  </si>
  <si>
    <t>HAPSDCNO20251015-02</t>
  </si>
  <si>
    <t>354103_OOS</t>
  </si>
  <si>
    <t>HK-SEA-6029859_OOS</t>
  </si>
  <si>
    <t>16/10/2025 00:01-00:01</t>
  </si>
  <si>
    <t>0006080963_4900</t>
  </si>
  <si>
    <t>460307 / 453866</t>
  </si>
  <si>
    <t>HAPSDCNO20251015-01 / HAPSDCNO20251015-01</t>
  </si>
  <si>
    <t>5019190129 / 5019180087</t>
  </si>
  <si>
    <t>371204_OOS</t>
  </si>
  <si>
    <t>HK 5019096580</t>
  </si>
  <si>
    <t>367246_OOS</t>
  </si>
  <si>
    <t>BR-SEA-6078295_OOS</t>
  </si>
  <si>
    <t>16/10/2025 00:02-00:02</t>
  </si>
  <si>
    <t>371205_OOS</t>
  </si>
  <si>
    <t>HK 5019087998</t>
  </si>
  <si>
    <t>367247_OOS</t>
  </si>
  <si>
    <t>BR-SEA-6078296_OOS</t>
  </si>
  <si>
    <t>0006080961_4900</t>
  </si>
  <si>
    <t>HAPSDCIE20251015-01</t>
  </si>
  <si>
    <t>364710_OOS</t>
  </si>
  <si>
    <t>AU-SEA-6068699_OOS</t>
  </si>
  <si>
    <t>370757_OOS</t>
  </si>
  <si>
    <t>16/10/2025 12:00-12:00</t>
  </si>
  <si>
    <t>0006096615_4900</t>
  </si>
  <si>
    <t>19/10/2025 19:00-19:00</t>
  </si>
  <si>
    <t>HAPSDCIE20251015-02</t>
  </si>
  <si>
    <t>370805_OOS</t>
  </si>
  <si>
    <t>CN 5019135065 (9 PLT) UZ 5019069831 (2 PLT)</t>
  </si>
  <si>
    <t>0006096612_4900</t>
  </si>
  <si>
    <t>21/10/2025 18:00-18:00</t>
  </si>
  <si>
    <t>HAPSDCUK20251015-07</t>
  </si>
  <si>
    <t>364742_OOS</t>
  </si>
  <si>
    <t>CO-SEA-6068783_OOS</t>
  </si>
  <si>
    <t>5019053529 5019082023 5019093367</t>
  </si>
  <si>
    <t>0006080805_4900</t>
  </si>
  <si>
    <t>460308 / 453801</t>
  </si>
  <si>
    <t>17/10/2025 10:00-10:00</t>
  </si>
  <si>
    <t>HAPSDCCZ20251013-01 / HAPSDCCZ20251013-01</t>
  </si>
  <si>
    <t>5019176750 / 5019180777</t>
  </si>
  <si>
    <t>0006088390_4900</t>
  </si>
  <si>
    <t>HAPSDCUK20251015-02</t>
  </si>
  <si>
    <t>369278_OOS</t>
  </si>
  <si>
    <t>0006088389_4900</t>
  </si>
  <si>
    <t>16/10/2025 17:00-17:00</t>
  </si>
  <si>
    <t>PZ_6V099</t>
  </si>
  <si>
    <t>HAPSDCUK20251015-01</t>
  </si>
  <si>
    <t>PZ_5Y347</t>
  </si>
  <si>
    <t>Pavel Lissyanskiy</t>
  </si>
  <si>
    <t>370620_OOS</t>
  </si>
  <si>
    <t>ELN 5019144885</t>
  </si>
  <si>
    <t>370584_OOS</t>
  </si>
  <si>
    <t>MEA 5019024876 5019101982 5019108230 5019014810 5019000984</t>
  </si>
  <si>
    <t>0006095411_4900</t>
  </si>
  <si>
    <t>HAPSDCUK20251015-06</t>
  </si>
  <si>
    <t>370796_OOS</t>
  </si>
  <si>
    <t>US 5019105493</t>
  </si>
  <si>
    <t>370605_OOS</t>
  </si>
  <si>
    <t>MEA 5019114552 5019112232 5019108228 5019108229 5019112233 5019112234 5019064300 5019134536</t>
  </si>
  <si>
    <t>364874_OOS</t>
  </si>
  <si>
    <t>CN 5019143805</t>
  </si>
  <si>
    <t>0006080952_4900</t>
  </si>
  <si>
    <t>HAPSDCDE20251015-02</t>
  </si>
  <si>
    <t>364889_OOS</t>
  </si>
  <si>
    <t>CN 5019138536</t>
  </si>
  <si>
    <t>0006080960_4900</t>
  </si>
  <si>
    <t>453887 / 460198 / 453886</t>
  </si>
  <si>
    <t>BRAT - SK Bratislava / BUDA - HU Budapest (BILK Logisztikai) / BUDA - HU Budapest (BILK Logisztikai)</t>
  </si>
  <si>
    <t>20/10/2025 08:00-08:00 / 17/10/2025 11:00-11:00</t>
  </si>
  <si>
    <t>HAPSDCHU20251015-01 / HAPSDCHU20251015-01 / HAPSDCHU20251015-01</t>
  </si>
  <si>
    <t>5019180124 / 5019172117 / 5019170834</t>
  </si>
  <si>
    <t>370621_OOS</t>
  </si>
  <si>
    <t>ELN 5019134719</t>
  </si>
  <si>
    <t>370800_OOS</t>
  </si>
  <si>
    <t>US 5019101555</t>
  </si>
  <si>
    <t>18/10/2025 10:00-10:00</t>
  </si>
  <si>
    <t>0006091978_4900</t>
  </si>
  <si>
    <t>HAPSDCDE20251015-04</t>
  </si>
  <si>
    <t>370795_OOS</t>
  </si>
  <si>
    <t>US 5019107257</t>
  </si>
  <si>
    <t>364880_OOS</t>
  </si>
  <si>
    <t>CN 5019141809</t>
  </si>
  <si>
    <t>0006080957_4900</t>
  </si>
  <si>
    <t>HAPSDCFR20251015-01</t>
  </si>
  <si>
    <t>0006080951_4900</t>
  </si>
  <si>
    <t>HAPSDCDE20251015-01</t>
  </si>
  <si>
    <t>0006080955_4900</t>
  </si>
  <si>
    <t>20/10/2025 11:00-11:00</t>
  </si>
  <si>
    <t>HAPSDCES20251015-02</t>
  </si>
  <si>
    <t>0006080893_4900</t>
  </si>
  <si>
    <t>460016 / 460015 / 458581 / 453811</t>
  </si>
  <si>
    <t>THIV - GR Thiva-Boetia / THIV - GR Thiva-Boetia / THIV - GR Thiva-Boetia / THIV - GR Thiva-Boetia</t>
  </si>
  <si>
    <t>21/10/2025 14:00-14:00</t>
  </si>
  <si>
    <t>HAPSDCGR20251013-01 / HAPSDCGR20251013-01 / HAPSDCGR20251013-01 / HAPSDCGR20251013-01</t>
  </si>
  <si>
    <t>5019179245 / 5019175789 / 5019154968 / 5019145591</t>
  </si>
  <si>
    <t>0006080965_4900</t>
  </si>
  <si>
    <t>22/10/2025 18:00-18:00</t>
  </si>
  <si>
    <t>WPR146AE</t>
  </si>
  <si>
    <t>HAPSDCPL20251015-01</t>
  </si>
  <si>
    <t>WPR9715T</t>
  </si>
  <si>
    <t xml:space="preserve">Wróbel Grzegorz </t>
  </si>
  <si>
    <t>0006081001_4900</t>
  </si>
  <si>
    <t>459977 / 453876</t>
  </si>
  <si>
    <t>17/10/2025 09:00-09:00</t>
  </si>
  <si>
    <t>HAPSDCDK20251017-01 / HAPSDCDK20251017-01</t>
  </si>
  <si>
    <t>5019181602 / 5019179166</t>
  </si>
  <si>
    <t>0006080953_4900</t>
  </si>
  <si>
    <t>HAPSDCDE20251015-03</t>
  </si>
  <si>
    <t>0006080958_4900</t>
  </si>
  <si>
    <t>16/10/2025 10:30-10:30</t>
  </si>
  <si>
    <t>HAPSDCFR20251015-02</t>
  </si>
  <si>
    <t>371198_OOS</t>
  </si>
  <si>
    <t>AN - SEA_OOS / MT - SEA_OOS / CW - SEA_OOS</t>
  </si>
  <si>
    <t>Aval non piloté_EN / Aval non piloté_EN / Aval non piloté_EN</t>
  </si>
  <si>
    <t>OOS_OUT - Delivery OOS / OOS_OUT - Delivery OOS / OOS_OUT - Delivery OOS</t>
  </si>
  <si>
    <t>DN 5019079843 / 5019112589 - 5 PALLETS - CURACAO DN 5019140421 / 5019135151 - 9 PALLETS - MALTA DN TO FOLLOW - 2 PALLETS - ARUBA NO-SHOW</t>
  </si>
  <si>
    <t>0006080962_4900</t>
  </si>
  <si>
    <t>460150 / 453853</t>
  </si>
  <si>
    <t>GREZ - IT Grezzago (Pozzuolo Martesana) / GREZ - IT Grezzago (Pozzuolo Martesana)</t>
  </si>
  <si>
    <t>HAPSDCIT20251015-01 / HAPSDCIT20251015-01</t>
  </si>
  <si>
    <t>5019179779 / 5019165349</t>
  </si>
  <si>
    <t>0006080988_4900</t>
  </si>
  <si>
    <t>23/10/2025 23:00-23:00</t>
  </si>
  <si>
    <t>HAPSDCIE20251016-01</t>
  </si>
  <si>
    <t>0006088395_4900</t>
  </si>
  <si>
    <t>HAPSDCUK20251016-03</t>
  </si>
  <si>
    <t>373439_OOS</t>
  </si>
  <si>
    <t>370914_OOS</t>
  </si>
  <si>
    <t>UY - SEA_OOS</t>
  </si>
  <si>
    <t>DN 5019165975</t>
  </si>
  <si>
    <t>URUGUAY</t>
  </si>
  <si>
    <t>SRTMS181032</t>
  </si>
  <si>
    <t>0006088396_4900</t>
  </si>
  <si>
    <t>HAPSDCUK20251016-04</t>
  </si>
  <si>
    <t>0006098942_4900</t>
  </si>
  <si>
    <t>17/10/2025 23:30-23:30</t>
  </si>
  <si>
    <t>ERW_6EY1</t>
  </si>
  <si>
    <t>SPHapsFUL-161025-01</t>
  </si>
  <si>
    <t>NIT_669</t>
  </si>
  <si>
    <t>Yurii Saienko</t>
  </si>
  <si>
    <t>370457_OOS</t>
  </si>
  <si>
    <t>BR-SEA-6087531_OOS</t>
  </si>
  <si>
    <t>5019124437 5019123709</t>
  </si>
  <si>
    <t>17/10/2025 00:01-00:01</t>
  </si>
  <si>
    <t>369436_OOS</t>
  </si>
  <si>
    <t>IL - SEA_OOS</t>
  </si>
  <si>
    <t xml:space="preserve">DN 5019134583 </t>
  </si>
  <si>
    <t>ISRAEL 1</t>
  </si>
  <si>
    <t>SRTMS182752</t>
  </si>
  <si>
    <t>371580_OOS</t>
  </si>
  <si>
    <t>4505793759 LZV</t>
  </si>
  <si>
    <t>0006080990_4900</t>
  </si>
  <si>
    <t>460208 / 453861</t>
  </si>
  <si>
    <t>HAPSDCNO20251016-01 / HAPSDCNO20251016-01</t>
  </si>
  <si>
    <t>5019180095 / 5019178697</t>
  </si>
  <si>
    <t>2025101001_3300</t>
  </si>
  <si>
    <t>251010121957_3300</t>
  </si>
  <si>
    <t>GIRTEKA FOR SN FUL</t>
  </si>
  <si>
    <t>OT : 251010121957_3300 : Fulda 3300</t>
  </si>
  <si>
    <t>369437_OOS</t>
  </si>
  <si>
    <t xml:space="preserve">DN 5019112571 </t>
  </si>
  <si>
    <t>ISRAEL 2</t>
  </si>
  <si>
    <t>370458_OOS</t>
  </si>
  <si>
    <t>BR-SEA-6087532_OOS</t>
  </si>
  <si>
    <t>5019101422 5019136201</t>
  </si>
  <si>
    <t>370460_OOS</t>
  </si>
  <si>
    <t>BR-SEA-6087520_OOS</t>
  </si>
  <si>
    <t>0006091980_4900</t>
  </si>
  <si>
    <t>460855 / 457731</t>
  </si>
  <si>
    <t>DUBL - IE Dublin (United Drug) / DUBL - IE Dublin (United Drug)</t>
  </si>
  <si>
    <t>19/10/2025 20:00-20:00</t>
  </si>
  <si>
    <t>HAPSDCIE20251016-02 / HAPSDCIE20251016-02</t>
  </si>
  <si>
    <t>5019191429 / 5019187527</t>
  </si>
  <si>
    <t>372594_OOS</t>
  </si>
  <si>
    <t>ELN 5019143420</t>
  </si>
  <si>
    <t>0006080991_4900</t>
  </si>
  <si>
    <t>460227 / 460226 / 460225 / 453822</t>
  </si>
  <si>
    <t>GRAB - PL Grabica / GRAB - PL Grabica / GRAB - PL Grabica / GRAB - PL Grabica</t>
  </si>
  <si>
    <t>22/10/2025 02:00-02:00</t>
  </si>
  <si>
    <t>HAPSDCPL20251016-01 / HAPSDCPL20251016-01 / HAPSDCPL20251016-01 / HAPSDCPL20251016-01</t>
  </si>
  <si>
    <t>5019190807 / 5019175864 / 5019167799 / 5019167108</t>
  </si>
  <si>
    <t>372051_OOS</t>
  </si>
  <si>
    <t>5018968968   5018970405</t>
  </si>
  <si>
    <t>373278_OOS</t>
  </si>
  <si>
    <t>5019191924_OOS</t>
  </si>
  <si>
    <t>M20003 M20005 YUQ  SSCC 387181170003568596   487181170002153301</t>
  </si>
  <si>
    <t>0006088394_4900</t>
  </si>
  <si>
    <t>HAPSDCUK20251016-02</t>
  </si>
  <si>
    <t>370931_OOS</t>
  </si>
  <si>
    <t>DN 5019135532</t>
  </si>
  <si>
    <t>ISRAEL</t>
  </si>
  <si>
    <t>SRTMS182938</t>
  </si>
  <si>
    <t>0006080985_4900</t>
  </si>
  <si>
    <t>HAPSDCFR20251016-01</t>
  </si>
  <si>
    <t>0006088393_4900</t>
  </si>
  <si>
    <t>HAPSDCUK20251016-01</t>
  </si>
  <si>
    <t>371208_OOS</t>
  </si>
  <si>
    <t>US 5019107206 5019111497</t>
  </si>
  <si>
    <t>0006088397_4900</t>
  </si>
  <si>
    <t>HAPSDCUK20251016-05</t>
  </si>
  <si>
    <t>371209_OOS</t>
  </si>
  <si>
    <t>US 5019102036 5019124730</t>
  </si>
  <si>
    <t>0006099090_4900</t>
  </si>
  <si>
    <t>HAPSDCFR20251016-04</t>
  </si>
  <si>
    <t>372052_OOS</t>
  </si>
  <si>
    <t>5019040491   5019031379</t>
  </si>
  <si>
    <t>0006080986_4900</t>
  </si>
  <si>
    <t>17/10/2025 07:30-07:30</t>
  </si>
  <si>
    <t>HAPSDCFR20251016-02</t>
  </si>
  <si>
    <t>373019_OOS</t>
  </si>
  <si>
    <t>MEA 5018546762 5019126642 5019143988 5019179923 5019155878</t>
  </si>
  <si>
    <t>371392_OOS</t>
  </si>
  <si>
    <t>ELN 5019147455</t>
  </si>
  <si>
    <t>371214_OOS</t>
  </si>
  <si>
    <t>US 5019111664 (18PL - LINE 1035) US 5019128960 (5PL - LINE 1036)</t>
  </si>
  <si>
    <t>0006080982_4900</t>
  </si>
  <si>
    <t>HAPSDCDE20251016-02</t>
  </si>
  <si>
    <t>372072_OOS</t>
  </si>
  <si>
    <t>371394_OOS</t>
  </si>
  <si>
    <t>ELN 5019147557</t>
  </si>
  <si>
    <t>0006080981_4900</t>
  </si>
  <si>
    <t>HAPSDCDE20251016-01</t>
  </si>
  <si>
    <t>364888_OOS</t>
  </si>
  <si>
    <t>CN 5019143688</t>
  </si>
  <si>
    <t>371391_OOS</t>
  </si>
  <si>
    <t>MEA 5019083216 5019111018 5019111211 5019089755 5019107027 5019121492</t>
  </si>
  <si>
    <t>0006080983_4900</t>
  </si>
  <si>
    <t>HAPSDCDE20251016-03</t>
  </si>
  <si>
    <t>0006080995_4900</t>
  </si>
  <si>
    <t>23/10/2025 16:00-16:00</t>
  </si>
  <si>
    <t>HAPSDCSE20251016-01</t>
  </si>
  <si>
    <t>369472_OOS</t>
  </si>
  <si>
    <t>MHP PrJSC</t>
  </si>
  <si>
    <t>5019067878 + 5019084402 + 5019081130 + 5019125023 + 5019134890 + 5019120438 + 5019123812</t>
  </si>
  <si>
    <t>0006096616_4900</t>
  </si>
  <si>
    <t>23/10/2025 11:00-11:00</t>
  </si>
  <si>
    <t>HAPSDCIT20251016-02</t>
  </si>
  <si>
    <t>0006080984_4900</t>
  </si>
  <si>
    <t>460628 / 453867</t>
  </si>
  <si>
    <t>20/10/2025 09:00-09:00</t>
  </si>
  <si>
    <t xml:space="preserve">SZ663 </t>
  </si>
  <si>
    <t>HAPSDCES20251016-01 / HAPSDCES20251016-01</t>
  </si>
  <si>
    <t>5019179675 / 5019179432</t>
  </si>
  <si>
    <t xml:space="preserve">MYS064 </t>
  </si>
  <si>
    <t>0006080987_4900</t>
  </si>
  <si>
    <t>17/10/2025 08:30-08:30</t>
  </si>
  <si>
    <t>HAPSDCFR20251016-03</t>
  </si>
  <si>
    <t>0006080989_4900</t>
  </si>
  <si>
    <t>22/10/2025 03:00-03:00</t>
  </si>
  <si>
    <t>HAPSDCIT20251016-01</t>
  </si>
  <si>
    <t>0006080993_4900</t>
  </si>
  <si>
    <t>460230 / 453890</t>
  </si>
  <si>
    <t>HAPSDCPT20251016-01 / HAPSDCPT20251016-01</t>
  </si>
  <si>
    <t>5019191203 / 5019176196</t>
  </si>
  <si>
    <t>0006088403_4900</t>
  </si>
  <si>
    <t>23/10/2025 18:00-18:00</t>
  </si>
  <si>
    <t>HAPSDCUK20251017-06</t>
  </si>
  <si>
    <t>0006080954_4900</t>
  </si>
  <si>
    <t>460149 / 453839</t>
  </si>
  <si>
    <t>HAPSDCES20251015-01 / HAPSDCES20251015-01</t>
  </si>
  <si>
    <t>5019179861 / 5019155305</t>
  </si>
  <si>
    <t>0006088402_4900</t>
  </si>
  <si>
    <t>HAPSDCUK20251017-05</t>
  </si>
  <si>
    <t>362451_OOS</t>
  </si>
  <si>
    <t>ZA-SEA-6058482_OOS</t>
  </si>
  <si>
    <t xml:space="preserve">5019096688 5019101447 </t>
  </si>
  <si>
    <t>18/10/2025 00:01-00:01</t>
  </si>
  <si>
    <t>374120_OOS</t>
  </si>
  <si>
    <t>5019191314 + 5019191349.</t>
  </si>
  <si>
    <t>18/10/2025 15:00-15:00</t>
  </si>
  <si>
    <t>371581_OOS</t>
  </si>
  <si>
    <t>4505795707 LZV</t>
  </si>
  <si>
    <t>373276_OOS</t>
  </si>
  <si>
    <t>GH-SEA_OOS</t>
  </si>
  <si>
    <t>Mentrex</t>
  </si>
  <si>
    <t>5019100541   5019091309</t>
  </si>
  <si>
    <t>18/10/2025 12:00-12:00</t>
  </si>
  <si>
    <t>marco@mentrex.nl</t>
  </si>
  <si>
    <t>0006081004_4900</t>
  </si>
  <si>
    <t>453844 / 453845</t>
  </si>
  <si>
    <t>19/10/2025 23:00-23:00 / 17/10/2025 18:00-18:00</t>
  </si>
  <si>
    <t>HAPSDCIE20251017-01 / HAPSDCIE20251017-01</t>
  </si>
  <si>
    <t>5019201086 / 5019190190</t>
  </si>
  <si>
    <t>362453_OOS</t>
  </si>
  <si>
    <t>ZA-SEA-6058484_OOS</t>
  </si>
  <si>
    <t>5019122964 5019102109 5019103879</t>
  </si>
  <si>
    <t>18/10/2025 00:02-00:02</t>
  </si>
  <si>
    <t>0006081005_4900</t>
  </si>
  <si>
    <t>24/10/2025 23:00-23:00</t>
  </si>
  <si>
    <t>HAPSDCIT20251017-01</t>
  </si>
  <si>
    <t>364711_OOS</t>
  </si>
  <si>
    <t>AU-SEA-6068700_OOS</t>
  </si>
  <si>
    <t xml:space="preserve">5019123916 5019124860 </t>
  </si>
  <si>
    <t>372390_OOS</t>
  </si>
  <si>
    <t>Kivits Elshout_OOS</t>
  </si>
  <si>
    <t>18/10/2025 10:10-10:10</t>
  </si>
  <si>
    <t>373512_OOS</t>
  </si>
  <si>
    <t>AIR - IL_OOS</t>
  </si>
  <si>
    <t>0006088399_4900</t>
  </si>
  <si>
    <t>HAPSDCUK20251017-02</t>
  </si>
  <si>
    <t>373690_OOS</t>
  </si>
  <si>
    <t>HK 5019090947</t>
  </si>
  <si>
    <t>0006088398_4900</t>
  </si>
  <si>
    <t>20/10/2025 12:00-12:00</t>
  </si>
  <si>
    <t>PZ_2K094</t>
  </si>
  <si>
    <t>HAPSDCUK20251017-01</t>
  </si>
  <si>
    <t>PZ_3R587</t>
  </si>
  <si>
    <t>Aliaksandr Kot</t>
  </si>
  <si>
    <t>0006088401_4900</t>
  </si>
  <si>
    <t>HAPSDCUK20251017-04</t>
  </si>
  <si>
    <t>0006080902_4900</t>
  </si>
  <si>
    <t>461523 / 453843</t>
  </si>
  <si>
    <t>20/10/2025 10:30-10:30</t>
  </si>
  <si>
    <t>HAPSDCCH20251014-01 / HAPSDCCH20251014-01</t>
  </si>
  <si>
    <t>5019190982 / 5019187395</t>
  </si>
  <si>
    <t>0006081011_4900</t>
  </si>
  <si>
    <t>461022 / 453873</t>
  </si>
  <si>
    <t>24/10/2025 16:00-16:00</t>
  </si>
  <si>
    <t>HAPSDCSE20251017-01 / HAPSDCSE20251017-01</t>
  </si>
  <si>
    <t>5019196140 / 5019190264</t>
  </si>
  <si>
    <t>372899_OOS</t>
  </si>
  <si>
    <t>CN 5019189127 (11PL) 5019179956 (5PL)</t>
  </si>
  <si>
    <t>0006088400_4900</t>
  </si>
  <si>
    <t>HAPSDCUK20251017-03</t>
  </si>
  <si>
    <t>369470_OOS</t>
  </si>
  <si>
    <t>5019190760 + 5019190402</t>
  </si>
  <si>
    <t>0006080999_4900</t>
  </si>
  <si>
    <t>19/10/2025 23:30-23:30</t>
  </si>
  <si>
    <t>HAPSDCDE20251017-02</t>
  </si>
  <si>
    <t>0006100960_4900</t>
  </si>
  <si>
    <t>20/10/2025 13:00-13:00</t>
  </si>
  <si>
    <t>HAPSDCUK20251017-07</t>
  </si>
  <si>
    <t>369471_OOS</t>
  </si>
  <si>
    <t>5019185447 + 5019180026</t>
  </si>
  <si>
    <t>373188_OOS</t>
  </si>
  <si>
    <t>US 5019124274 - 23P</t>
  </si>
  <si>
    <t>18/10/2025 13:00-13:00</t>
  </si>
  <si>
    <t>372762_OOS</t>
  </si>
  <si>
    <t>IR-ROAD_OOS</t>
  </si>
  <si>
    <t>0006101991_4900</t>
  </si>
  <si>
    <t>HAPSDCIT20251017-03</t>
  </si>
  <si>
    <t>0006080956_4900</t>
  </si>
  <si>
    <t>461020 / 453831</t>
  </si>
  <si>
    <t>22/10/2025 16:00-16:00</t>
  </si>
  <si>
    <t>HAPSDCFI20251015-01 / HAPSDCFI20251015-01</t>
  </si>
  <si>
    <t>5019190464 / 5019185033</t>
  </si>
  <si>
    <t>373189_OOS</t>
  </si>
  <si>
    <t>US 5019130306 - 10P</t>
  </si>
  <si>
    <t>18/10/2025 14:00-14:00</t>
  </si>
  <si>
    <t>0006081000_4900</t>
  </si>
  <si>
    <t>HAPSDCDE20251017-03</t>
  </si>
  <si>
    <t>373779_OOS</t>
  </si>
  <si>
    <t>ARG - AIR_OOS</t>
  </si>
  <si>
    <t>ARG AIR EXW- 5019089949 -1P</t>
  </si>
  <si>
    <t>372764_OOS</t>
  </si>
  <si>
    <t>0006081003_4900</t>
  </si>
  <si>
    <t>461021 / 453856</t>
  </si>
  <si>
    <t>HAPSDCES20251017-02 / HAPSDCES20251017-02</t>
  </si>
  <si>
    <t>5019194544 / 5019193377</t>
  </si>
  <si>
    <t>372765_OOS</t>
  </si>
  <si>
    <t>373277_OOS</t>
  </si>
  <si>
    <t>0006080998_4900</t>
  </si>
  <si>
    <t>HAPSDCDE20251017-01</t>
  </si>
  <si>
    <t>372766_OOS</t>
  </si>
  <si>
    <t>0006081007_4900</t>
  </si>
  <si>
    <t>17/10/2025 20:00-20:00</t>
  </si>
  <si>
    <t>HAPSDCNL20251017-01</t>
  </si>
  <si>
    <t>0006091979_4900</t>
  </si>
  <si>
    <t>457740 / 460540</t>
  </si>
  <si>
    <t>BUDA - HU Budapest (BILK Logisztikai) / BRAT - SK Bratislava</t>
  </si>
  <si>
    <t>20/10/2025 18:00-18:00 / 20/10/2025 12:00-12:00</t>
  </si>
  <si>
    <t>KA1815AC</t>
  </si>
  <si>
    <t>HAPSDCHU20251017-01 / HAPSDCHU20251017-01</t>
  </si>
  <si>
    <t>5019199777 / 5019199778</t>
  </si>
  <si>
    <t>KA1715AC</t>
  </si>
  <si>
    <t>0006081010_4900</t>
  </si>
  <si>
    <t>461019 / 461018 / 461017 / 461016 / 453878</t>
  </si>
  <si>
    <t>Primary flows / Primary flows / Primary flows / Primary flows / Primary flows</t>
  </si>
  <si>
    <t>GRAB - PL Grabica / GRAB - PL Grabica / GRAB - PL Grabica / GRAB - PL Grabica / GRAB - PL Grabica</t>
  </si>
  <si>
    <t>PZ_2M754</t>
  </si>
  <si>
    <t xml:space="preserve"> /  /  /  / </t>
  </si>
  <si>
    <t>HAPSDCPL20251017-03 / HAPSDCPL20251017-03 / HAPSDCPL20251017-03 / HAPSDCPL20251017-03 / HAPSDCPL20251017-03</t>
  </si>
  <si>
    <t>5019180144 / 5019182798 / 5019190186 / 5019199492 / 5019199691</t>
  </si>
  <si>
    <t>MIO_432</t>
  </si>
  <si>
    <t>Amonboi Rahimov</t>
  </si>
  <si>
    <t>0006080996_4900</t>
  </si>
  <si>
    <t>HAPSDCCZ20251017-01</t>
  </si>
  <si>
    <t>0006081006_4900</t>
  </si>
  <si>
    <t>HAPSDCIT20251017-02</t>
  </si>
  <si>
    <t>374794_OOS</t>
  </si>
  <si>
    <t>0006101915_4900</t>
  </si>
  <si>
    <t>27/10/2025 22:00-22:00</t>
  </si>
  <si>
    <t>HAPSDCIE20251020-02</t>
  </si>
  <si>
    <t>0006098193_4900</t>
  </si>
  <si>
    <t>24/10/2025 18:00-18:00</t>
  </si>
  <si>
    <t>HAPSDCUK20251020-04</t>
  </si>
  <si>
    <t>0006091189_4900</t>
  </si>
  <si>
    <t>27/10/2025 23:00-23:00</t>
  </si>
  <si>
    <t>HAPSDCIE20251020-01</t>
  </si>
  <si>
    <t>370486_OOS</t>
  </si>
  <si>
    <t>BR-SEA-6087533_OOS</t>
  </si>
  <si>
    <t>21/10/2025 00:01-00:01</t>
  </si>
  <si>
    <t>0006098192_4900</t>
  </si>
  <si>
    <t>HAPSDCUK20251020-03</t>
  </si>
  <si>
    <t>367687_OOS</t>
  </si>
  <si>
    <t>NZ-SEA-6078303_OOS</t>
  </si>
  <si>
    <t>5019082042 5019190481</t>
  </si>
  <si>
    <t>370498_OOS</t>
  </si>
  <si>
    <t>MEA 5018934797</t>
  </si>
  <si>
    <t>21/10/2025 10:00-10:00</t>
  </si>
  <si>
    <t>371814_OOS</t>
  </si>
  <si>
    <t>CY - SEA_OOS</t>
  </si>
  <si>
    <t>DN 5019018375+5019081724+5019069703+5019182795+5019190234</t>
  </si>
  <si>
    <t>21/10/2025 12:00-12:00</t>
  </si>
  <si>
    <t>CYPRUS</t>
  </si>
  <si>
    <t>SRTMS182778</t>
  </si>
  <si>
    <t>367688_OOS</t>
  </si>
  <si>
    <t>NZ-SEA-6078304_OOS</t>
  </si>
  <si>
    <t>0006098194_4900</t>
  </si>
  <si>
    <t>24/10/2025 17:00-17:00</t>
  </si>
  <si>
    <t>HAPSDCUK20251020-05</t>
  </si>
  <si>
    <t>0006098197_4900</t>
  </si>
  <si>
    <t>HAPSDCUK20251020-08</t>
  </si>
  <si>
    <t>0006091188_4900</t>
  </si>
  <si>
    <t>462103 / 462102 / 457357</t>
  </si>
  <si>
    <t>THIV - GR Thiva-Boetia / THIV - GR Thiva-Boetia / THIV - GR Thiva-Boetia</t>
  </si>
  <si>
    <t>03/11/2025 18:00-18:00</t>
  </si>
  <si>
    <t>HAPSDCGR20251020-01 / HAPSDCGR20251020-01 / HAPSDCGR20251020-01</t>
  </si>
  <si>
    <t>5019219886 / 5019216021 / 5019208332</t>
  </si>
  <si>
    <t>0006098080_4900</t>
  </si>
  <si>
    <t>21/10/2025 17:00-17:00</t>
  </si>
  <si>
    <t>PZ_4N419</t>
  </si>
  <si>
    <t>HAPSDCUK20251020-01</t>
  </si>
  <si>
    <t>PZ_6X484</t>
  </si>
  <si>
    <t>Yurii Shcherbatiuk</t>
  </si>
  <si>
    <t>0006098191_4900</t>
  </si>
  <si>
    <t>HAPSDCUK20251020-02</t>
  </si>
  <si>
    <t>0006091185_4900</t>
  </si>
  <si>
    <t>HAPSDCFR20251020-01</t>
  </si>
  <si>
    <t>0006091110_4900</t>
  </si>
  <si>
    <t>HAPSDCDE20251020-01</t>
  </si>
  <si>
    <t>0006091184_4900</t>
  </si>
  <si>
    <t>23/10/2025 14:00-14:00</t>
  </si>
  <si>
    <t>HAPSDCES20251020-01</t>
  </si>
  <si>
    <t>0006091190_4900</t>
  </si>
  <si>
    <t>22/10/2025 15:00-15:00</t>
  </si>
  <si>
    <t>HAPSDCIT20251020-01</t>
  </si>
  <si>
    <t>0006091194_4900</t>
  </si>
  <si>
    <t>27/10/2025 16:00-16:00</t>
  </si>
  <si>
    <t>HAPSDCSE20251020-01</t>
  </si>
  <si>
    <t>0006091183_4900</t>
  </si>
  <si>
    <t>HAPSDCDE20251020-04</t>
  </si>
  <si>
    <t>0006091181_4900</t>
  </si>
  <si>
    <t>21/10/2025 11:00-11:00</t>
  </si>
  <si>
    <t>HAPSDCDE20251020-02</t>
  </si>
  <si>
    <t>0006091186_4900</t>
  </si>
  <si>
    <t>21/10/2025 08:00-08:00</t>
  </si>
  <si>
    <t>HAPSDCFR20251020-02</t>
  </si>
  <si>
    <t>0006102551_4900</t>
  </si>
  <si>
    <t>461793 / 461792 / 461585</t>
  </si>
  <si>
    <t>AZA2 - PT Azambuja Ambient / AZA2 - PT Azambuja Ambient / AZA2 - PT Azambuja Ambient</t>
  </si>
  <si>
    <t>27/10/2025 07:00-07:00</t>
  </si>
  <si>
    <t>HAPSDCPT20251020-01 / HAPSDCPT20251020-01 / HAPSDCPT20251020-01</t>
  </si>
  <si>
    <t>5019127302 / 5019138528 / 5019160888</t>
  </si>
  <si>
    <t>0006101917_4900</t>
  </si>
  <si>
    <t>27/10/2025 20:00-20:00</t>
  </si>
  <si>
    <t>HAPSDCIT20251020-02</t>
  </si>
  <si>
    <t>0006101919_4900</t>
  </si>
  <si>
    <t>PET2 - RO Dragomiresti (Petresti)</t>
  </si>
  <si>
    <t>27/10/2025 13:00-13:00</t>
  </si>
  <si>
    <t>UIT: 3F3W135947630178</t>
  </si>
  <si>
    <t>0006091187_4900</t>
  </si>
  <si>
    <t>21/10/2025 08:30-08:30</t>
  </si>
  <si>
    <t>HAPSDCFR20251020-03</t>
  </si>
  <si>
    <t>0006091109_4900</t>
  </si>
  <si>
    <t>462061 / 457344 / 461233</t>
  </si>
  <si>
    <t>RICA - CZ Ricany DC2 Ambient WH / RICA - CZ Ricany DC2 Ambient WH / PRAH - CZ Praha (PHOENIX)</t>
  </si>
  <si>
    <t>22/10/2025 13:00-13:00 / 22/10/2025 07:00-07:00</t>
  </si>
  <si>
    <t>OP3794N</t>
  </si>
  <si>
    <t>HAPSDCCZ20251020-01 / HAPSDCCZ20251020-01 / HAPSDCCZ20251020-01</t>
  </si>
  <si>
    <t>5019206741 / 5019187552 / 5019194317</t>
  </si>
  <si>
    <t>OP1699R</t>
  </si>
  <si>
    <t>0006091192_4900</t>
  </si>
  <si>
    <t>461784 / 457347</t>
  </si>
  <si>
    <t>HAPSDCPL20251020-02 / HAPSDCPL20251020-02</t>
  </si>
  <si>
    <t>5019199427 / 5019209605</t>
  </si>
  <si>
    <t>hetma?ski robert</t>
  </si>
  <si>
    <t>0006098209_4900</t>
  </si>
  <si>
    <t>HAPSDCUK20251021-10</t>
  </si>
  <si>
    <t>375260_OOS</t>
  </si>
  <si>
    <t>371818_OOS</t>
  </si>
  <si>
    <t xml:space="preserve">DN 5019191810 </t>
  </si>
  <si>
    <t>22/10/2025 09:00-09:00</t>
  </si>
  <si>
    <t>SRTMS182775</t>
  </si>
  <si>
    <t>0006091182_4900</t>
  </si>
  <si>
    <t>rejected</t>
  </si>
  <si>
    <t>HAPSDCDE20251020-03</t>
  </si>
  <si>
    <t>0006091226_4900</t>
  </si>
  <si>
    <t>462885 / 462727</t>
  </si>
  <si>
    <t>28/10/2025 23:00-23:00</t>
  </si>
  <si>
    <t>HAPSDCIE20251021-01 / HAPSDCIE20251021-01</t>
  </si>
  <si>
    <t>5019235202 / 5019203985</t>
  </si>
  <si>
    <t>371819_OOS</t>
  </si>
  <si>
    <t xml:space="preserve">DN 5019179316 </t>
  </si>
  <si>
    <t>372631_OOS</t>
  </si>
  <si>
    <t xml:space="preserve">MEA 5019206814 5019202857  </t>
  </si>
  <si>
    <t>22/10/2025 10:00-10:00</t>
  </si>
  <si>
    <t>0006098203_4900</t>
  </si>
  <si>
    <t>HAPSDCUK20251021-04</t>
  </si>
  <si>
    <t>371820_OOS</t>
  </si>
  <si>
    <t xml:space="preserve">DN 5019179317 </t>
  </si>
  <si>
    <t>ISRAEL 3</t>
  </si>
  <si>
    <t>372632_OOS</t>
  </si>
  <si>
    <t xml:space="preserve">MEA 5019180367 5019200319 </t>
  </si>
  <si>
    <t>371821_OOS</t>
  </si>
  <si>
    <t xml:space="preserve">DN 5019190569 </t>
  </si>
  <si>
    <t>ISRAEL 4</t>
  </si>
  <si>
    <t>0006104793_4900</t>
  </si>
  <si>
    <t>27/10/2025 18:00-18:00</t>
  </si>
  <si>
    <t>HAPSDCUK20251021-13</t>
  </si>
  <si>
    <t>0006104222_4900</t>
  </si>
  <si>
    <t>23/10/2025 22:00-22:00</t>
  </si>
  <si>
    <t>PZ_7T078</t>
  </si>
  <si>
    <t>HAPSDCPL20251021-03</t>
  </si>
  <si>
    <t>NFN_496</t>
  </si>
  <si>
    <t>Zhamalbek Akmyrzaev</t>
  </si>
  <si>
    <t>0006104792_4900</t>
  </si>
  <si>
    <t>HAPSDCUK20251021-12</t>
  </si>
  <si>
    <t>0006098202_4900</t>
  </si>
  <si>
    <t>HAPSDCUK20251021-03</t>
  </si>
  <si>
    <t>371823_OOS</t>
  </si>
  <si>
    <t xml:space="preserve">DN 5019171957 </t>
  </si>
  <si>
    <t>ISRAEL 5</t>
  </si>
  <si>
    <t>370801_OOS</t>
  </si>
  <si>
    <t>22/10/2025 12:00-12:00</t>
  </si>
  <si>
    <t>371826_OOS</t>
  </si>
  <si>
    <t xml:space="preserve">DN 5019190015 </t>
  </si>
  <si>
    <t>ISRAEL 6</t>
  </si>
  <si>
    <t>0006098201_4900</t>
  </si>
  <si>
    <t>HAPSDCUK20251021-02</t>
  </si>
  <si>
    <t>0006091228_4900</t>
  </si>
  <si>
    <t>462501 / 457349</t>
  </si>
  <si>
    <t>27/10/2025 10:00-10:00</t>
  </si>
  <si>
    <t>HAPSDCLV20251021-01 / HAPSDCLV20251021-01</t>
  </si>
  <si>
    <t>5019209809 / 5019209134</t>
  </si>
  <si>
    <t>0006098200_4900</t>
  </si>
  <si>
    <t>23/10/2025 12:00-12:00</t>
  </si>
  <si>
    <t>HAPSDCUK20251021-01</t>
  </si>
  <si>
    <t>374647_OOS</t>
  </si>
  <si>
    <t>ARG 5019199519</t>
  </si>
  <si>
    <t>372767_OOS</t>
  </si>
  <si>
    <t>TT - SEA_OOS</t>
  </si>
  <si>
    <t xml:space="preserve">DN 5019146680 </t>
  </si>
  <si>
    <t>TRINIDAD</t>
  </si>
  <si>
    <t>SRTMS183001</t>
  </si>
  <si>
    <t>0006098208_4900</t>
  </si>
  <si>
    <t>HAPSDCUK20251021-09</t>
  </si>
  <si>
    <t>0006091199_4900</t>
  </si>
  <si>
    <t>22/10/2025 11:00-11:00</t>
  </si>
  <si>
    <t>HAPSDCDE20251021-03</t>
  </si>
  <si>
    <t>374977_OOS</t>
  </si>
  <si>
    <t>ARG AIR EXW 5019177506   5019200103</t>
  </si>
  <si>
    <t>22/10/2025 14:00-14:00</t>
  </si>
  <si>
    <t>374658_OOS</t>
  </si>
  <si>
    <t>CN 5019137706 (6PL - LINE 1138) CN 5019144234 (1PL - LINE 1139)</t>
  </si>
  <si>
    <t>0006091223_4900</t>
  </si>
  <si>
    <t>462852 / 457346</t>
  </si>
  <si>
    <t>HAPSDCFR20251021-01 / HAPSDCFR20251021-01</t>
  </si>
  <si>
    <t>5019211757 / 5019209819</t>
  </si>
  <si>
    <t>373684_OOS</t>
  </si>
  <si>
    <t>369438_OOS</t>
  </si>
  <si>
    <t>GY - SEA_OOS</t>
  </si>
  <si>
    <t xml:space="preserve">DN 5019141937 </t>
  </si>
  <si>
    <t>GUYANA</t>
  </si>
  <si>
    <t>SRTMS182575</t>
  </si>
  <si>
    <t>374648_OOS</t>
  </si>
  <si>
    <t>ARG 5019206816</t>
  </si>
  <si>
    <t>0006091221_4900</t>
  </si>
  <si>
    <t>462532 / 457338</t>
  </si>
  <si>
    <t>24/10/2025 14:00-14:00</t>
  </si>
  <si>
    <t>HAPSDCES20251021-01 / HAPSDCES20251021-01</t>
  </si>
  <si>
    <t>5019217776 / 5019211302</t>
  </si>
  <si>
    <t>0006091200_4900</t>
  </si>
  <si>
    <t>HAPSDCDE20251021-04</t>
  </si>
  <si>
    <t>374650_OOS</t>
  </si>
  <si>
    <t>ARG 5019202435</t>
  </si>
  <si>
    <t>0006091197_4900</t>
  </si>
  <si>
    <t>HAPSDCDE20251021-01</t>
  </si>
  <si>
    <t>0006091231_4900</t>
  </si>
  <si>
    <t>28/10/2025 16:00-16:00</t>
  </si>
  <si>
    <t>HAPSDCSE20251021-01</t>
  </si>
  <si>
    <t>0006091198_4900</t>
  </si>
  <si>
    <t>HAPSDCDE20251021-02</t>
  </si>
  <si>
    <t>0006091224_4900</t>
  </si>
  <si>
    <t>22/10/2025 13:30-13:30</t>
  </si>
  <si>
    <t>HAPSDCFR20251021-02</t>
  </si>
  <si>
    <t>0006091229_4900</t>
  </si>
  <si>
    <t>HAPSDCPL20251021-01</t>
  </si>
  <si>
    <t>ZALCMAN</t>
  </si>
  <si>
    <t>0006101914_4900</t>
  </si>
  <si>
    <t>24/10/2025 08:00-08:00</t>
  </si>
  <si>
    <t>R1988BCM</t>
  </si>
  <si>
    <t>HAPSDCES20251021-02</t>
  </si>
  <si>
    <t>7744LMV</t>
  </si>
  <si>
    <t>Bogdan Samoila</t>
  </si>
  <si>
    <t>0006091230_4900</t>
  </si>
  <si>
    <t>24/10/2025 09:00-09:00</t>
  </si>
  <si>
    <t>KRA7917P</t>
  </si>
  <si>
    <t>HAPSDCPL20251021-02</t>
  </si>
  <si>
    <t>KRA643EA</t>
  </si>
  <si>
    <t>Krzysztof Musia?</t>
  </si>
  <si>
    <t>0006091227_4900</t>
  </si>
  <si>
    <t>27/10/2025 08:00-08:00</t>
  </si>
  <si>
    <t>HAPSDCIT20251021-01</t>
  </si>
  <si>
    <t>0006091225_4900</t>
  </si>
  <si>
    <t>22/10/2025 08:00-08:00</t>
  </si>
  <si>
    <t>HAPSDCFR20251021-03</t>
  </si>
  <si>
    <t>0006091222_4900</t>
  </si>
  <si>
    <t>462523 / 457355</t>
  </si>
  <si>
    <t>HAPSDCFI20251021-01 / HAPSDCFI20251021-01</t>
  </si>
  <si>
    <t>5019210083 / 5019210082</t>
  </si>
  <si>
    <t>0006098215_4900</t>
  </si>
  <si>
    <t>HAPSDCUK20251022-06</t>
  </si>
  <si>
    <t>371829_OOS</t>
  </si>
  <si>
    <t xml:space="preserve">DN 5019189697 </t>
  </si>
  <si>
    <t>23/10/2025 09:00-09:00</t>
  </si>
  <si>
    <t>ISRAEL 7</t>
  </si>
  <si>
    <t>375655_OOS</t>
  </si>
  <si>
    <t>23/10/2025 15:00-15:00</t>
  </si>
  <si>
    <t>372758_OOS</t>
  </si>
  <si>
    <t xml:space="preserve">DN 5019191163 </t>
  </si>
  <si>
    <t>ISRAEL 8</t>
  </si>
  <si>
    <t>374032_OOS</t>
  </si>
  <si>
    <t xml:space="preserve">4505801246 LZV </t>
  </si>
  <si>
    <t>23/10/2025 10:00-10:00</t>
  </si>
  <si>
    <t>375378_OOS</t>
  </si>
  <si>
    <t>ARG 5019154805 5019206576</t>
  </si>
  <si>
    <t>372759_OOS</t>
  </si>
  <si>
    <t xml:space="preserve">DN 5019191164 </t>
  </si>
  <si>
    <t>ISRAEL 9</t>
  </si>
  <si>
    <t>0006091257_4900</t>
  </si>
  <si>
    <t>29/10/2025 16:00-16:00</t>
  </si>
  <si>
    <t>HAPSDCIE20251022-01</t>
  </si>
  <si>
    <t>0006091259_4900</t>
  </si>
  <si>
    <t>463177 / 457427</t>
  </si>
  <si>
    <t>29/10/2025 15:00-15:00</t>
  </si>
  <si>
    <t>HAPSDCNO20251022-01 / HAPSDCNO20251022-01</t>
  </si>
  <si>
    <t>5019231680 / 5019180204</t>
  </si>
  <si>
    <t>369941_OOS</t>
  </si>
  <si>
    <t>CN-SEA-6087537_OOS</t>
  </si>
  <si>
    <t xml:space="preserve">5019180303 5019135690 </t>
  </si>
  <si>
    <t>23/10/2025 00:04-00:04</t>
  </si>
  <si>
    <t>369940_OOS</t>
  </si>
  <si>
    <t>CN-SEA-6087536_OOS</t>
  </si>
  <si>
    <t>0006098211_4900</t>
  </si>
  <si>
    <t>HAPSDCUK20251022-02</t>
  </si>
  <si>
    <t>0006091260_4900</t>
  </si>
  <si>
    <t>463179 / 457402</t>
  </si>
  <si>
    <t>HAPSDCNO20251022-02 / HAPSDCNO20251022-02</t>
  </si>
  <si>
    <t>5019224967 / 5019209791</t>
  </si>
  <si>
    <t>0006098212_4900</t>
  </si>
  <si>
    <t>28/10/2025 18:00-18:00</t>
  </si>
  <si>
    <t>HAPSDCUK20251022-03</t>
  </si>
  <si>
    <t>371830_OOS</t>
  </si>
  <si>
    <t xml:space="preserve">DN 5019192284 </t>
  </si>
  <si>
    <t>ISRAEL 10</t>
  </si>
  <si>
    <t>0006098216_4900</t>
  </si>
  <si>
    <t>HAPSDCUK20251022-07</t>
  </si>
  <si>
    <t>364891_OOS</t>
  </si>
  <si>
    <t>ZA-SEA-6068790_OOS</t>
  </si>
  <si>
    <t>23/10/2025 00:02-00:02</t>
  </si>
  <si>
    <t>374652_OOS</t>
  </si>
  <si>
    <t>ARG 5019194616</t>
  </si>
  <si>
    <t>0006098210_4900</t>
  </si>
  <si>
    <t>23/10/2025 17:00-17:00</t>
  </si>
  <si>
    <t>PZ_993XN</t>
  </si>
  <si>
    <t>HAPSDCUK20251022-01</t>
  </si>
  <si>
    <t>NMG_590</t>
  </si>
  <si>
    <t>Umarzhan Abdullaev</t>
  </si>
  <si>
    <t>0006102889_4900</t>
  </si>
  <si>
    <t>463270 / 463269</t>
  </si>
  <si>
    <t>24/10/2025 15:00-15:00</t>
  </si>
  <si>
    <t>HAPSDCIT20251022-02 / HAPSDCIT20251022-02</t>
  </si>
  <si>
    <t>5019238687 / 5019238686</t>
  </si>
  <si>
    <t>0006102974_4900</t>
  </si>
  <si>
    <t>24/10/2025 13:00-13:00</t>
  </si>
  <si>
    <t>HAPSDCUK20251022-09</t>
  </si>
  <si>
    <t>0006091255_4900</t>
  </si>
  <si>
    <t>HAPSDCFR20251022-03</t>
  </si>
  <si>
    <t>371831_OOS</t>
  </si>
  <si>
    <t xml:space="preserve">DN 5019192441 </t>
  </si>
  <si>
    <t>ISRAEL 11</t>
  </si>
  <si>
    <t>374653_OOS</t>
  </si>
  <si>
    <t>ARG 5019194617</t>
  </si>
  <si>
    <t>370711_OOS</t>
  </si>
  <si>
    <t>NZ-AIR_OOS / AU-AIR_OOS</t>
  </si>
  <si>
    <t>NZ 5019101978 5019070126 5019112696 (4PL) AU 5019125161 (1PL)</t>
  </si>
  <si>
    <t>371832_OOS</t>
  </si>
  <si>
    <t xml:space="preserve">DN 5019190251 </t>
  </si>
  <si>
    <t>SRTMS183066</t>
  </si>
  <si>
    <t>372641_OOS</t>
  </si>
  <si>
    <t>ELN 5019091446</t>
  </si>
  <si>
    <t>0006102887_4900</t>
  </si>
  <si>
    <t>463429 / 461771</t>
  </si>
  <si>
    <t>29/10/2025 23:00-23:00</t>
  </si>
  <si>
    <t>HAPSDCIE20251022-02 / HAPSDCIE20251022-02</t>
  </si>
  <si>
    <t>5019240498 / 5019229690</t>
  </si>
  <si>
    <t>374839_OOS</t>
  </si>
  <si>
    <t>AIR - PH_OOS</t>
  </si>
  <si>
    <t>5019190207 (2 PLT) 5018897584 (1 PLT)</t>
  </si>
  <si>
    <t>0006091256_4900</t>
  </si>
  <si>
    <t>457436 / 457435</t>
  </si>
  <si>
    <t>24/10/2025 15:00-15:00 / 24/10/2025 13:00-13:00</t>
  </si>
  <si>
    <t>HAPSDCHU20251022-01 / HAPSDCHU20251022-01</t>
  </si>
  <si>
    <t>5019224058 / 5019217714</t>
  </si>
  <si>
    <t>375540_OOS</t>
  </si>
  <si>
    <t>Scrap Kwaliflex - ROAD_OOS</t>
  </si>
  <si>
    <t>Kwaliflex</t>
  </si>
  <si>
    <t>planning@kwaliflex.nl</t>
  </si>
  <si>
    <t>373687_OOS</t>
  </si>
  <si>
    <t>5019110992   5018901471</t>
  </si>
  <si>
    <t>0006091251_4900</t>
  </si>
  <si>
    <t>463178 / 457449</t>
  </si>
  <si>
    <t>HAPSDCDK20251022-01 / HAPSDCDK20251022-01</t>
  </si>
  <si>
    <t>5019227682 / 5019216901</t>
  </si>
  <si>
    <t>375542_OOS</t>
  </si>
  <si>
    <t>90020528   90021115   90023076</t>
  </si>
  <si>
    <t>375541_OOS</t>
  </si>
  <si>
    <t>90020493   90021043   90020793</t>
  </si>
  <si>
    <t>0006098213_4900</t>
  </si>
  <si>
    <t>HAPSDCUK20251022-04</t>
  </si>
  <si>
    <t>0006091239_4900</t>
  </si>
  <si>
    <t>HAPSDCDE20251022-03</t>
  </si>
  <si>
    <t>2025102002_4900</t>
  </si>
  <si>
    <t>251020144204_4900</t>
  </si>
  <si>
    <t>MALI - FR Maligny</t>
  </si>
  <si>
    <t>OT : 251020144204_4900 : Opole 3700</t>
  </si>
  <si>
    <t>MT_585</t>
  </si>
  <si>
    <t>MIO_480</t>
  </si>
  <si>
    <t>Dmytro Kupchyk</t>
  </si>
  <si>
    <t>0006091238_4900</t>
  </si>
  <si>
    <t>HAPSDCDE20251022-02</t>
  </si>
  <si>
    <t>0006091253_4900</t>
  </si>
  <si>
    <t>23/10/2025 08:00-08:00</t>
  </si>
  <si>
    <t>HAPSDCFR20251022-01</t>
  </si>
  <si>
    <t>0006091262_4900</t>
  </si>
  <si>
    <t>24/10/2025 21:00-21:00</t>
  </si>
  <si>
    <t>KRA8997P</t>
  </si>
  <si>
    <t>HAPSDCPL20251022-02</t>
  </si>
  <si>
    <t>WPR9710T</t>
  </si>
  <si>
    <t xml:space="preserve">Pyciak Mariusz </t>
  </si>
  <si>
    <t>0006091254_4900</t>
  </si>
  <si>
    <t>23/10/2025 08:30-08:30</t>
  </si>
  <si>
    <t>HAPSDCFR20251022-02</t>
  </si>
  <si>
    <t>0006091235_4900</t>
  </si>
  <si>
    <t>PZ_4N140</t>
  </si>
  <si>
    <t>HAPSDCAT20251022-01</t>
  </si>
  <si>
    <t>MJG_244</t>
  </si>
  <si>
    <t>Khurram Shahzad</t>
  </si>
  <si>
    <t>0006091237_4900</t>
  </si>
  <si>
    <t>HAPSDCDE20251022-01</t>
  </si>
  <si>
    <t>0006091252_4900</t>
  </si>
  <si>
    <t>HAPSDCES20251022-01</t>
  </si>
  <si>
    <t>0006091296_4900</t>
  </si>
  <si>
    <t>30/10/2025 16:00-16:00</t>
  </si>
  <si>
    <t>HAPSDCPT20251023-01</t>
  </si>
  <si>
    <t>0006102890_4900</t>
  </si>
  <si>
    <t>30/10/2025 15:00-15:00</t>
  </si>
  <si>
    <t>HAPSDCNO20251023-02</t>
  </si>
  <si>
    <t>0006091258_4900</t>
  </si>
  <si>
    <t>25/10/2025 12:00-12:00</t>
  </si>
  <si>
    <t>HAPSDCIT20251022-01</t>
  </si>
  <si>
    <t>371833_OOS</t>
  </si>
  <si>
    <t xml:space="preserve">DN 5019173834 </t>
  </si>
  <si>
    <t>0006098223_4900</t>
  </si>
  <si>
    <t>29/10/2025 23:30-23:30</t>
  </si>
  <si>
    <t>HAPSDCUK20251023-07</t>
  </si>
  <si>
    <t>374444_OOS</t>
  </si>
  <si>
    <t>SFG-BR-WEEK43-1_OOS</t>
  </si>
  <si>
    <t xml:space="preserve">5019245340  </t>
  </si>
  <si>
    <t>24/10/2025 00:01-00:01</t>
  </si>
  <si>
    <t>260826733 - Semifinished Goods BR</t>
  </si>
  <si>
    <t>375904_OOS</t>
  </si>
  <si>
    <t>374445_OOS</t>
  </si>
  <si>
    <t>SFG-BR-WEEK43-2_OOS</t>
  </si>
  <si>
    <t>260826757 - BR Semifinished Goods</t>
  </si>
  <si>
    <t>374035_OOS</t>
  </si>
  <si>
    <t>4505802882 LZV</t>
  </si>
  <si>
    <t>24/10/2025 10:00-10:00</t>
  </si>
  <si>
    <t>367226_OOS</t>
  </si>
  <si>
    <t>AU-SEA-6078274_OOS</t>
  </si>
  <si>
    <t xml:space="preserve">5019179544 5019180133 </t>
  </si>
  <si>
    <t>24/10/2025 00:02-00:02</t>
  </si>
  <si>
    <t>0006098222_4900</t>
  </si>
  <si>
    <t>HAPSDCUK20251023-06</t>
  </si>
  <si>
    <t>367228_OOS</t>
  </si>
  <si>
    <t>AU-SEA-6078275_OOS</t>
  </si>
  <si>
    <t xml:space="preserve">5019190128 5019191124 </t>
  </si>
  <si>
    <t>0006091291_4900</t>
  </si>
  <si>
    <t>24/10/2025 23:30-23:30</t>
  </si>
  <si>
    <t>HAPSDCIE20251023-01</t>
  </si>
  <si>
    <t>373749_OOS</t>
  </si>
  <si>
    <t>ARG 5019149931</t>
  </si>
  <si>
    <t>374447_OOS</t>
  </si>
  <si>
    <t>SFG-BR-WEEK43-3_OOS</t>
  </si>
  <si>
    <t>260827123 - BR Semifinished Goods</t>
  </si>
  <si>
    <t>374449_OOS</t>
  </si>
  <si>
    <t>SFG-BR-WEEK43-4_OOS</t>
  </si>
  <si>
    <t xml:space="preserve">5019240476 5019243353 </t>
  </si>
  <si>
    <t>260827129 - BR Semifinished Goods</t>
  </si>
  <si>
    <t>371839_OOS</t>
  </si>
  <si>
    <t xml:space="preserve">DN 5019179318 </t>
  </si>
  <si>
    <t>24/10/2025 12:00-12:00</t>
  </si>
  <si>
    <t>0006091269_4900</t>
  </si>
  <si>
    <t>24/10/2025 08:30-08:30</t>
  </si>
  <si>
    <t>HAPSDCFR20251023-02</t>
  </si>
  <si>
    <t>375454_OOS</t>
  </si>
  <si>
    <t>US - AIR_OOS</t>
  </si>
  <si>
    <t>US AIR 5019167082   5019187394 -6P  ARG AIR EXW - 5019220387 -6P</t>
  </si>
  <si>
    <t>364709_OOS</t>
  </si>
  <si>
    <t>AU-SEA-6068698_OOS</t>
  </si>
  <si>
    <t xml:space="preserve">5019111274 5019125133 </t>
  </si>
  <si>
    <t>24/10/2025 00:05-00:05</t>
  </si>
  <si>
    <t>0006098218_4900</t>
  </si>
  <si>
    <t>29/10/2025 18:00-18:00</t>
  </si>
  <si>
    <t>HAPSDCUK20251023-02</t>
  </si>
  <si>
    <t>372647_OOS</t>
  </si>
  <si>
    <t xml:space="preserve">MEA 5018542563 5018526517 5018595459 5018695653 5018689307 5018705040 5019016524  </t>
  </si>
  <si>
    <t>371847_OOS</t>
  </si>
  <si>
    <t xml:space="preserve">DN 5019191811 </t>
  </si>
  <si>
    <t>372648_OOS</t>
  </si>
  <si>
    <t>MEA 5019210437</t>
  </si>
  <si>
    <t>0006098217_4900</t>
  </si>
  <si>
    <t>27/10/2025 12:00-12:00</t>
  </si>
  <si>
    <t>HAPSDCUK20251023-01</t>
  </si>
  <si>
    <t>371851_OOS</t>
  </si>
  <si>
    <t xml:space="preserve">DN 5019171747 </t>
  </si>
  <si>
    <t>0006091293_4900</t>
  </si>
  <si>
    <t>463610 / 457432</t>
  </si>
  <si>
    <t>HAPSDCNO20251023-01 / HAPSDCNO20251023-01</t>
  </si>
  <si>
    <t>5019215511 / 5019243608</t>
  </si>
  <si>
    <t>372649_OOS</t>
  </si>
  <si>
    <t>MEA 5019111017 5019089754 5019170869 5019184240 5019180287 5019189518 5019220048 5019168866 5019217075</t>
  </si>
  <si>
    <t>375773_OOS</t>
  </si>
  <si>
    <t>NWW-AIR_OOS</t>
  </si>
  <si>
    <t>SacoAir</t>
  </si>
  <si>
    <t>info.ams@sacoair.com</t>
  </si>
  <si>
    <t>0006098220_4900</t>
  </si>
  <si>
    <t>PZ_1P569</t>
  </si>
  <si>
    <t>HAPSDCUK20251023-04</t>
  </si>
  <si>
    <t>PZ_6S821</t>
  </si>
  <si>
    <t>Viktar Kerez</t>
  </si>
  <si>
    <t>371852_OOS</t>
  </si>
  <si>
    <t xml:space="preserve">DN 5019179319 </t>
  </si>
  <si>
    <t>372760_OOS</t>
  </si>
  <si>
    <t xml:space="preserve">DN 5019185022 </t>
  </si>
  <si>
    <t>0006091268_4900</t>
  </si>
  <si>
    <t>24/10/2025 11:30-11:30</t>
  </si>
  <si>
    <t>HAPSDCFR20251023-01</t>
  </si>
  <si>
    <t>372650_OOS</t>
  </si>
  <si>
    <t xml:space="preserve">MEA 5019101673 5019135777 </t>
  </si>
  <si>
    <t>370804_OOS</t>
  </si>
  <si>
    <t>5019134416 + 5019190609 + 5019181567 + 5019188972 + 5019191324 + 5019062918 + 5019134610 + 5019178545</t>
  </si>
  <si>
    <t>375774_OOS</t>
  </si>
  <si>
    <t>375535_OOS</t>
  </si>
  <si>
    <t>374751_OOS</t>
  </si>
  <si>
    <t>5019204161_OOS</t>
  </si>
  <si>
    <t>TBA STV</t>
  </si>
  <si>
    <t>373985_OOS</t>
  </si>
  <si>
    <t>375612_OOS</t>
  </si>
  <si>
    <t>MEA  5019220883 5019209372 5019075786 5019202433</t>
  </si>
  <si>
    <t>0006102885_4900</t>
  </si>
  <si>
    <t>463608 / 461767</t>
  </si>
  <si>
    <t>HAPSDCFI20251023-01 / HAPSDCFI20251023-01</t>
  </si>
  <si>
    <t>5019240493 / 5019219679</t>
  </si>
  <si>
    <t>0006091265_4900</t>
  </si>
  <si>
    <t>HAPSDCDE20251023-02</t>
  </si>
  <si>
    <t>0006091297_4900</t>
  </si>
  <si>
    <t>463882 / 463787 / 457445</t>
  </si>
  <si>
    <t>28/10/2025 09:00-09:00</t>
  </si>
  <si>
    <t>PZ_7T156</t>
  </si>
  <si>
    <t>HAPSDCPT20251023-02 / HAPSDCPT20251023-02 / HAPSDCPT20251023-02</t>
  </si>
  <si>
    <t>5019246377 / 5019234597 / 5019245404</t>
  </si>
  <si>
    <t>NED_946</t>
  </si>
  <si>
    <t>Hiloliddin Qosimi</t>
  </si>
  <si>
    <t>375611_OOS</t>
  </si>
  <si>
    <t>0006091264_4900</t>
  </si>
  <si>
    <t>HAPSDCDE20251023-01</t>
  </si>
  <si>
    <t>0006091294_4900</t>
  </si>
  <si>
    <t>463612 / 463611 / 457426</t>
  </si>
  <si>
    <t>KN318PC</t>
  </si>
  <si>
    <t>HAPSDCPL20251023-01 / HAPSDCPL20251023-01 / HAPSDCPL20251023-01</t>
  </si>
  <si>
    <t>5019230396 / 5019233349 / 5019245043</t>
  </si>
  <si>
    <t>WPR0412U</t>
  </si>
  <si>
    <t xml:space="preserve">Szafran Szymon </t>
  </si>
  <si>
    <t>0006091266_4900</t>
  </si>
  <si>
    <t>HAPSDCDE20251023-03</t>
  </si>
  <si>
    <t>0006091270_4900</t>
  </si>
  <si>
    <t>HAPSDCFR20251023-03</t>
  </si>
  <si>
    <t>0006102971_4900</t>
  </si>
  <si>
    <t>463613 / 461766</t>
  </si>
  <si>
    <t>HAPSDCSE20251023-01 / HAPSDCSE20251023-01</t>
  </si>
  <si>
    <t>5019219678 / 5019243609</t>
  </si>
  <si>
    <t>0006091295_4900</t>
  </si>
  <si>
    <t>28/10/2025 12:00-12:00</t>
  </si>
  <si>
    <t>HAPSDCPL20251023-02</t>
  </si>
  <si>
    <t>0006098228_4900</t>
  </si>
  <si>
    <t>30/10/2025 23:30-23:30</t>
  </si>
  <si>
    <t>HAPSDCUK20251024-05</t>
  </si>
  <si>
    <t>373731_OOS</t>
  </si>
  <si>
    <t>CO-SEA-6078300_OOS</t>
  </si>
  <si>
    <t>5019101329 5019106649 5019175675</t>
  </si>
  <si>
    <t>25/10/2025 00:00-00:00</t>
  </si>
  <si>
    <t>376584_OOS</t>
  </si>
  <si>
    <t>25/10/2025 15:00-15:00</t>
  </si>
  <si>
    <t>0006091267_4900</t>
  </si>
  <si>
    <t>463607 / 457421</t>
  </si>
  <si>
    <t>FERCAM AUSTRIA FOR SN 3PO</t>
  </si>
  <si>
    <t>26/10/2025 23:30-23:30</t>
  </si>
  <si>
    <t>HAPSDCES20251023-01 / HAPSDCES20251023-01</t>
  </si>
  <si>
    <t>5019246363 / 5019233029</t>
  </si>
  <si>
    <t>371853_OOS</t>
  </si>
  <si>
    <t xml:space="preserve">DN 5019185213 </t>
  </si>
  <si>
    <t>25/10/2025 09:00-09:00</t>
  </si>
  <si>
    <t>374038_OOS</t>
  </si>
  <si>
    <t>4505804282 LZV</t>
  </si>
  <si>
    <t>25/10/2025 10:00-10:00</t>
  </si>
  <si>
    <t>367229_OOS</t>
  </si>
  <si>
    <t>AU-SEA-6078276_OOS</t>
  </si>
  <si>
    <t>25/10/2025 00:01-00:01</t>
  </si>
  <si>
    <t>371854_OOS</t>
  </si>
  <si>
    <t xml:space="preserve">DN 5019191165 </t>
  </si>
  <si>
    <t>0006102888_4900</t>
  </si>
  <si>
    <t>31/10/2025 22:00-22:00</t>
  </si>
  <si>
    <t>HAPSDCIE20251024-02</t>
  </si>
  <si>
    <t>0006098229_4900</t>
  </si>
  <si>
    <t>HAPSDCUK20251024-06</t>
  </si>
  <si>
    <t>372656_OOS</t>
  </si>
  <si>
    <t>MEA 5019201266 5019209249</t>
  </si>
  <si>
    <t>0006091316_4900</t>
  </si>
  <si>
    <t>457437 / 457438</t>
  </si>
  <si>
    <t>31/10/2025 23:00-23:00 / 31/10/2025 18:00-18:00</t>
  </si>
  <si>
    <t>HAPSDCIE20251024-01 / HAPSDCIE20251024-01</t>
  </si>
  <si>
    <t>5019241828 / 5019241827</t>
  </si>
  <si>
    <t>371855_OOS</t>
  </si>
  <si>
    <t xml:space="preserve">DN 5019191166 </t>
  </si>
  <si>
    <t>0006091317_4900</t>
  </si>
  <si>
    <t>27/10/2025 15:00-15:00</t>
  </si>
  <si>
    <t>HAPSDCIT20251024-01</t>
  </si>
  <si>
    <t>371856_OOS</t>
  </si>
  <si>
    <t xml:space="preserve">DN 5019196120 </t>
  </si>
  <si>
    <t>0006098225_4900</t>
  </si>
  <si>
    <t>30/10/2025 18:00-18:00</t>
  </si>
  <si>
    <t>HAPSDCUK20251024-02</t>
  </si>
  <si>
    <t>0006098227_4900</t>
  </si>
  <si>
    <t>HAPSDCUK20251024-04</t>
  </si>
  <si>
    <t>372657_OOS</t>
  </si>
  <si>
    <t>MEA 5019209248 5019211605 5019133952</t>
  </si>
  <si>
    <t>0006102884_4900</t>
  </si>
  <si>
    <t>6SA1876</t>
  </si>
  <si>
    <t>HAPSDCCZ20251024-02</t>
  </si>
  <si>
    <t>6SM7953</t>
  </si>
  <si>
    <t>370797_OOS</t>
  </si>
  <si>
    <t xml:space="preserve">5019243891 + 5019225036 </t>
  </si>
  <si>
    <t>372658_OOS</t>
  </si>
  <si>
    <t>MEA 5019190791 5019144614</t>
  </si>
  <si>
    <t>376401_OOS</t>
  </si>
  <si>
    <t>5019255670 - 5019263484_OOS</t>
  </si>
  <si>
    <t>2 orders to ship rejected pallets for scrapping. Special instructions added: M20004 NBB</t>
  </si>
  <si>
    <t>0006091323_4900</t>
  </si>
  <si>
    <t>464653 / 457408</t>
  </si>
  <si>
    <t>31/10/2025 16:00-16:00</t>
  </si>
  <si>
    <t>HAPSDCSE20251024-01 / HAPSDCSE20251024-01</t>
  </si>
  <si>
    <t>5019261011 / 5019238065</t>
  </si>
  <si>
    <t>367603_OOS</t>
  </si>
  <si>
    <t>CO-SEA-6078301_OOS</t>
  </si>
  <si>
    <t>25/10/2025 00:02-00:02</t>
  </si>
  <si>
    <t>0006098224_4900</t>
  </si>
  <si>
    <t>PZ_719XN</t>
  </si>
  <si>
    <t>HAPSDCUK20251024-01</t>
  </si>
  <si>
    <t>PZ_5Y243</t>
  </si>
  <si>
    <t>Yury Hlukhau</t>
  </si>
  <si>
    <t>370798_OOS</t>
  </si>
  <si>
    <t>0006098226_4900</t>
  </si>
  <si>
    <t>HAPSDCUK20251024-03</t>
  </si>
  <si>
    <t>370802_OOS</t>
  </si>
  <si>
    <t>0006091320_4900</t>
  </si>
  <si>
    <t>HI_274</t>
  </si>
  <si>
    <t>HAPSDCPL20251024-01</t>
  </si>
  <si>
    <t>NCL_764</t>
  </si>
  <si>
    <t>Qurbonbek Shakarmamadov</t>
  </si>
  <si>
    <t>375770_OOS</t>
  </si>
  <si>
    <t>AU 5019179747 5019191091</t>
  </si>
  <si>
    <t>370799_OOS</t>
  </si>
  <si>
    <t>375536_OOS</t>
  </si>
  <si>
    <t>0006091322_4900</t>
  </si>
  <si>
    <t>27/10/2025 11:00-11:00</t>
  </si>
  <si>
    <t>PZ_254XW</t>
  </si>
  <si>
    <t>HAPSDCPL20251024-03</t>
  </si>
  <si>
    <t>MLK_917</t>
  </si>
  <si>
    <t>Nizomjon Buriev</t>
  </si>
  <si>
    <t>375466_OOS</t>
  </si>
  <si>
    <t>US AIR 5019200365   5019193027   5019190879 - 18P</t>
  </si>
  <si>
    <t>25/10/2025 14:00-14:00</t>
  </si>
  <si>
    <t>0006091311_4900</t>
  </si>
  <si>
    <t>HAPSDCDE20251024-02</t>
  </si>
  <si>
    <t>375537_OOS</t>
  </si>
  <si>
    <t>0006091321_4900</t>
  </si>
  <si>
    <t>PZ_7G832</t>
  </si>
  <si>
    <t>HAPSDCPL20251024-02</t>
  </si>
  <si>
    <t>PZ_5H278</t>
  </si>
  <si>
    <t>Aliaksandr Hryshchuk</t>
  </si>
  <si>
    <t>374279_OOS</t>
  </si>
  <si>
    <t>TW-AIR_OOS / HK-AIR_OOS</t>
  </si>
  <si>
    <t>HK 5019191401 (2PL) TW 5019191601   5019191126 (3PL)</t>
  </si>
  <si>
    <t>0006091300_4900</t>
  </si>
  <si>
    <t>HAPSDCDE20251024-01</t>
  </si>
  <si>
    <t>0006091313_4900</t>
  </si>
  <si>
    <t>464493 / 457428</t>
  </si>
  <si>
    <t>27/10/2025 14:00-14:00</t>
  </si>
  <si>
    <t>HAPSDCES20251024-01 / HAPSDCES20251024-01</t>
  </si>
  <si>
    <t>5019243879 / 5019253012</t>
  </si>
  <si>
    <t>0006102886_4900</t>
  </si>
  <si>
    <t>HAPSDCHU20251024-01</t>
  </si>
  <si>
    <t>LT/LT</t>
  </si>
  <si>
    <t>0006091312_4900</t>
  </si>
  <si>
    <t>HAPSDCDE20251024-03</t>
  </si>
  <si>
    <t>0006091324_4900</t>
  </si>
  <si>
    <t>464168 / 457409</t>
  </si>
  <si>
    <t>31/10/2025 15:00-15:00</t>
  </si>
  <si>
    <t>HAPSDCSE20251024-02 / HAPSDCSE20251024-02</t>
  </si>
  <si>
    <t>5019220557 / 5019240709</t>
  </si>
  <si>
    <t>375550_OOS</t>
  </si>
  <si>
    <t>0006091318_4900</t>
  </si>
  <si>
    <t>HAPSDCIT20251024-02</t>
  </si>
  <si>
    <t>0006109420_4900</t>
  </si>
  <si>
    <t>GLOS - DK Glostrup</t>
  </si>
  <si>
    <t>HAPSDCDK20251024-01</t>
  </si>
  <si>
    <t>0006111414_4900</t>
  </si>
  <si>
    <t>07/11/2025 18:00-18:00</t>
  </si>
  <si>
    <t>HAPSDCUK20251027-06</t>
  </si>
  <si>
    <t>376195_OOS</t>
  </si>
  <si>
    <t>CN - SEA_OOS / EC - SEA_OOS / PY - SEA_OOS / BO - SEA_OOS</t>
  </si>
  <si>
    <t>Aval non piloté_EN / Aval non piloté_EN / Aval non piloté_EN / Aval non piloté_EN</t>
  </si>
  <si>
    <t>OOS_OUT - Delivery OOS / OOS_OUT - Delivery OOS / OOS_OUT - Delivery OOS / OOS_OUT - Delivery OOS</t>
  </si>
  <si>
    <t>BO : 5019250404 PY : 5019070695 / 5019233099 / 5019243995 EC : 5019256722 CN : 5019243767</t>
  </si>
  <si>
    <t>28/10/2025 07:00-07:00</t>
  </si>
  <si>
    <t>377469_OOS</t>
  </si>
  <si>
    <t>5019276600   5019256062</t>
  </si>
  <si>
    <t>28/10/2025 15:00-15:00</t>
  </si>
  <si>
    <t>0006111412_4900</t>
  </si>
  <si>
    <t>HAPSDCUK20251027-04</t>
  </si>
  <si>
    <t>0006111359_4900</t>
  </si>
  <si>
    <t>464650 / 464649</t>
  </si>
  <si>
    <t>28/10/2025 17:00-17:00</t>
  </si>
  <si>
    <t>HAPSDCUK20251027-01 / HAPSDCUK20251027-01</t>
  </si>
  <si>
    <t>5019250412 / 5019242626</t>
  </si>
  <si>
    <t>0006109757_4900</t>
  </si>
  <si>
    <t>03/11/2025 22:00-22:00</t>
  </si>
  <si>
    <t>HAPSDCIE20251027-02</t>
  </si>
  <si>
    <t>374436_OOS</t>
  </si>
  <si>
    <t>Globalink Logistics</t>
  </si>
  <si>
    <t>a.ussenova@globalinklogistics.com</t>
  </si>
  <si>
    <t>370302_OOS</t>
  </si>
  <si>
    <t>NZ-SEA-6087542_OOS</t>
  </si>
  <si>
    <t>28/10/2025 00:01-00:01</t>
  </si>
  <si>
    <t>376614_OOS</t>
  </si>
  <si>
    <t>4505806149 Regular</t>
  </si>
  <si>
    <t>28/10/2025 10:00-10:00</t>
  </si>
  <si>
    <t>0006111360_4900</t>
  </si>
  <si>
    <t>464657 / 464656</t>
  </si>
  <si>
    <t>31/10/2025 18:00-18:00</t>
  </si>
  <si>
    <t>HAPSDCUK20251027-02 / HAPSDCUK20251027-02</t>
  </si>
  <si>
    <t>5019244284 / 5019243051</t>
  </si>
  <si>
    <t>0006104653_4900</t>
  </si>
  <si>
    <t>29/10/2025 14:00-14:00</t>
  </si>
  <si>
    <t>HAPSDCES20251027-01</t>
  </si>
  <si>
    <t>375772_OOS</t>
  </si>
  <si>
    <t>AU 5019199327</t>
  </si>
  <si>
    <t>375608_OOS</t>
  </si>
  <si>
    <t>NG-SEA_OOS</t>
  </si>
  <si>
    <t>Newcorp</t>
  </si>
  <si>
    <t>5019100540   5019193468 - NO-SHOW</t>
  </si>
  <si>
    <t>anton@newcorplogistics.nl</t>
  </si>
  <si>
    <t>376992_OOS</t>
  </si>
  <si>
    <t>KZ-ROAD_OOS</t>
  </si>
  <si>
    <t>5019244295   5019250734   5019254009</t>
  </si>
  <si>
    <t>ydiris.nassyrov@danone.com</t>
  </si>
  <si>
    <t>0006111413_4900</t>
  </si>
  <si>
    <t>HAPSDCUK20251027-05</t>
  </si>
  <si>
    <t>0006104658_4900</t>
  </si>
  <si>
    <t>03/11/2025 23:00-23:00</t>
  </si>
  <si>
    <t>HAPSDCIE20251027-01</t>
  </si>
  <si>
    <t>0006111411_4900</t>
  </si>
  <si>
    <t>464647 / 464646</t>
  </si>
  <si>
    <t>HAPSDCUK20251027-03 / HAPSDCUK20251027-03</t>
  </si>
  <si>
    <t>5019254504 / 5019252789</t>
  </si>
  <si>
    <t>376301_OOS</t>
  </si>
  <si>
    <t>CN 5019260372</t>
  </si>
  <si>
    <t>0006104665_4900</t>
  </si>
  <si>
    <t>464732 / 462541</t>
  </si>
  <si>
    <t>29/10/2025 21:00-21:00</t>
  </si>
  <si>
    <t>OP8380H</t>
  </si>
  <si>
    <t>HAPSDCPL20251027-03 / HAPSDCPL20251027-03</t>
  </si>
  <si>
    <t>5019253901 / 5019233319</t>
  </si>
  <si>
    <t>OKR1CX4</t>
  </si>
  <si>
    <t>TOMYS EDMUND</t>
  </si>
  <si>
    <t>0006104659_4900</t>
  </si>
  <si>
    <t>LN_996</t>
  </si>
  <si>
    <t>HAPSDCIT20251027-01</t>
  </si>
  <si>
    <t>MTR_491</t>
  </si>
  <si>
    <t>Andrei Nicolaiciuc</t>
  </si>
  <si>
    <t>375808_OOS</t>
  </si>
  <si>
    <t>CO-AIR_OOS</t>
  </si>
  <si>
    <t>CO 5019187490 5019220367 (9PL) CO 5019175303 (7PL) NZ 5019185228 (5PL) TOTAL 21PL</t>
  </si>
  <si>
    <t>376930_OOS</t>
  </si>
  <si>
    <t>90011317 (PO 17292371)</t>
  </si>
  <si>
    <t>0006109415_4900</t>
  </si>
  <si>
    <t>30/10/2025 09:00-09:00</t>
  </si>
  <si>
    <t>HAPSDCDE20251027-04</t>
  </si>
  <si>
    <t>377019_OOS</t>
  </si>
  <si>
    <t>0006104655_4900</t>
  </si>
  <si>
    <t>28/10/2025 08:00-08:00</t>
  </si>
  <si>
    <t>HAPSDCFR20251027-02</t>
  </si>
  <si>
    <t>0006104656_4900</t>
  </si>
  <si>
    <t>HAPSDCFR20251027-03</t>
  </si>
  <si>
    <t>0006104550_4900</t>
  </si>
  <si>
    <t>29/10/2025 06:00-06:00</t>
  </si>
  <si>
    <t>HAPSDCDE20251027-01</t>
  </si>
  <si>
    <t>376206_OOS</t>
  </si>
  <si>
    <t>SV - SEA_OOS / PA -SEA_OOS / DR - SEA_OOS</t>
  </si>
  <si>
    <t>DR : 5019245312 PA : 5019242742 SV : 5019223184 (AMN) SV : 5019238580 (ELN)</t>
  </si>
  <si>
    <t>0006104651_4900</t>
  </si>
  <si>
    <t>HAPSDCDE20251027-02</t>
  </si>
  <si>
    <t>0006104654_4900</t>
  </si>
  <si>
    <t>28/10/2025 13:00-13:00</t>
  </si>
  <si>
    <t>HAPSDCFR20251027-01</t>
  </si>
  <si>
    <t>0006111230_4900</t>
  </si>
  <si>
    <t>NAZA - BE Nazareth (Dematra)</t>
  </si>
  <si>
    <t>28/10/2025 11:00-11:00</t>
  </si>
  <si>
    <t>SN_511</t>
  </si>
  <si>
    <t>HAPSDCBE20251027-02</t>
  </si>
  <si>
    <t>0006104666_4900</t>
  </si>
  <si>
    <t>29/10/2025 11:00-11:00</t>
  </si>
  <si>
    <t>HAPSDCSE20251027-01</t>
  </si>
  <si>
    <t>0006104663_4900</t>
  </si>
  <si>
    <t>464735 / 464734 / 462522</t>
  </si>
  <si>
    <t>30/10/2025 19:00-19:00</t>
  </si>
  <si>
    <t>KRA678PG</t>
  </si>
  <si>
    <t>HAPSDCPL20251027-01 / HAPSDCPL20251027-01 / HAPSDCPL20251027-01</t>
  </si>
  <si>
    <t>5019262721 / 5019253898 / 5019253434</t>
  </si>
  <si>
    <t>WPR0417U</t>
  </si>
  <si>
    <t>Szymon Bana?</t>
  </si>
  <si>
    <t>0006111229_4900</t>
  </si>
  <si>
    <t>28/10/2025 14:00-14:00</t>
  </si>
  <si>
    <t>PZ_126WP</t>
  </si>
  <si>
    <t>HAPSDCBE20251027-01</t>
  </si>
  <si>
    <t>NJM_796</t>
  </si>
  <si>
    <t>Temur Malik Murodov</t>
  </si>
  <si>
    <t>0006104664_4900</t>
  </si>
  <si>
    <t>WPR119AE</t>
  </si>
  <si>
    <t>HAPSDCPL20251027-02</t>
  </si>
  <si>
    <t>WPR3422T</t>
  </si>
  <si>
    <t xml:space="preserve">Wrona Witold </t>
  </si>
  <si>
    <t>0006091292_4900</t>
  </si>
  <si>
    <t>29/10/2025 19:00-19:00</t>
  </si>
  <si>
    <t>HAPSDCIT20251023-01</t>
  </si>
  <si>
    <t>0006111417_4900</t>
  </si>
  <si>
    <t>HAPSDCUK20251028-03</t>
  </si>
  <si>
    <t>374492_OOS</t>
  </si>
  <si>
    <t>CN-SEA-6102020_OOS</t>
  </si>
  <si>
    <t>29/10/2025 00:02-00:02</t>
  </si>
  <si>
    <t>377813_OOS</t>
  </si>
  <si>
    <t>5019272064   5019282849</t>
  </si>
  <si>
    <t>374494_OOS</t>
  </si>
  <si>
    <t>CN-SEA-6102091_OOS</t>
  </si>
  <si>
    <t>0006111416_4900</t>
  </si>
  <si>
    <t>HAPSDCUK20251028-02</t>
  </si>
  <si>
    <t>0006091314_4900</t>
  </si>
  <si>
    <t>31/10/2025 09:00-09:00</t>
  </si>
  <si>
    <t>R0207BCW</t>
  </si>
  <si>
    <t>HAPSDCES20251024-02</t>
  </si>
  <si>
    <t>9687MBZ</t>
  </si>
  <si>
    <t>ABDEL</t>
  </si>
  <si>
    <t>374649_OOS</t>
  </si>
  <si>
    <t xml:space="preserve">5019017342 5019091046 5019007593 5019191100 5019027880 5019107292 </t>
  </si>
  <si>
    <t>29/10/2025 09:00-09:00</t>
  </si>
  <si>
    <t>ISRAEL MEGAPHARM</t>
  </si>
  <si>
    <t>SRTMS183038</t>
  </si>
  <si>
    <t>375007_OOS</t>
  </si>
  <si>
    <t xml:space="preserve">MEA 5018964616 5018757989 5018824700 5019093693 5019088146 5019107312 </t>
  </si>
  <si>
    <t>29/10/2025 10:00-10:00</t>
  </si>
  <si>
    <t>376615_OOS</t>
  </si>
  <si>
    <t>4505808396 LZV</t>
  </si>
  <si>
    <t>377631_OOS</t>
  </si>
  <si>
    <t>Kivits Elshout - ROAD_OOS</t>
  </si>
  <si>
    <t>29/10/2025 12:00-12:00</t>
  </si>
  <si>
    <t>va-planning@koopman.nl</t>
  </si>
  <si>
    <t>376933_OOS</t>
  </si>
  <si>
    <t>90030308 (PO 17292369)</t>
  </si>
  <si>
    <t>375833_OOS</t>
  </si>
  <si>
    <t>ARG 5019220728</t>
  </si>
  <si>
    <t>377340_OOS</t>
  </si>
  <si>
    <t>IQ-SEA_OOS</t>
  </si>
  <si>
    <t>feisal.ally@danone.com</t>
  </si>
  <si>
    <t>377549_OOS</t>
  </si>
  <si>
    <t>sevval.sakaoglu@intercombi.com</t>
  </si>
  <si>
    <t>0006104678_4900</t>
  </si>
  <si>
    <t>04/11/2025 23:00-23:00</t>
  </si>
  <si>
    <t>HAPSDCIE20251028-01</t>
  </si>
  <si>
    <t>377447_OOS</t>
  </si>
  <si>
    <t>HK 5019259116 (7PL)</t>
  </si>
  <si>
    <t>0006111419_4900</t>
  </si>
  <si>
    <t>07/11/2025 17:00-17:00</t>
  </si>
  <si>
    <t>HAPSDCUK20251028-05</t>
  </si>
  <si>
    <t>375834_OOS</t>
  </si>
  <si>
    <t>ARG 5019232630</t>
  </si>
  <si>
    <t>377163_OOS</t>
  </si>
  <si>
    <t>5018749690   5018916960</t>
  </si>
  <si>
    <t>diana.topalova@kuehne-nagel.com</t>
  </si>
  <si>
    <t>0006111418_4900</t>
  </si>
  <si>
    <t>HAPSDCUK20251028-04</t>
  </si>
  <si>
    <t>0006111420_4900</t>
  </si>
  <si>
    <t>HAPSDCUK20251028-06</t>
  </si>
  <si>
    <t>373447_OOS</t>
  </si>
  <si>
    <t>0006109792_4900</t>
  </si>
  <si>
    <t>465995 / 463934 / 463933 / 463932 / 465994 / 463931 / 463930 / 463929</t>
  </si>
  <si>
    <t>Primary flows / Primary flows / Primary flows / Primary flows / Primary flows / Primary flows / Primary flows / Primary flows</t>
  </si>
  <si>
    <t>ZAGR - HR Zagreb / ZAGR - HR Zagreb / ZAGR - HR Zagreb / ZAGR - HR Zagreb / LJUB - SI Ljubljana / LJUB - SI Ljubljana / LJUB - SI Ljubljana / LJUB - SI Ljubljana</t>
  </si>
  <si>
    <t>30/10/2025 16:00-16:00 / 29/10/2025 16:00-16:00</t>
  </si>
  <si>
    <t>LJ-01-EPT</t>
  </si>
  <si>
    <t xml:space="preserve"> /  /  /  /  /  /  / </t>
  </si>
  <si>
    <t>HAPSDCBG20251028-01 / HAPSDCBG20251028-01 / HAPSDCBG20251028-01 / HAPSDCBG20251028-01 / HAPSDCBG20251028-01 / HAPSDCBG20251028-01 / HAPSDCBG20251028-01 / HAPSDCBG20251028-01</t>
  </si>
  <si>
    <t>5019268156 / 5019228037 / 5019189412 / 5019111676 / 5019277575 / 5019239057 / 5019175714 / 5019136640</t>
  </si>
  <si>
    <t>LJ-29-DSK</t>
  </si>
  <si>
    <t>Milo? Mitrovi?</t>
  </si>
  <si>
    <t>372823_OOS</t>
  </si>
  <si>
    <t>CN 5019176017</t>
  </si>
  <si>
    <t>0006111415_4900</t>
  </si>
  <si>
    <t>HAPSDCUK20251028-01</t>
  </si>
  <si>
    <t>377521_OOS</t>
  </si>
  <si>
    <t>CN 5019286523</t>
  </si>
  <si>
    <t>372827_OOS</t>
  </si>
  <si>
    <t>CN 5019169982</t>
  </si>
  <si>
    <t>0006104668_4900</t>
  </si>
  <si>
    <t>31/10/2025 07:00-07:00</t>
  </si>
  <si>
    <t>HAPSDCCZ20251028-01</t>
  </si>
  <si>
    <t>0006104667_4900</t>
  </si>
  <si>
    <t>465859 / 465705 / 464071</t>
  </si>
  <si>
    <t>NEUE - CH Neuendorf (MURPF) SN / NEUE - CH Neuendorf (MURPF) SN / NEUE - CH Neuendorf (MURPF) SN</t>
  </si>
  <si>
    <t>30/10/2025 13:30-13:30</t>
  </si>
  <si>
    <t>HAPSDCCH20251028-01 / HAPSDCCH20251028-01 / HAPSDCCH20251028-01</t>
  </si>
  <si>
    <t>5019273171 / 5019271847 / 5019257184</t>
  </si>
  <si>
    <t>372828_OOS</t>
  </si>
  <si>
    <t>CN 5019179165</t>
  </si>
  <si>
    <t>0006104675_4900</t>
  </si>
  <si>
    <t>29/10/2025 10:30-10:30</t>
  </si>
  <si>
    <t>HAPSDCFR20251028-01</t>
  </si>
  <si>
    <t>375793_OOS</t>
  </si>
  <si>
    <t>5019060719+5019176019 (2 PLT IL) 5019195663+5019210762 (5 PLT HK)</t>
  </si>
  <si>
    <t>376458_OOS</t>
  </si>
  <si>
    <t>0006104674_4900</t>
  </si>
  <si>
    <t>04/11/2025 16:00-16:00</t>
  </si>
  <si>
    <t>HAPSDCFI20251028-01</t>
  </si>
  <si>
    <t>372829_OOS</t>
  </si>
  <si>
    <t>CN 5019175972</t>
  </si>
  <si>
    <t>0006104671_4900</t>
  </si>
  <si>
    <t>29/10/2025 07:00-07:00</t>
  </si>
  <si>
    <t>HAPSDCDE20251028-03</t>
  </si>
  <si>
    <t>0006104677_4900</t>
  </si>
  <si>
    <t>29/10/2025 13:00-13:00</t>
  </si>
  <si>
    <t>HAPSDCFR20251028-03</t>
  </si>
  <si>
    <t>377448_OOS</t>
  </si>
  <si>
    <t>0006104676_4900</t>
  </si>
  <si>
    <t>29/10/2025 08:00-08:00</t>
  </si>
  <si>
    <t>HAPSDCFR20251028-02</t>
  </si>
  <si>
    <t>377449_OOS</t>
  </si>
  <si>
    <t>0006113307_4900</t>
  </si>
  <si>
    <t>30/10/2025 11:00-11:00</t>
  </si>
  <si>
    <t>HAPSDCCZ20251028-02</t>
  </si>
  <si>
    <t>0006104673_4900</t>
  </si>
  <si>
    <t>465724 / 462512</t>
  </si>
  <si>
    <t>30/10/2025 14:00-14:00</t>
  </si>
  <si>
    <t>HAPSDCES20251028-02 / HAPSDCES20251028-02</t>
  </si>
  <si>
    <t>5019266373 / 5019257511</t>
  </si>
  <si>
    <t>0006104672_4900</t>
  </si>
  <si>
    <t>HAPSDCES20251028-01</t>
  </si>
  <si>
    <t>0006104682_4900</t>
  </si>
  <si>
    <t>RIGA - LV Riga (EUGESTA SIA)</t>
  </si>
  <si>
    <t>31/10/2025 13:30-13:30</t>
  </si>
  <si>
    <t>HAPSDCLV20251028-01</t>
  </si>
  <si>
    <t>0006104685_4900</t>
  </si>
  <si>
    <t>HAPSDCSE20251028-01</t>
  </si>
  <si>
    <t>0006111424_4900</t>
  </si>
  <si>
    <t>HAPSDCUK20251029-04</t>
  </si>
  <si>
    <t>376934_OOS</t>
  </si>
  <si>
    <t>90009744 (PO 17292370)</t>
  </si>
  <si>
    <t>30/10/2025 12:00-12:00</t>
  </si>
  <si>
    <t>378241_OOS</t>
  </si>
  <si>
    <t xml:space="preserve">5019286064 + 5019282849 </t>
  </si>
  <si>
    <t>377922_OOS</t>
  </si>
  <si>
    <t>5019111910   5019124968 NO-SHOW</t>
  </si>
  <si>
    <t>z.baigabulova@globalinklogistics.com</t>
  </si>
  <si>
    <t>376616_OOS</t>
  </si>
  <si>
    <t>4505809576 LZV</t>
  </si>
  <si>
    <t>30/10/2025 10:00-10:00</t>
  </si>
  <si>
    <t>0006104702_4900</t>
  </si>
  <si>
    <t>05/11/2025 15:00-15:00</t>
  </si>
  <si>
    <t>HAPSDCNO20251029-02</t>
  </si>
  <si>
    <t>375767_OOS</t>
  </si>
  <si>
    <t>ELN 5019217073</t>
  </si>
  <si>
    <t>377860_OOS</t>
  </si>
  <si>
    <t>NZ-AIR_OOS</t>
  </si>
  <si>
    <t>NZ 5019185144 (13PL)</t>
  </si>
  <si>
    <t>370407_OOS</t>
  </si>
  <si>
    <t>ZA-SEA-6087545_OOS</t>
  </si>
  <si>
    <t>5019220099 5019220502</t>
  </si>
  <si>
    <t>30/10/2025 00:01-00:01</t>
  </si>
  <si>
    <t>0006104701_4900</t>
  </si>
  <si>
    <t>466252 / 462556</t>
  </si>
  <si>
    <t>HAPSDCNO20251029-01 / HAPSDCNO20251029-01</t>
  </si>
  <si>
    <t>5019275737 / 5019264386</t>
  </si>
  <si>
    <t>375768_OOS</t>
  </si>
  <si>
    <t>MEA 5019233321</t>
  </si>
  <si>
    <t>370485_OOS</t>
  </si>
  <si>
    <t>BR-SEA-6087534_OOS</t>
  </si>
  <si>
    <t>loaded and shipped  but not yet picked up by the driver</t>
  </si>
  <si>
    <t>0006104699_4900</t>
  </si>
  <si>
    <t>05/11/2025 16:00-16:00</t>
  </si>
  <si>
    <t>HAPSDCIE20251029-01</t>
  </si>
  <si>
    <t>377579_OOS</t>
  </si>
  <si>
    <t>375769_OOS</t>
  </si>
  <si>
    <t xml:space="preserve">MEA 5019033450 5019090146 5019101364 5019179605 5019211603 5019233548 5018918056 </t>
  </si>
  <si>
    <t>0006111423_4900</t>
  </si>
  <si>
    <t>HAPSDCUK20251029-03</t>
  </si>
  <si>
    <t>373446_OOS</t>
  </si>
  <si>
    <t>375016_OOS</t>
  </si>
  <si>
    <t>ELN 5019224543</t>
  </si>
  <si>
    <t>375654_OOS</t>
  </si>
  <si>
    <t>MU - SEA_OOS</t>
  </si>
  <si>
    <t>MU SEA EXW 5019065185   5019101099   5019232479 -11P</t>
  </si>
  <si>
    <t>tomasz.szarmach1@lns.maersk.com</t>
  </si>
  <si>
    <t>0006111422_4900</t>
  </si>
  <si>
    <t>HAPSDCUK20251029-02</t>
  </si>
  <si>
    <t>356763_OOS</t>
  </si>
  <si>
    <t>US-SEA-6038632_OOS</t>
  </si>
  <si>
    <t xml:space="preserve">5019183158 5019190660 5019200885 5019201096 </t>
  </si>
  <si>
    <t>30/10/2025 00:06-00:06</t>
  </si>
  <si>
    <t>367263_OOS</t>
  </si>
  <si>
    <t>TW-SEA-6078307_OOS</t>
  </si>
  <si>
    <t>0006111421_4900</t>
  </si>
  <si>
    <t>30/10/2025 17:00-17:00</t>
  </si>
  <si>
    <t>PZ_4N407</t>
  </si>
  <si>
    <t>HAPSDCUK20251029-01</t>
  </si>
  <si>
    <t>PZ_5K839</t>
  </si>
  <si>
    <t>Dzmitry Udodau</t>
  </si>
  <si>
    <t>372831_OOS</t>
  </si>
  <si>
    <t>CN 5019175973</t>
  </si>
  <si>
    <t>0006111426_4900</t>
  </si>
  <si>
    <t>HAPSDCUK20251029-06</t>
  </si>
  <si>
    <t>373132_OOS</t>
  </si>
  <si>
    <t>MY-SEA-6099244_OOS</t>
  </si>
  <si>
    <t>367264_OOS</t>
  </si>
  <si>
    <t>TW-SEA-6078308_OOS</t>
  </si>
  <si>
    <t>30/10/2025 00:03-00:03</t>
  </si>
  <si>
    <t>372761_OOS</t>
  </si>
  <si>
    <t>US-SEA-6087113_OOS</t>
  </si>
  <si>
    <t>30/10/2025 00:02-00:02</t>
  </si>
  <si>
    <t>372830_OOS</t>
  </si>
  <si>
    <t>CN 5019169983</t>
  </si>
  <si>
    <t>0006104687_4900</t>
  </si>
  <si>
    <t>31/10/2025 17:00-17:00</t>
  </si>
  <si>
    <t>HAPSDCCZ20251029-01</t>
  </si>
  <si>
    <t>377502_OOS</t>
  </si>
  <si>
    <t>CN 5019284965</t>
  </si>
  <si>
    <t>0006104696_4900</t>
  </si>
  <si>
    <t>05/11/2025 08:00-08:00</t>
  </si>
  <si>
    <t>HAPSDCFR20251029-03</t>
  </si>
  <si>
    <t>0006104686_4900</t>
  </si>
  <si>
    <t>PZ_820WS</t>
  </si>
  <si>
    <t>HAPSDCAT20251029-01</t>
  </si>
  <si>
    <t>NED_895</t>
  </si>
  <si>
    <t>Uladzimir Atroshchanka</t>
  </si>
  <si>
    <t>376207_OOS</t>
  </si>
  <si>
    <t>NZ 5019219755</t>
  </si>
  <si>
    <t>374660_OOS</t>
  </si>
  <si>
    <t>GT - SEA_OOS</t>
  </si>
  <si>
    <t xml:space="preserve">5019185657  5019235783 </t>
  </si>
  <si>
    <t>GUATEMALA</t>
  </si>
  <si>
    <t>SRTMS181950</t>
  </si>
  <si>
    <t>0006104695_4900</t>
  </si>
  <si>
    <t>30/10/2025 08:00-08:00</t>
  </si>
  <si>
    <t>HAPSDCFR20251029-02</t>
  </si>
  <si>
    <t>0006104689_4900</t>
  </si>
  <si>
    <t>HAPSDCDE20251029-02</t>
  </si>
  <si>
    <t>377472_OOS</t>
  </si>
  <si>
    <t>0006104680_4900</t>
  </si>
  <si>
    <t>driver drove away</t>
  </si>
  <si>
    <t>04/11/2025 08:00-08:00</t>
  </si>
  <si>
    <t>HAPSDCIT20251028-01</t>
  </si>
  <si>
    <t>0006104694_4900</t>
  </si>
  <si>
    <t>30/10/2025 13:00-13:00</t>
  </si>
  <si>
    <t>HAPSDCFR20251029-01</t>
  </si>
  <si>
    <t>376733_OOS</t>
  </si>
  <si>
    <t>5019240614   5019247768   5019240613   5019233105   5019235354</t>
  </si>
  <si>
    <t>377474_OOS</t>
  </si>
  <si>
    <t>377341_OOS</t>
  </si>
  <si>
    <t>5019162588   5019209247   5019262649 - NO-SHOW</t>
  </si>
  <si>
    <t>0006104700_4900</t>
  </si>
  <si>
    <t>HAPSDCIT20251029-01</t>
  </si>
  <si>
    <t>0006104691_4900</t>
  </si>
  <si>
    <t>466247 / 462599</t>
  </si>
  <si>
    <t>HAPSDCDK20251029-01 / HAPSDCDK20251029-01</t>
  </si>
  <si>
    <t>5019276658 / 5019265139</t>
  </si>
  <si>
    <t>0006115730_4900</t>
  </si>
  <si>
    <t>PZ_3V156</t>
  </si>
  <si>
    <t>HAPSDCBE20251029-01</t>
  </si>
  <si>
    <t>PZ_8A122</t>
  </si>
  <si>
    <t>Aliaksei Pinchuk</t>
  </si>
  <si>
    <t>0006104698_4900</t>
  </si>
  <si>
    <t>466248 / 462566 / 462565</t>
  </si>
  <si>
    <t>BRAT - SK Bratislava / BRAT - SK Bratislava / BUDA - HU Budapest (BILK Logisztikai)</t>
  </si>
  <si>
    <t>03/11/2025 14:00-14:00 / 03/11/2025 08:00-08:00</t>
  </si>
  <si>
    <t>HAPSDCHU20251029-01 / HAPSDCHU20251029-01 / HAPSDCHU20251029-01</t>
  </si>
  <si>
    <t>5019286926 / 5019283740 / 5019283739</t>
  </si>
  <si>
    <t>0006114271_4900</t>
  </si>
  <si>
    <t>465666 / 465665</t>
  </si>
  <si>
    <t>PET2 - RO Dragomiresti (Petresti) / PETR - RO Petresti</t>
  </si>
  <si>
    <t>04/11/2025 08:00-08:00 / 04/11/2025 12:00-12:00</t>
  </si>
  <si>
    <t>UIT: 5E8F772590730169 / UIT: 5T0N972590730186</t>
  </si>
  <si>
    <t>5019256818 / 5019280173</t>
  </si>
  <si>
    <t>0006104692_4900</t>
  </si>
  <si>
    <t>466249 / 462585</t>
  </si>
  <si>
    <t>31/10/2025 08:00-08:00</t>
  </si>
  <si>
    <t>HAPSDCES20251029-01 / HAPSDCES20251029-01</t>
  </si>
  <si>
    <t>5019283585 / 5019269438</t>
  </si>
  <si>
    <t>0006104704_4900</t>
  </si>
  <si>
    <t>466251 / 466250 / 462575</t>
  </si>
  <si>
    <t>31/10/2025 21:00-21:00</t>
  </si>
  <si>
    <t>KRA929PA</t>
  </si>
  <si>
    <t>HAPSDCPL20251029-02 / HAPSDCPL20251029-02 / HAPSDCPL20251029-02</t>
  </si>
  <si>
    <t>5019274575 / 5019272393 / 5019261875</t>
  </si>
  <si>
    <t>WPR4371T</t>
  </si>
  <si>
    <t>Bogus?aw Borysiuk</t>
  </si>
  <si>
    <t>377833_OOS</t>
  </si>
  <si>
    <t>MEA 5018564246 5019220507 5019232570 5019286364</t>
  </si>
  <si>
    <t>31/10/2025 10:00-10:00</t>
  </si>
  <si>
    <t>0006111430_4900</t>
  </si>
  <si>
    <t>10/11/2025 23:00-23:00</t>
  </si>
  <si>
    <t>HAPSDCUK20251030-04</t>
  </si>
  <si>
    <t>378499_OOS</t>
  </si>
  <si>
    <t>BR-SEA-6087534  NOSHOW_OOS</t>
  </si>
  <si>
    <t>5019224931 - NO SHOW</t>
  </si>
  <si>
    <t>31/10/2025 00:00-00:00</t>
  </si>
  <si>
    <t>374651_OOS</t>
  </si>
  <si>
    <t>SRTMS179792</t>
  </si>
  <si>
    <t>0006104718_4900</t>
  </si>
  <si>
    <t>466728 / 466727 / 466726 / 462550</t>
  </si>
  <si>
    <t>VEST - NO Vestby Leman / VEST - NO Vestby Leman / VEST - NO Vestby Leman / VEST - NO Vestby Leman</t>
  </si>
  <si>
    <t>06/11/2025 15:00-15:00</t>
  </si>
  <si>
    <t>HAPSDCNO20251030-02 / HAPSDCNO20251030-02 / HAPSDCNO20251030-02 / HAPSDCNO20251030-02</t>
  </si>
  <si>
    <t>5019272624 / 5019295098 / 5019296320 / 5019296360</t>
  </si>
  <si>
    <t>378565_OOS</t>
  </si>
  <si>
    <t>378243_OOS</t>
  </si>
  <si>
    <t>CL - SEA_OOS</t>
  </si>
  <si>
    <t>5019242850 / 5019242906 / 5019183075 / 5019232271 / 5019296201 / 5019189501</t>
  </si>
  <si>
    <t>CHILI</t>
  </si>
  <si>
    <t>376623_OOS</t>
  </si>
  <si>
    <t>4505811343 LZV</t>
  </si>
  <si>
    <t>374654_OOS</t>
  </si>
  <si>
    <t>31/10/2025 12:00-12:00</t>
  </si>
  <si>
    <t>374655_OOS</t>
  </si>
  <si>
    <t>0006104714_4900</t>
  </si>
  <si>
    <t>06/11/2025 23:00-23:00</t>
  </si>
  <si>
    <t>HAPSDCIE20251030-01</t>
  </si>
  <si>
    <t>370016_OOS</t>
  </si>
  <si>
    <t>AU-SEA-6087513_OOS</t>
  </si>
  <si>
    <t>31/10/2025 00:03-00:03</t>
  </si>
  <si>
    <t>375017_OOS</t>
  </si>
  <si>
    <t xml:space="preserve">MEA 5019215508 5019224544 </t>
  </si>
  <si>
    <t>374657_OOS</t>
  </si>
  <si>
    <t>0006111428_4900</t>
  </si>
  <si>
    <t>HAPSDCUK20251030-02</t>
  </si>
  <si>
    <t>372735_OOS</t>
  </si>
  <si>
    <t>KR - SEA_OOS</t>
  </si>
  <si>
    <t>KOREA</t>
  </si>
  <si>
    <t>0006104721_4900</t>
  </si>
  <si>
    <t>466901 / 466725 / 466724 / 462572</t>
  </si>
  <si>
    <t>04/11/2025 15:00-15:00</t>
  </si>
  <si>
    <t>PZ_709XN</t>
  </si>
  <si>
    <t>HAPSDCPT20251030-01 / HAPSDCPT20251030-01 / HAPSDCPT20251030-01 / HAPSDCPT20251030-01</t>
  </si>
  <si>
    <t>5019288431 / 5019295930 / 5019294814 / 5019283755</t>
  </si>
  <si>
    <t>MTD_225</t>
  </si>
  <si>
    <t>Jagroop Singh</t>
  </si>
  <si>
    <t>375018_OOS</t>
  </si>
  <si>
    <t>MEA 5018920139 5019209603 5019209088 5019228023 5018969706</t>
  </si>
  <si>
    <t>376217_OOS</t>
  </si>
  <si>
    <t>NZ 5019227688 (12PL) 5019235761 (1PL)</t>
  </si>
  <si>
    <t>376212_OOS</t>
  </si>
  <si>
    <t xml:space="preserve">US AIR 5019239023 - 6P </t>
  </si>
  <si>
    <t>31/10/2025 11:00-11:00</t>
  </si>
  <si>
    <t>0006111431_4900</t>
  </si>
  <si>
    <t>HAPSDCUK20251030-05</t>
  </si>
  <si>
    <t>373448_OOS</t>
  </si>
  <si>
    <t>0006111429_4900</t>
  </si>
  <si>
    <t>HAPSDCUK20251030-03</t>
  </si>
  <si>
    <t>372832_OOS</t>
  </si>
  <si>
    <t>CN 5019163534</t>
  </si>
  <si>
    <t>372736_OOS</t>
  </si>
  <si>
    <t>0006111427_4900</t>
  </si>
  <si>
    <t>03/11/2025 15:00-15:00</t>
  </si>
  <si>
    <t>HAPSDCUK20251030-01</t>
  </si>
  <si>
    <t>377816_OOS</t>
  </si>
  <si>
    <t>MEA 5019209290 5019225097 5019232445 5019217074 5019262665 5019271940 5019272462 5019285043</t>
  </si>
  <si>
    <t>376218_OOS</t>
  </si>
  <si>
    <t>AU 5019227770 (27 PL - line 1162) AU 5019229369 (3PL - line 1157) TOTAL 30PL</t>
  </si>
  <si>
    <t>372833_OOS</t>
  </si>
  <si>
    <t>CN 5019175853</t>
  </si>
  <si>
    <t>0006111432_4900</t>
  </si>
  <si>
    <t>HAPSDCUK20251030-06</t>
  </si>
  <si>
    <t>377845_OOS</t>
  </si>
  <si>
    <t>MEA 5019285769 5019278535 5019286367 5019284735</t>
  </si>
  <si>
    <t>376439_OOS</t>
  </si>
  <si>
    <t>372870_OOS</t>
  </si>
  <si>
    <t>CN 5019173112</t>
  </si>
  <si>
    <t>0006104712_4900</t>
  </si>
  <si>
    <t>31/10/2025 10:30-10:30</t>
  </si>
  <si>
    <t>HAPSDCFR20251030-02</t>
  </si>
  <si>
    <t>372872_OOS</t>
  </si>
  <si>
    <t>CN 5019166477</t>
  </si>
  <si>
    <t>0006104711_4900</t>
  </si>
  <si>
    <t>31/10/2025 11:30-11:30</t>
  </si>
  <si>
    <t>HAPSDCFR20251030-01</t>
  </si>
  <si>
    <t>0006116747_4900</t>
  </si>
  <si>
    <t>06/11/2025 10:00-10:00</t>
  </si>
  <si>
    <t>Qaud428</t>
  </si>
  <si>
    <t>HAPSDCIT20251030-03</t>
  </si>
  <si>
    <t>IS63XXV</t>
  </si>
  <si>
    <t>Ojog Octavian</t>
  </si>
  <si>
    <t>0006104706_4900</t>
  </si>
  <si>
    <t>HAPSDCDE20251030-01</t>
  </si>
  <si>
    <t>0006116748_4900</t>
  </si>
  <si>
    <t>03/11/2025 06:00-06:00</t>
  </si>
  <si>
    <t>HAPSDCPL20251030-03</t>
  </si>
  <si>
    <t>0006116749_4900</t>
  </si>
  <si>
    <t>03/11/2025 12:00-12:00</t>
  </si>
  <si>
    <t>KRA8184P</t>
  </si>
  <si>
    <t>HAPSDCPL20251030-04</t>
  </si>
  <si>
    <t>WPR3472T</t>
  </si>
  <si>
    <t>Krzysztof Baniak</t>
  </si>
  <si>
    <t>0006104719_4900</t>
  </si>
  <si>
    <t>WPR145AE</t>
  </si>
  <si>
    <t>HAPSDCPL20251030-01</t>
  </si>
  <si>
    <t>KRA938AJ</t>
  </si>
  <si>
    <t>Adrian S?odowski</t>
  </si>
  <si>
    <t>0006104720_4900</t>
  </si>
  <si>
    <t>31/10/2025 20:00-20:00</t>
  </si>
  <si>
    <t>HAPSDCPL20251030-02</t>
  </si>
  <si>
    <t>0006104713_4900</t>
  </si>
  <si>
    <t>HAPSDCFR20251030-03</t>
  </si>
  <si>
    <t>0006104715_4900</t>
  </si>
  <si>
    <t>06/11/2025 08:00-08:00</t>
  </si>
  <si>
    <t>HAPSDCIT20251030-01</t>
  </si>
  <si>
    <t>0006104716_4900</t>
  </si>
  <si>
    <t>HAPSDCIT20251030-02</t>
  </si>
  <si>
    <t>0006104710_4900</t>
  </si>
  <si>
    <t>466783 / 462555</t>
  </si>
  <si>
    <t xml:space="preserve">R5049BDC </t>
  </si>
  <si>
    <t>HAPSDCES20251030-01 / HAPSDCES20251030-01</t>
  </si>
  <si>
    <t>5019290901 / 5019285034</t>
  </si>
  <si>
    <t>6081MVC</t>
  </si>
  <si>
    <t>Cristian Vlaicu Solomon</t>
  </si>
  <si>
    <t>0006104705_4900</t>
  </si>
  <si>
    <t>PZ_2M633</t>
  </si>
  <si>
    <t>HAPSDCBE20251030-01</t>
  </si>
  <si>
    <t>NMB_065</t>
  </si>
  <si>
    <t>Muhammad Faisal</t>
  </si>
  <si>
    <t>0006111436_4900</t>
  </si>
  <si>
    <t>467444 / 464651</t>
  </si>
  <si>
    <t>10/11/2025 18:00-18:00</t>
  </si>
  <si>
    <t>HAPSDCUK20251031-04 / HAPSDCUK20251031-04</t>
  </si>
  <si>
    <t>5019297988 / 5019294996</t>
  </si>
  <si>
    <t>370014_OOS</t>
  </si>
  <si>
    <t>AU-SEA-6087515_OOS</t>
  </si>
  <si>
    <t>01/11/2025 00:02-00:02</t>
  </si>
  <si>
    <t>370015_OOS</t>
  </si>
  <si>
    <t>AU-SEA-6087514_OOS</t>
  </si>
  <si>
    <t>379565_OOS</t>
  </si>
  <si>
    <t>01/11/2025 15:00-15:00</t>
  </si>
  <si>
    <t>376438_OOS</t>
  </si>
  <si>
    <t>01/11/2025 12:00-12:00</t>
  </si>
  <si>
    <t>375023_OOS</t>
  </si>
  <si>
    <t xml:space="preserve">MEA 5018979703 5019014596 5019090148 </t>
  </si>
  <si>
    <t>01/11/2025 10:00-10:00</t>
  </si>
  <si>
    <t>375022_OOS</t>
  </si>
  <si>
    <t>MEA 5019132383</t>
  </si>
  <si>
    <t>0006111437_4900</t>
  </si>
  <si>
    <t>HAPSDCUK20251031-05</t>
  </si>
  <si>
    <t>0006119434_4900</t>
  </si>
  <si>
    <t>06/11/2025 23:30-23:30</t>
  </si>
  <si>
    <t>SPHapsWex-311025-01</t>
  </si>
  <si>
    <t>5019295060 </t>
  </si>
  <si>
    <t>375024_OOS</t>
  </si>
  <si>
    <t>MEA 5019088074 5019124364 5019112337 5018982678</t>
  </si>
  <si>
    <t>378305_OOS</t>
  </si>
  <si>
    <t>HK AIR 5019224978  5017964071 (11PL) MX AIR EXW 5019234079 (3P)</t>
  </si>
  <si>
    <t>01/11/2025 09:00-09:00</t>
  </si>
  <si>
    <t>379566_OOS</t>
  </si>
  <si>
    <t>5019285571_OOS_OOS</t>
  </si>
  <si>
    <t>Simon Loos</t>
  </si>
  <si>
    <t>2 BB ophalen 10174690</t>
  </si>
  <si>
    <t>2 Big bags ophalen materiaal 10174690</t>
  </si>
  <si>
    <t>01/11/2025 00:00-00:00</t>
  </si>
  <si>
    <t>0006111434_4900</t>
  </si>
  <si>
    <t>HAPSDCUK20251031-02</t>
  </si>
  <si>
    <t>0006104723_4900</t>
  </si>
  <si>
    <t>03/11/2025 07:00-07:00</t>
  </si>
  <si>
    <t>HAPSDCCZ20251031-01</t>
  </si>
  <si>
    <t>378893_OOS</t>
  </si>
  <si>
    <t>EXW_GR_OOS</t>
  </si>
  <si>
    <t>0006104732_4900</t>
  </si>
  <si>
    <t>467560 / 467561</t>
  </si>
  <si>
    <t>07/11/2025 22:00-22:00 / 07/11/2025 18:00-18:00</t>
  </si>
  <si>
    <t>HAPSDCIE20251031-01 / HAPSDCIE20251031-01</t>
  </si>
  <si>
    <t>5019298897 / 5019304581</t>
  </si>
  <si>
    <t>370017_OOS</t>
  </si>
  <si>
    <t>AU-SEA-6087517_OOS</t>
  </si>
  <si>
    <t xml:space="preserve">5019235208 + 5019235782 </t>
  </si>
  <si>
    <t>374645_OOS</t>
  </si>
  <si>
    <t>5019242956 AMN 5019243184 AMN TBA ELN</t>
  </si>
  <si>
    <t>SRTMS182786</t>
  </si>
  <si>
    <t>0006104724_4900</t>
  </si>
  <si>
    <t>03/11/2025 10:00-10:00</t>
  </si>
  <si>
    <t>HAPSDCCZ20251031-02</t>
  </si>
  <si>
    <t>0006118855_4900</t>
  </si>
  <si>
    <t>03/11/2025 11:00-11:00</t>
  </si>
  <si>
    <t>AB57ANO</t>
  </si>
  <si>
    <t>HAPSDCHU20251031-03</t>
  </si>
  <si>
    <t>AB58RPO</t>
  </si>
  <si>
    <t>372737_OOS</t>
  </si>
  <si>
    <t xml:space="preserve">5019243896 5019244246 5019242176 5019246809 5019233429 5019229511  5019232944 </t>
  </si>
  <si>
    <t>KOREA - EIBE</t>
  </si>
  <si>
    <t>SRTMS183043</t>
  </si>
  <si>
    <t>0006111438_4900</t>
  </si>
  <si>
    <t>HAPSDCUK20251031-06</t>
  </si>
  <si>
    <t>373442_OOS</t>
  </si>
  <si>
    <t>376252_OOS</t>
  </si>
  <si>
    <t>only order 5019228719 was shipped</t>
  </si>
  <si>
    <t>ziyad.bouchachia@danone.com</t>
  </si>
  <si>
    <t>0006111433_4900</t>
  </si>
  <si>
    <t>467443 / 464666</t>
  </si>
  <si>
    <t>03/11/2025 05:00-05:00</t>
  </si>
  <si>
    <t>HAPSDCUK20251031-01 / HAPSDCUK20251031-01</t>
  </si>
  <si>
    <t>5019297697 / 5019295339</t>
  </si>
  <si>
    <t>372890_OOS</t>
  </si>
  <si>
    <t>CN 5019166479</t>
  </si>
  <si>
    <t>373443_OOS</t>
  </si>
  <si>
    <t>0006104741_4900</t>
  </si>
  <si>
    <t>03/11/2025 14:00-14:00</t>
  </si>
  <si>
    <t>HAPSDCSE20251031-02</t>
  </si>
  <si>
    <t>372885_OOS</t>
  </si>
  <si>
    <t>CN 5019170269</t>
  </si>
  <si>
    <t>0006104725_4900</t>
  </si>
  <si>
    <t>HAPSDCDE20251031-01</t>
  </si>
  <si>
    <t>378147_OOS</t>
  </si>
  <si>
    <t>MX - AIR_OOS</t>
  </si>
  <si>
    <t>slot doubled</t>
  </si>
  <si>
    <t>DN 5019234079 (3 PLT)</t>
  </si>
  <si>
    <t>MX</t>
  </si>
  <si>
    <t>372887_OOS</t>
  </si>
  <si>
    <t>CN 5019179650</t>
  </si>
  <si>
    <t>378303_OOS</t>
  </si>
  <si>
    <t>Vels</t>
  </si>
  <si>
    <t>5019230261   5019252208</t>
  </si>
  <si>
    <t>welovebookings@wholesale-by-vels.com</t>
  </si>
  <si>
    <t>0006104722_4900</t>
  </si>
  <si>
    <t>467636 / 467445 / 462567</t>
  </si>
  <si>
    <t>HAPSDCPT20251030-02 / HAPSDCPT20251030-02 / HAPSDCPT20251030-02</t>
  </si>
  <si>
    <t>5019301871 / 5019290626 / 5019286587</t>
  </si>
  <si>
    <t>372888_OOS</t>
  </si>
  <si>
    <t>CN 5019175545</t>
  </si>
  <si>
    <t>0006104726_4900</t>
  </si>
  <si>
    <t>HAPSDCDE20251031-02</t>
  </si>
  <si>
    <t>0006118854_4900</t>
  </si>
  <si>
    <t>03/11/2025 13:00-13:00</t>
  </si>
  <si>
    <t>HAPSDCHU20251031-02</t>
  </si>
  <si>
    <t>372889_OOS</t>
  </si>
  <si>
    <t>CN 5019181642</t>
  </si>
  <si>
    <t>0006104730_4900</t>
  </si>
  <si>
    <t>462595 / 467446</t>
  </si>
  <si>
    <t>TAMP - FI Tampere / VANT - FI Vantaa (Havi Log)</t>
  </si>
  <si>
    <t>07/11/2025 16:00-16:00 / 07/11/2025 11:00-11:00</t>
  </si>
  <si>
    <t>HAPSDCFI20251031-01 / HAPSDCFI20251031-01</t>
  </si>
  <si>
    <t>5019302057 / 5019291359</t>
  </si>
  <si>
    <t>0006104736_4900</t>
  </si>
  <si>
    <t>07/11/2025 22:00-22:00</t>
  </si>
  <si>
    <t>HAPSDCNL20251031-01</t>
  </si>
  <si>
    <t>373041_OOS</t>
  </si>
  <si>
    <t>CN 5019178801</t>
  </si>
  <si>
    <t>0006104728_4900</t>
  </si>
  <si>
    <t>04/11/2025 10:00-10:00</t>
  </si>
  <si>
    <t>HAPSDCES20251031-01</t>
  </si>
  <si>
    <t>0006104738_4900</t>
  </si>
  <si>
    <t>PZ_3X220</t>
  </si>
  <si>
    <t>HAPSDCPL20251031-02</t>
  </si>
  <si>
    <t>MJU_293</t>
  </si>
  <si>
    <t>Azamat Isomov</t>
  </si>
  <si>
    <t>0006104740_4900</t>
  </si>
  <si>
    <t>HAPSDCSE20251031-01</t>
  </si>
  <si>
    <t>0006104734_4900</t>
  </si>
  <si>
    <t>07/11/2025 08:00-08:00</t>
  </si>
  <si>
    <t>HAPSDCIT20251031-01</t>
  </si>
  <si>
    <t>0006104739_4900</t>
  </si>
  <si>
    <t>467442 / 462552</t>
  </si>
  <si>
    <t>HAPSDCPL20251031-03 / HAPSDCPL20251031-03</t>
  </si>
  <si>
    <t>5019304214 / 5019281877</t>
  </si>
  <si>
    <t>0006104735_4900</t>
  </si>
  <si>
    <t>HAPSDCIT20251031-02</t>
  </si>
  <si>
    <t>0006104737_4900</t>
  </si>
  <si>
    <t>467447 / 462570</t>
  </si>
  <si>
    <t>03/11/2025 19:00-19:00</t>
  </si>
  <si>
    <t>HAPSDCPL20251031-01 / HAPSDCPL20251031-01</t>
  </si>
  <si>
    <t>5019295115 / 5019281876</t>
  </si>
  <si>
    <t>379957_OOS</t>
  </si>
  <si>
    <t>372914_OOS</t>
  </si>
  <si>
    <t>CN-SEA-6096639_OOS</t>
  </si>
  <si>
    <t xml:space="preserve">5019179674 + 5019182181 + 5019224493 </t>
  </si>
  <si>
    <t>04/11/2025 00:01-00:01</t>
  </si>
  <si>
    <t>0006119854_4900</t>
  </si>
  <si>
    <t>13/11/2025 18:00-18:00</t>
  </si>
  <si>
    <t>HAPSDCUK20251103-04</t>
  </si>
  <si>
    <t>373444_OOS</t>
  </si>
  <si>
    <t xml:space="preserve">5019245524 +5019245525 </t>
  </si>
  <si>
    <t>04/11/2025 12:00-12:00</t>
  </si>
  <si>
    <t>372916_OOS</t>
  </si>
  <si>
    <t>CN-SEA-6096640_OOS</t>
  </si>
  <si>
    <t>04/11/2025 00:02-00:02</t>
  </si>
  <si>
    <t>372939_OOS</t>
  </si>
  <si>
    <t>NZ-SEA-6096642_OOS</t>
  </si>
  <si>
    <t>0006119853_4900</t>
  </si>
  <si>
    <t>HAPSDCUK20251103-03</t>
  </si>
  <si>
    <t>375399_OOS</t>
  </si>
  <si>
    <t>ELN 5019219470</t>
  </si>
  <si>
    <t>367248_OOS</t>
  </si>
  <si>
    <t>HK-SEA-6078302_OOS</t>
  </si>
  <si>
    <t>04/11/2025 00:03-00:03</t>
  </si>
  <si>
    <t>378906_OOS</t>
  </si>
  <si>
    <t>4505814805 &amp; 5019323645 LZV</t>
  </si>
  <si>
    <t>372940_OOS</t>
  </si>
  <si>
    <t>NZ-SEA-6096643_OOS</t>
  </si>
  <si>
    <t>0006110182_4900</t>
  </si>
  <si>
    <t>09/11/2025 19:00-19:00</t>
  </si>
  <si>
    <t>HAPSDCIE20251103-01</t>
  </si>
  <si>
    <t>378526_OOS</t>
  </si>
  <si>
    <t>CN 5019294315</t>
  </si>
  <si>
    <t>378827_OOS</t>
  </si>
  <si>
    <t>CN 5019291239</t>
  </si>
  <si>
    <t>378826_OOS</t>
  </si>
  <si>
    <t>CN 5019305484</t>
  </si>
  <si>
    <t>0006119852_4900</t>
  </si>
  <si>
    <t>HAPSDCUK20251103-02</t>
  </si>
  <si>
    <t>372895_OOS</t>
  </si>
  <si>
    <t>CN 5019175764</t>
  </si>
  <si>
    <t>0006110183_4900</t>
  </si>
  <si>
    <t>05/11/2025 20:00-20:00</t>
  </si>
  <si>
    <t>PZ_4M962</t>
  </si>
  <si>
    <t>HAPSDCIT20251103-01</t>
  </si>
  <si>
    <t>NIE_164</t>
  </si>
  <si>
    <t>Azamat Saidov</t>
  </si>
  <si>
    <t>0006110230_4900</t>
  </si>
  <si>
    <t>05/11/2025 12:00-12:00</t>
  </si>
  <si>
    <t>PZ_3X022</t>
  </si>
  <si>
    <t>HAPSDCIT20251105-01</t>
  </si>
  <si>
    <t>MZJ_233</t>
  </si>
  <si>
    <t>Gulomjon Kabirov</t>
  </si>
  <si>
    <t>0006110188_4900</t>
  </si>
  <si>
    <t>468284 / 468283 / 464084</t>
  </si>
  <si>
    <t>05/11/2025 14:00-14:00</t>
  </si>
  <si>
    <t>HAPSDCPT20251103-01 / HAPSDCPT20251103-01 / HAPSDCPT20251103-01</t>
  </si>
  <si>
    <t>5019316043 / 5019314281 / 5019313844</t>
  </si>
  <si>
    <t>372892_OOS</t>
  </si>
  <si>
    <t>CN 5019179048</t>
  </si>
  <si>
    <t>373032_OOS</t>
  </si>
  <si>
    <t>CN 5019150194</t>
  </si>
  <si>
    <t>372893_OOS</t>
  </si>
  <si>
    <t>CN 5019180168</t>
  </si>
  <si>
    <t>373033_OOS</t>
  </si>
  <si>
    <t>CN 5019150195</t>
  </si>
  <si>
    <t>0006110174_4900</t>
  </si>
  <si>
    <t>05/11/2025 06:00-06:00</t>
  </si>
  <si>
    <t>HAPSDCDE20251103-02</t>
  </si>
  <si>
    <t>372894_OOS</t>
  </si>
  <si>
    <t>CN 5019173113</t>
  </si>
  <si>
    <t>376969_OOS</t>
  </si>
  <si>
    <t>90032090   90012143 (PO 17292368)</t>
  </si>
  <si>
    <t>0006110173_4900</t>
  </si>
  <si>
    <t>HAPSDCDE20251103-01</t>
  </si>
  <si>
    <t>373034_OOS</t>
  </si>
  <si>
    <t>CN 5019160991</t>
  </si>
  <si>
    <t>378735_OOS</t>
  </si>
  <si>
    <t>ARG AIR EXW 5019204032   5019242824</t>
  </si>
  <si>
    <t>0006110175_4900</t>
  </si>
  <si>
    <t>HAPSDCDE20251103-03</t>
  </si>
  <si>
    <t>378451_OOS</t>
  </si>
  <si>
    <t>5019296840   5019291339</t>
  </si>
  <si>
    <t>0006110180_4900</t>
  </si>
  <si>
    <t>HAPSDCFR20251103-03</t>
  </si>
  <si>
    <t>0006110178_4900</t>
  </si>
  <si>
    <t>468279 / 464079</t>
  </si>
  <si>
    <t>04/11/2025 08:30-08:30</t>
  </si>
  <si>
    <t>HAPSDCFR20251103-01 / HAPSDCFR20251103-01</t>
  </si>
  <si>
    <t>5019305208 / 5019288559</t>
  </si>
  <si>
    <t>0006110179_4900</t>
  </si>
  <si>
    <t>04/11/2025 13:00-13:00</t>
  </si>
  <si>
    <t>HAPSDCFR20251103-02</t>
  </si>
  <si>
    <t>0006110186_4900</t>
  </si>
  <si>
    <t>468282 / 468281 / 464077</t>
  </si>
  <si>
    <t>KRA495PA</t>
  </si>
  <si>
    <t>HAPSDCPL20251103-02 / HAPSDCPL20251103-02 / HAPSDCPL20251103-02</t>
  </si>
  <si>
    <t>5019308146 / 5019313656 / 5019314284</t>
  </si>
  <si>
    <t>KRA843CF</t>
  </si>
  <si>
    <t>Andrzej Zbieg</t>
  </si>
  <si>
    <t>0006110189_4900</t>
  </si>
  <si>
    <t>HAPSDCSE20251103-01</t>
  </si>
  <si>
    <t>0006119879_4900</t>
  </si>
  <si>
    <t>468280 / 467435</t>
  </si>
  <si>
    <t>PUCH - AT Puch / PUCH - AT Puch</t>
  </si>
  <si>
    <t>05/11/2025 07:00-07:00</t>
  </si>
  <si>
    <t>HAPSDCAT20251103-01 / HAPSDCAT20251103-01</t>
  </si>
  <si>
    <t>5019315001 / 5019305137</t>
  </si>
  <si>
    <t>0006110176_4900</t>
  </si>
  <si>
    <t>HAPSDCES20251103-01</t>
  </si>
  <si>
    <t>0006119851_4900</t>
  </si>
  <si>
    <t>PZ_3V298</t>
  </si>
  <si>
    <t>HAPSDCUK20251103-01</t>
  </si>
  <si>
    <t>NYY_104</t>
  </si>
  <si>
    <t>Oleksii Solianyk</t>
  </si>
  <si>
    <t>378823_OOS</t>
  </si>
  <si>
    <t>5019307921_OOS</t>
  </si>
  <si>
    <t>Return to supplier  details shared via email by Lijana</t>
  </si>
  <si>
    <t>04/11/2025 00:00-00:00</t>
  </si>
  <si>
    <t>0006110185_4900</t>
  </si>
  <si>
    <t>05/11/2025 21:00-21:00</t>
  </si>
  <si>
    <t>HAPSDCPL20251103-01</t>
  </si>
  <si>
    <t>JAN BURDZINSKI</t>
  </si>
  <si>
    <t>0006119860_4900</t>
  </si>
  <si>
    <t>14/11/2025 18:00-18:00</t>
  </si>
  <si>
    <t>HAPSDCUK20251104-05</t>
  </si>
  <si>
    <t>0006119859_4900</t>
  </si>
  <si>
    <t>HAPSDCUK20251104-04</t>
  </si>
  <si>
    <t>380449_OOS</t>
  </si>
  <si>
    <t>379486_OOS</t>
  </si>
  <si>
    <t>DN 5019288331</t>
  </si>
  <si>
    <t>SRTMS183516</t>
  </si>
  <si>
    <t>0006118883_4900</t>
  </si>
  <si>
    <t>06/11/2025 16:30-16:30</t>
  </si>
  <si>
    <t>IC_154</t>
  </si>
  <si>
    <t>SPHapsOPO-041125-01</t>
  </si>
  <si>
    <t>5019330690 </t>
  </si>
  <si>
    <t>MNB_185</t>
  </si>
  <si>
    <t>Khalilillo Khamrakulov</t>
  </si>
  <si>
    <t>375400_OOS</t>
  </si>
  <si>
    <t>ELN 5019232941</t>
  </si>
  <si>
    <t>05/11/2025 10:00-10:00</t>
  </si>
  <si>
    <t>378915_OOS</t>
  </si>
  <si>
    <t>4505816660 LZV</t>
  </si>
  <si>
    <t>375410_OOS</t>
  </si>
  <si>
    <t>ELN 5019235242</t>
  </si>
  <si>
    <t>0006118886_4900</t>
  </si>
  <si>
    <t>06/11/2025 12:45-12:45</t>
  </si>
  <si>
    <t>PZ_1X115</t>
  </si>
  <si>
    <t>SPHapsOPO-041125-04</t>
  </si>
  <si>
    <t>5019327073 </t>
  </si>
  <si>
    <t>PZ_7J896</t>
  </si>
  <si>
    <t>Viktor Tatchyn</t>
  </si>
  <si>
    <t>0006110213_4900</t>
  </si>
  <si>
    <t>09/11/2025 21:00-21:00</t>
  </si>
  <si>
    <t>HAPSDCIE20251104-02</t>
  </si>
  <si>
    <t>370305_OOS</t>
  </si>
  <si>
    <t>ELN 5019107829 5019123470</t>
  </si>
  <si>
    <t>0006118885_4900</t>
  </si>
  <si>
    <t>06/11/2025 14:15-14:15</t>
  </si>
  <si>
    <t>PZ_7J237</t>
  </si>
  <si>
    <t>SPHapsOPO-041125-03</t>
  </si>
  <si>
    <t>5019332058 </t>
  </si>
  <si>
    <t>PZ_4W643</t>
  </si>
  <si>
    <t>Ihar Nikitsenka</t>
  </si>
  <si>
    <t>375408_OOS</t>
  </si>
  <si>
    <t>ELN 5019235688</t>
  </si>
  <si>
    <t>375409_OOS</t>
  </si>
  <si>
    <t>ELN 5019208469</t>
  </si>
  <si>
    <t>378203_OOS</t>
  </si>
  <si>
    <t>HK-AIR_OOS / CN-AIR_OOS</t>
  </si>
  <si>
    <t>CN 5019252405 (25PL - LINE 1169) HK 5019245460 (1PL - LINE 1171) TOTAL 26PL</t>
  </si>
  <si>
    <t>377994_OOS</t>
  </si>
  <si>
    <t>TW-AIR_OOS / CN-AIR_OOS</t>
  </si>
  <si>
    <t>CN 5019234552 (25PL - LINE 1169) TW 5019257851 (1PL - LINE 1170) TOTAL 26PL</t>
  </si>
  <si>
    <t>0006110212_4900</t>
  </si>
  <si>
    <t>09/11/2025 22:00-22:00</t>
  </si>
  <si>
    <t>HAPSDCIE20251104-01</t>
  </si>
  <si>
    <t>376670_OOS</t>
  </si>
  <si>
    <t>ELN 5019245584</t>
  </si>
  <si>
    <t>373042_OOS</t>
  </si>
  <si>
    <t>CN 5019164864</t>
  </si>
  <si>
    <t>0006119858_4900</t>
  </si>
  <si>
    <t>HAPSDCUK20251104-03</t>
  </si>
  <si>
    <t>0006119880_4900</t>
  </si>
  <si>
    <t>06/11/2025 13:00-13:00</t>
  </si>
  <si>
    <t>OP6090C</t>
  </si>
  <si>
    <t>HAPSDCCZ20251103-01</t>
  </si>
  <si>
    <t>OP4364S</t>
  </si>
  <si>
    <t>PIOTR SAWICKI</t>
  </si>
  <si>
    <t>0006119857_4900</t>
  </si>
  <si>
    <t>HAPSDCUK20251104-02</t>
  </si>
  <si>
    <t>373035_OOS</t>
  </si>
  <si>
    <t>CN 5019165341</t>
  </si>
  <si>
    <t>0006118884_4900</t>
  </si>
  <si>
    <t>06/11/2025 22:30-22:30</t>
  </si>
  <si>
    <t>SPHapsOPO-041125-02</t>
  </si>
  <si>
    <t>5019327112 </t>
  </si>
  <si>
    <t>0006110201_4900</t>
  </si>
  <si>
    <t>468905 / 464109</t>
  </si>
  <si>
    <t>06/11/2025 13:30-13:30</t>
  </si>
  <si>
    <t>B803W</t>
  </si>
  <si>
    <t>HAPSDCCH20251104-01 / HAPSDCCH20251104-01</t>
  </si>
  <si>
    <t>5019324562 / 5019317093</t>
  </si>
  <si>
    <t>HP9292</t>
  </si>
  <si>
    <t>378564_OOS</t>
  </si>
  <si>
    <t>5019290169   5019296692</t>
  </si>
  <si>
    <t>0006119856_4900</t>
  </si>
  <si>
    <t>06/11/2025 14:00-14:00</t>
  </si>
  <si>
    <t>HAPSDCUK20251104-01</t>
  </si>
  <si>
    <t>373036_OOS</t>
  </si>
  <si>
    <t>CN 5019164838</t>
  </si>
  <si>
    <t>376756_OOS</t>
  </si>
  <si>
    <t>378452_OOS</t>
  </si>
  <si>
    <t>5019304887   5019289077</t>
  </si>
  <si>
    <t>373037_OOS</t>
  </si>
  <si>
    <t>CN 5019158216</t>
  </si>
  <si>
    <t>0006110204_4900</t>
  </si>
  <si>
    <t>HAPSDCDE20251104-02</t>
  </si>
  <si>
    <t>0006110203_4900</t>
  </si>
  <si>
    <t>HAPSDCDE20251104-01</t>
  </si>
  <si>
    <t>378919_OOS</t>
  </si>
  <si>
    <t>MEA 5019296114</t>
  </si>
  <si>
    <t>0006110205_4900</t>
  </si>
  <si>
    <t>HAPSDCDE20251104-03</t>
  </si>
  <si>
    <t>0006110209_4900</t>
  </si>
  <si>
    <t>05/11/2025 08:30-08:30</t>
  </si>
  <si>
    <t>HAPSDCFR20251104-01</t>
  </si>
  <si>
    <t>380092_OOS</t>
  </si>
  <si>
    <t>PY - SEA_OOS / KR - SEA_OOS</t>
  </si>
  <si>
    <t>DN 5019301609 / PARAGUAY DN 5019244400 + 5019243967 + 5019235316 + 5018950804 / SOUTH KOREA</t>
  </si>
  <si>
    <t>KOREA / PARAGUAY</t>
  </si>
  <si>
    <t>0006110210_4900</t>
  </si>
  <si>
    <t>469114 / 464120</t>
  </si>
  <si>
    <t>05/11/2025 13:30-13:30</t>
  </si>
  <si>
    <t>HAPSDCFR20251104-02 / HAPSDCFR20251104-02</t>
  </si>
  <si>
    <t>5019328581 / 5019296957</t>
  </si>
  <si>
    <t>0006110206_4900</t>
  </si>
  <si>
    <t>468902 / 464143</t>
  </si>
  <si>
    <t>06/11/2025 12:00-12:00</t>
  </si>
  <si>
    <t>HAPSDCES20251104-01 / HAPSDCES20251104-01</t>
  </si>
  <si>
    <t>5019325960 / 5019314185</t>
  </si>
  <si>
    <t>0006110211_4900</t>
  </si>
  <si>
    <t>469112 / 464134</t>
  </si>
  <si>
    <t>05/11/2025 13:00-13:00</t>
  </si>
  <si>
    <t>HAPSDCFR20251104-03 / HAPSDCFR20251104-03</t>
  </si>
  <si>
    <t xml:space="preserve">5019324031 / 5019306703 </t>
  </si>
  <si>
    <t>0006110215_4900</t>
  </si>
  <si>
    <t>468900 / 464116</t>
  </si>
  <si>
    <t>11/11/2025 14:30-14:30</t>
  </si>
  <si>
    <t>HAPSDCLV20251104-01 / HAPSDCLV20251104-01</t>
  </si>
  <si>
    <t>5019313907 / 5019297715</t>
  </si>
  <si>
    <t>0006110207_4900</t>
  </si>
  <si>
    <t>468903 / 464111</t>
  </si>
  <si>
    <t>07/11/2025 12:00-12:00</t>
  </si>
  <si>
    <t>HAPSDCES20251104-02 / HAPSDCES20251104-02</t>
  </si>
  <si>
    <t>5019324205 / 5017961414</t>
  </si>
  <si>
    <t>0006110202_4900</t>
  </si>
  <si>
    <t>07/11/2025 13:00-13:00</t>
  </si>
  <si>
    <t>DSW409AG</t>
  </si>
  <si>
    <t>HAPSDCCZ20251104-01</t>
  </si>
  <si>
    <t>WGM84584</t>
  </si>
  <si>
    <t>?ACNY STANIS?AW</t>
  </si>
  <si>
    <t>0006110214_4900</t>
  </si>
  <si>
    <t>10/11/2025 12:00-12:00</t>
  </si>
  <si>
    <t>QATL626</t>
  </si>
  <si>
    <t>HAPSDCIT20251104-01</t>
  </si>
  <si>
    <t>LOD669</t>
  </si>
  <si>
    <t>Muneerudeens Subair</t>
  </si>
  <si>
    <t>0006110216_4900</t>
  </si>
  <si>
    <t>OP8055E</t>
  </si>
  <si>
    <t>HAPSDCPL20251104-01</t>
  </si>
  <si>
    <t>OP3247S</t>
  </si>
  <si>
    <t>ST?PIE? ROMAN</t>
  </si>
  <si>
    <t>0006110217_4900</t>
  </si>
  <si>
    <t>468898 / 464138</t>
  </si>
  <si>
    <t>07/11/2025 09:00-09:00</t>
  </si>
  <si>
    <t>ETMMU11</t>
  </si>
  <si>
    <t>HAPSDCPL20251104-02 / HAPSDCPL20251104-02</t>
  </si>
  <si>
    <t>5019321581 / 5019320853</t>
  </si>
  <si>
    <t xml:space="preserve">ETM34505 </t>
  </si>
  <si>
    <t>Zenon Kami?ski</t>
  </si>
  <si>
    <t>0006110231_4900</t>
  </si>
  <si>
    <t>469264 / 464124</t>
  </si>
  <si>
    <t>12/11/2025 15:00-15:00</t>
  </si>
  <si>
    <t>HAPSDCNO20251105-01 / HAPSDCNO20251105-01</t>
  </si>
  <si>
    <t>5019330114 / 5019313405</t>
  </si>
  <si>
    <t>0006110228_4900</t>
  </si>
  <si>
    <t>464132 / 464131</t>
  </si>
  <si>
    <t>07/11/2025 15:00-15:00 / 07/11/2025 08:00-08:00</t>
  </si>
  <si>
    <t>HAPSDCHU20251105-01 / HAPSDCHU20251105-01</t>
  </si>
  <si>
    <t>5019325625 / 5019330574</t>
  </si>
  <si>
    <t>380919_OOS</t>
  </si>
  <si>
    <t>378916_OOS</t>
  </si>
  <si>
    <t>4505818821 LZV</t>
  </si>
  <si>
    <t>0006119861_4900</t>
  </si>
  <si>
    <t>06/11/2025 16:00-16:00</t>
  </si>
  <si>
    <t>PZ_3V626</t>
  </si>
  <si>
    <t>HAPSDCUK20251105-01</t>
  </si>
  <si>
    <t>MRY_663</t>
  </si>
  <si>
    <t>Andrei Miatlitski</t>
  </si>
  <si>
    <t>0006119864_4900</t>
  </si>
  <si>
    <t>10/11/2025 23:30-23:30</t>
  </si>
  <si>
    <t>HAPSDCUK20251105-04</t>
  </si>
  <si>
    <t>375497_OOS</t>
  </si>
  <si>
    <t>CN-SEA-6105653_OOS</t>
  </si>
  <si>
    <t>5019082219 + 5019232807 + 5019267354</t>
  </si>
  <si>
    <t>06/11/2025 00:01-00:01</t>
  </si>
  <si>
    <t>367230_OOS</t>
  </si>
  <si>
    <t>AU-SEA-6078277_OOS</t>
  </si>
  <si>
    <t xml:space="preserve">5019190128 5019191124 5019262645 </t>
  </si>
  <si>
    <t>377834_OOS</t>
  </si>
  <si>
    <t>MEA 5019284731 5019260950</t>
  </si>
  <si>
    <t>380629_OOS</t>
  </si>
  <si>
    <t>MEA 5019014890 5019018220 5019081287 5019046283</t>
  </si>
  <si>
    <t>0006124352_4900</t>
  </si>
  <si>
    <t>07/11/2025 14:00-14:00</t>
  </si>
  <si>
    <t>PZ_7T631</t>
  </si>
  <si>
    <t>HAPSDCPL20251105-04</t>
  </si>
  <si>
    <t>PZ_5K890</t>
  </si>
  <si>
    <t>Viktor Ahieiev</t>
  </si>
  <si>
    <t>380649_OOS</t>
  </si>
  <si>
    <t>380848_OOS</t>
  </si>
  <si>
    <t>5019285571_OOS</t>
  </si>
  <si>
    <t>4505729319/4504507963</t>
  </si>
  <si>
    <t>06/11/2025 00:00-00:00</t>
  </si>
  <si>
    <t>376032_OOS</t>
  </si>
  <si>
    <t>CN 5019308361</t>
  </si>
  <si>
    <t>0006118890_4900</t>
  </si>
  <si>
    <t>07/11/2025 09:45-09:45</t>
  </si>
  <si>
    <t>WZ831KE</t>
  </si>
  <si>
    <t>SPHapsOPO-051125-08</t>
  </si>
  <si>
    <t>5019335106 </t>
  </si>
  <si>
    <t>TKI 9779S</t>
  </si>
  <si>
    <t>0006118887_4900</t>
  </si>
  <si>
    <t>PZ4P352</t>
  </si>
  <si>
    <t>SPHapsOPO-051125-05</t>
  </si>
  <si>
    <t>MZN307</t>
  </si>
  <si>
    <t>376033_OOS</t>
  </si>
  <si>
    <t>CN 5019305485</t>
  </si>
  <si>
    <t>0006119021_4900</t>
  </si>
  <si>
    <t>466916 / 466915 / 469984 / 469982</t>
  </si>
  <si>
    <t>ZAGR - HR Zagreb / LJUB - SI Ljubljana / ZAGR - HR Zagreb / LJUB - SI Ljubljana</t>
  </si>
  <si>
    <t>07/11/2025 16:00-16:00 / 06/11/2025 15:00-15:00 / 07/11/2025 16:00-16:00 / 06/11/2025 15:00-15:00</t>
  </si>
  <si>
    <t>NM-DE-001</t>
  </si>
  <si>
    <t>HAPSDCBG20251105-01 / HAPSDCBG20251105-01 / HAPSDCBG20251105-01 / HAPSDCBG20251105-01</t>
  </si>
  <si>
    <t>5019294819 / 5019298681 / 5019338425 / 5019340226</t>
  </si>
  <si>
    <t xml:space="preserve">NM-KP-444 </t>
  </si>
  <si>
    <t>0006110181_4900</t>
  </si>
  <si>
    <t>468278 / 468277 / 464090</t>
  </si>
  <si>
    <t>19/11/2025 18:00-18:00</t>
  </si>
  <si>
    <t>HAPSDCGR20251103-01 / HAPSDCGR20251103-01 / HAPSDCGR20251103-01</t>
  </si>
  <si>
    <t>5019253580 / 5019262249 / 5019313657</t>
  </si>
  <si>
    <t>376035_OOS</t>
  </si>
  <si>
    <t>CN 5019305325</t>
  </si>
  <si>
    <t>376034_OOS</t>
  </si>
  <si>
    <t>CN 5019296941</t>
  </si>
  <si>
    <t>0006110229_4900</t>
  </si>
  <si>
    <t>12/11/2025 16:00-16:00</t>
  </si>
  <si>
    <t>HAPSDCIE20251105-01</t>
  </si>
  <si>
    <t>0006118888_4900</t>
  </si>
  <si>
    <t>07/11/2025 00:45-00:45</t>
  </si>
  <si>
    <t>KRA523PA</t>
  </si>
  <si>
    <t>SPHapsOPO-051125-06</t>
  </si>
  <si>
    <t>5019332534 </t>
  </si>
  <si>
    <t>KRA841CF</t>
  </si>
  <si>
    <t xml:space="preserve">Bachorczyk Mateusz </t>
  </si>
  <si>
    <t>369752_OOS</t>
  </si>
  <si>
    <t>ELN 5019081878 5019036073</t>
  </si>
  <si>
    <t>372763_OOS</t>
  </si>
  <si>
    <t>US-SEA-6087114_OOS</t>
  </si>
  <si>
    <t>0006119862_4900</t>
  </si>
  <si>
    <t>HAPSDCUK20251105-02</t>
  </si>
  <si>
    <t>0006110232_4900</t>
  </si>
  <si>
    <t>469262 / 464122</t>
  </si>
  <si>
    <t>HAPSDCNO20251105-02 / HAPSDCNO20251105-02</t>
  </si>
  <si>
    <t>5019322516 / 5019322431</t>
  </si>
  <si>
    <t>376757_OOS</t>
  </si>
  <si>
    <t>0006118889_4900</t>
  </si>
  <si>
    <t>469458 / 466900</t>
  </si>
  <si>
    <t>OPOL - PL Opole / OPOL - PL Opole</t>
  </si>
  <si>
    <t>07/11/2025 23:15-23:15</t>
  </si>
  <si>
    <t>SPHapsOPO-051125-07 / SPHapsOPO-051125-07</t>
  </si>
  <si>
    <t>5019323118  / 5019323119 </t>
  </si>
  <si>
    <t>376038_OOS</t>
  </si>
  <si>
    <t xml:space="preserve">CN 5019308363 </t>
  </si>
  <si>
    <t>376037_OOS</t>
  </si>
  <si>
    <t>CN 5019308362</t>
  </si>
  <si>
    <t>380639_OOS</t>
  </si>
  <si>
    <t>MEA 5019036817 5019175502</t>
  </si>
  <si>
    <t>0006119863_4900</t>
  </si>
  <si>
    <t>17/11/2025 23:00-23:00</t>
  </si>
  <si>
    <t>HAPSDCUK20251105-03</t>
  </si>
  <si>
    <t>0006110219_4900</t>
  </si>
  <si>
    <t>11/11/2025 08:00-08:00</t>
  </si>
  <si>
    <t>HAPSDCCZ20251105-01</t>
  </si>
  <si>
    <t>5019337200 / 4502976365</t>
  </si>
  <si>
    <t>0006110220_4900</t>
  </si>
  <si>
    <t>HAPSDCDE20251105-01</t>
  </si>
  <si>
    <t>378677_OOS</t>
  </si>
  <si>
    <t>AU-AIR_OOS / US-AIR_OOS</t>
  </si>
  <si>
    <t>US 5019253912 (5PL) AU 5019272301 (2PL) TOTAL 7PL</t>
  </si>
  <si>
    <t>378733_OOS</t>
  </si>
  <si>
    <t>AU 5019286923 (4PL)</t>
  </si>
  <si>
    <t>0006110233_4900</t>
  </si>
  <si>
    <t>PZ_3V535</t>
  </si>
  <si>
    <t>HAPSDCPL20251105-01</t>
  </si>
  <si>
    <t>NYD_768</t>
  </si>
  <si>
    <t>Siarhei Akulau</t>
  </si>
  <si>
    <t>0006110221_4900</t>
  </si>
  <si>
    <t>06/11/2025 09:00-09:00</t>
  </si>
  <si>
    <t>HAPSDCDE20251105-02</t>
  </si>
  <si>
    <t>380573_OOS</t>
  </si>
  <si>
    <t>5019328238_OOS</t>
  </si>
  <si>
    <t>EXW Carier</t>
  </si>
  <si>
    <t>LTL 11 pallets 5019328238</t>
  </si>
  <si>
    <t>28/10/2025 12:12-12:12</t>
  </si>
  <si>
    <t>0006110223_4900</t>
  </si>
  <si>
    <t>469261 / 464137</t>
  </si>
  <si>
    <t>07/11/2025 10:00-10:00</t>
  </si>
  <si>
    <t>HAPSDCDK20251105-01 / HAPSDCDK20251105-01</t>
  </si>
  <si>
    <t>5019333810 / 5019328583</t>
  </si>
  <si>
    <t>0006124351_4900</t>
  </si>
  <si>
    <t>07/11/2025 15:00-15:00</t>
  </si>
  <si>
    <t>PZ_1U658</t>
  </si>
  <si>
    <t>HAPSDCPL20251105-03</t>
  </si>
  <si>
    <t>PZ_5K718</t>
  </si>
  <si>
    <t>Ihar Harnou</t>
  </si>
  <si>
    <t>0006110225_4900</t>
  </si>
  <si>
    <t>HAPSDCFR20251105-01</t>
  </si>
  <si>
    <t>SV77ESS</t>
  </si>
  <si>
    <t>COCARIU DUMITRU</t>
  </si>
  <si>
    <t>0006110218_4900</t>
  </si>
  <si>
    <t>PZ_4N895</t>
  </si>
  <si>
    <t>HAPSDCAT20251105-01</t>
  </si>
  <si>
    <t xml:space="preserve">5019331822 / 4505816706 </t>
  </si>
  <si>
    <t xml:space="preserve"> 5019335962 / 4505811333 </t>
  </si>
  <si>
    <t>MHJ_117</t>
  </si>
  <si>
    <t>Vitalii Bychkov</t>
  </si>
  <si>
    <t>0006110227_4900</t>
  </si>
  <si>
    <t>HAPSDCFR20251105-03</t>
  </si>
  <si>
    <t>0006110224_4900</t>
  </si>
  <si>
    <t>09/11/2025 23:30-23:30</t>
  </si>
  <si>
    <t>HAPSDCES20251105-01</t>
  </si>
  <si>
    <t>0006124538_4900</t>
  </si>
  <si>
    <t>12/11/2025 12:00-12:00</t>
  </si>
  <si>
    <t>HAPSDCIT20251105-02</t>
  </si>
  <si>
    <t>0006123092_4900</t>
  </si>
  <si>
    <t>HAPSDCDE20251105-04</t>
  </si>
  <si>
    <t>0006110226_4900</t>
  </si>
  <si>
    <t>06/11/2025 07:30-07:30</t>
  </si>
  <si>
    <t>HAPSDCFR20251105-02</t>
  </si>
  <si>
    <t>0006110234_4900</t>
  </si>
  <si>
    <t>469351 / 464130</t>
  </si>
  <si>
    <t>KRA459PG</t>
  </si>
  <si>
    <t>HAPSDCPL20251105-02 / HAPSDCPL20251105-02</t>
  </si>
  <si>
    <t>5019329383 / 5019323676</t>
  </si>
  <si>
    <t>WPR3473T</t>
  </si>
  <si>
    <t xml:space="preserve">Pawlikowski Krzysztof </t>
  </si>
  <si>
    <t>379800_OOS</t>
  </si>
  <si>
    <t>DN 5019288419</t>
  </si>
  <si>
    <t>SRTMS183323</t>
  </si>
  <si>
    <t>0006126300_4900</t>
  </si>
  <si>
    <t>07/11/2025 21:00-21:00</t>
  </si>
  <si>
    <t>PZ_2K226</t>
  </si>
  <si>
    <t>HAPSDCPL20251106-03</t>
  </si>
  <si>
    <t>MZY_854</t>
  </si>
  <si>
    <t>Djanibek Matyakubov</t>
  </si>
  <si>
    <t>0006119867_4900</t>
  </si>
  <si>
    <t>HAPSDCUK20251106-02</t>
  </si>
  <si>
    <t>375498_OOS</t>
  </si>
  <si>
    <t>CN-SEA-6105654_OOS</t>
  </si>
  <si>
    <t>5019271458 + 5019286184</t>
  </si>
  <si>
    <t>07/11/2025 00:02-00:02</t>
  </si>
  <si>
    <t>381402_OOS</t>
  </si>
  <si>
    <t>379801_OOS</t>
  </si>
  <si>
    <t>DN 5019282944</t>
  </si>
  <si>
    <t>367232_OOS</t>
  </si>
  <si>
    <t>AU-SEA-6078278_OOS</t>
  </si>
  <si>
    <t>374438_OOS</t>
  </si>
  <si>
    <t>SFG-BR-WEEK44-1_OOS</t>
  </si>
  <si>
    <t>07/11/2025 00:01-00:01</t>
  </si>
  <si>
    <t>260824852 - BR Semifinished Goods</t>
  </si>
  <si>
    <t>378917_OOS</t>
  </si>
  <si>
    <t>4505820232 LZV</t>
  </si>
  <si>
    <t>0006110247_4900</t>
  </si>
  <si>
    <t>469856 / 464157</t>
  </si>
  <si>
    <t>13/11/2025 15:00-15:00</t>
  </si>
  <si>
    <t>HAPSDCNO20251106-01 / HAPSDCNO20251106-01</t>
  </si>
  <si>
    <t>5019340939 / 5019330357</t>
  </si>
  <si>
    <t>378896_OOS</t>
  </si>
  <si>
    <t>ARG 5019296022</t>
  </si>
  <si>
    <t>374439_OOS</t>
  </si>
  <si>
    <t>SFG-BR-WEEK44-2_OOS</t>
  </si>
  <si>
    <t>260825213 - BR Semifiinished Goods</t>
  </si>
  <si>
    <t>380856_OOS</t>
  </si>
  <si>
    <t>376056_OOS</t>
  </si>
  <si>
    <t>CN 5019332810 (21PL)</t>
  </si>
  <si>
    <t>0006110246_4900</t>
  </si>
  <si>
    <t>13/11/2025 23:00-23:00</t>
  </si>
  <si>
    <t>HAPSDCIT20251106-02</t>
  </si>
  <si>
    <t>376074_OOS</t>
  </si>
  <si>
    <t>CN 5019322514 (21PL)</t>
  </si>
  <si>
    <t>379802_OOS</t>
  </si>
  <si>
    <t>DN 5019295205</t>
  </si>
  <si>
    <t>380940_OOS</t>
  </si>
  <si>
    <t>AU 5019168625 -1P + 5019286923-4P</t>
  </si>
  <si>
    <t>07/11/2025 11:00-11:00</t>
  </si>
  <si>
    <t>380140_OOS</t>
  </si>
  <si>
    <t>380983_OOS</t>
  </si>
  <si>
    <t>5019343980_OOS</t>
  </si>
  <si>
    <t>Order to ship rejected pallet with cans for scrapping. Special instructions added: M20004 NBB.</t>
  </si>
  <si>
    <t>07/11/2025 00:00-00:00</t>
  </si>
  <si>
    <t>0006110244_4900</t>
  </si>
  <si>
    <t>469916 / 464161</t>
  </si>
  <si>
    <t>RATH - IE Dublin Rathcoole Ambient / RATH - IE Dublin Rathcoole Ambient</t>
  </si>
  <si>
    <t>13/11/2025 23:30-23:30</t>
  </si>
  <si>
    <t>HAPSDCIE20251106-01 / HAPSDCIE20251106-01</t>
  </si>
  <si>
    <t>5019349642 / 5019334865</t>
  </si>
  <si>
    <t>379803_OOS</t>
  </si>
  <si>
    <t>DN 5019270152</t>
  </si>
  <si>
    <t>376076_OOS</t>
  </si>
  <si>
    <t>CN 5019323456 (21PL)</t>
  </si>
  <si>
    <t>0006119868_4900</t>
  </si>
  <si>
    <t>17/11/2025 18:00-18:00</t>
  </si>
  <si>
    <t>HAPSDCUK20251106-03</t>
  </si>
  <si>
    <t>376075_OOS</t>
  </si>
  <si>
    <t>CN 5019334846 (21PL)</t>
  </si>
  <si>
    <t>0006119869_4900</t>
  </si>
  <si>
    <t>HAPSDCUK20251106-04</t>
  </si>
  <si>
    <t>0006125934_4900</t>
  </si>
  <si>
    <t>08/11/2025 02:15-02:15</t>
  </si>
  <si>
    <t>KI785</t>
  </si>
  <si>
    <t>SPHapsOPO-051125-09</t>
  </si>
  <si>
    <t>NLD916</t>
  </si>
  <si>
    <t>376758_OOS</t>
  </si>
  <si>
    <t>379804_OOS</t>
  </si>
  <si>
    <t>DN 5019295206</t>
  </si>
  <si>
    <t>0006110241_4900</t>
  </si>
  <si>
    <t>470097 / 464172</t>
  </si>
  <si>
    <t>HAPSDCFR20251106-01 / HAPSDCFR20251106-01</t>
  </si>
  <si>
    <t>5019349086 / 5019344812</t>
  </si>
  <si>
    <t>0006119866_4900</t>
  </si>
  <si>
    <t>469855 / 467321</t>
  </si>
  <si>
    <t>10/11/2025 14:00-14:00</t>
  </si>
  <si>
    <t>HAPSDCUK20251106-01 / HAPSDCUK20251106-01</t>
  </si>
  <si>
    <t>5019344415 / 5019344021</t>
  </si>
  <si>
    <t>376078_OOS</t>
  </si>
  <si>
    <t>CN 5019330113 (15PL)</t>
  </si>
  <si>
    <t>376077_OOS</t>
  </si>
  <si>
    <t>CN 5019323457 (21PL)</t>
  </si>
  <si>
    <t>380474_OOS</t>
  </si>
  <si>
    <t>Samples - Road_OOS</t>
  </si>
  <si>
    <t>0006110239_4900</t>
  </si>
  <si>
    <t>HAPSDCDE20251106-03</t>
  </si>
  <si>
    <t>0006110243_4900</t>
  </si>
  <si>
    <t>07/11/2025 10:30-10:30</t>
  </si>
  <si>
    <t>HAPSDCFR20251106-03</t>
  </si>
  <si>
    <t>380995_OOS</t>
  </si>
  <si>
    <t>Maersk</t>
  </si>
  <si>
    <t>ARG AIR EXW 5019289030</t>
  </si>
  <si>
    <t>380278_OOS</t>
  </si>
  <si>
    <t>CN 5019334852 (10PL) CN 5019314421 (10PL)</t>
  </si>
  <si>
    <t>0006110237_4900</t>
  </si>
  <si>
    <t>HAPSDCDE20251106-01</t>
  </si>
  <si>
    <t>381305_OOS</t>
  </si>
  <si>
    <t>AU - AIR_OOS / US - AIR_OOS</t>
  </si>
  <si>
    <t>US AIR 5019253912   AU AIR 5019272301</t>
  </si>
  <si>
    <t>07/11/2025 16:00-16:00</t>
  </si>
  <si>
    <t>376759_OOS</t>
  </si>
  <si>
    <t>5019188973 + 5019238697 + 5019238698 + 5019243965 + 5019230301 + 5019253914 + 5019277792</t>
  </si>
  <si>
    <t>0006110250_4900</t>
  </si>
  <si>
    <t>469859 / 469858 / 464163</t>
  </si>
  <si>
    <t>10/11/2025 15:00-15:00</t>
  </si>
  <si>
    <t>HAPSDCPT20251106-01 / HAPSDCPT20251106-01 / HAPSDCPT20251106-01</t>
  </si>
  <si>
    <t>5019345604 / 5019334862 / 5019334349</t>
  </si>
  <si>
    <t>0006110248_4900</t>
  </si>
  <si>
    <t xml:space="preserve">PNTSA64	</t>
  </si>
  <si>
    <t>HAPSDCPL20251106-01</t>
  </si>
  <si>
    <t xml:space="preserve">PNT3831A	</t>
  </si>
  <si>
    <t>Kaczmarek Micha? / Kaczmarek Anna</t>
  </si>
  <si>
    <t>0006110242_4900</t>
  </si>
  <si>
    <t>HAPSDCFR20251106-02</t>
  </si>
  <si>
    <t>0006110236_4900</t>
  </si>
  <si>
    <t>PZ_934YJ</t>
  </si>
  <si>
    <t>HAPSDCBE20251106-01</t>
  </si>
  <si>
    <t>SL_G_9035</t>
  </si>
  <si>
    <t>Ar?nas Zykas</t>
  </si>
  <si>
    <t>0006110240_4900</t>
  </si>
  <si>
    <t>469854 / 464171</t>
  </si>
  <si>
    <t>10/11/2025 08:00-08:00</t>
  </si>
  <si>
    <t xml:space="preserve">R3861BCT </t>
  </si>
  <si>
    <t>HAPSDCES20251106-01 / HAPSDCES20251106-01</t>
  </si>
  <si>
    <t>5019348520 / 5019341989</t>
  </si>
  <si>
    <t>5449LXZ</t>
  </si>
  <si>
    <t>António Jose Fragoso Pérez</t>
  </si>
  <si>
    <t>0006110245_4900</t>
  </si>
  <si>
    <t>12/11/2025 11:00-11:00</t>
  </si>
  <si>
    <t>HAPSDCIT20251106-01</t>
  </si>
  <si>
    <t>0006125734_4900</t>
  </si>
  <si>
    <t>13/11/2025 14:30-14:30</t>
  </si>
  <si>
    <t>HAPSDCLV20251106-02</t>
  </si>
  <si>
    <t>0006110249_4900</t>
  </si>
  <si>
    <t>469853 / 464166</t>
  </si>
  <si>
    <t>HAPSDCPL20251106-02 / HAPSDCPL20251106-02</t>
  </si>
  <si>
    <t>5019339431 / 5019324146</t>
  </si>
  <si>
    <t>381393_OOS</t>
  </si>
  <si>
    <t>CN 5019353571</t>
  </si>
  <si>
    <t>08/11/2025 10:00-10:00</t>
  </si>
  <si>
    <t>0006119873_4900</t>
  </si>
  <si>
    <t>HAPSDCUK20251107-03</t>
  </si>
  <si>
    <t>381979_OOS</t>
  </si>
  <si>
    <t>08/11/2025 15:00-15:00</t>
  </si>
  <si>
    <t>381405_OOS</t>
  </si>
  <si>
    <t>CN 5019357449</t>
  </si>
  <si>
    <t>381406_OOS</t>
  </si>
  <si>
    <t>CN 5019354577</t>
  </si>
  <si>
    <t>0006110251_4900</t>
  </si>
  <si>
    <t>464194 / 469860</t>
  </si>
  <si>
    <t>10/11/2025 08:00-08:00 / 10/11/2025 08:00-08:00</t>
  </si>
  <si>
    <t>HAPSDCSE20251106-01 / HAPSDCSE20251106-01</t>
  </si>
  <si>
    <t>5019335425 / 5019345524</t>
  </si>
  <si>
    <t>0006119872_4900</t>
  </si>
  <si>
    <t>HAPSDCUK20251107-02</t>
  </si>
  <si>
    <t>380941_OOS</t>
  </si>
  <si>
    <t>MEA 5019334103</t>
  </si>
  <si>
    <t>377836_OOS</t>
  </si>
  <si>
    <t>MEA 5019344250</t>
  </si>
  <si>
    <t>380932_OOS</t>
  </si>
  <si>
    <t>MEA 5019335426</t>
  </si>
  <si>
    <t>0006110272_4900</t>
  </si>
  <si>
    <t>470361 / 464169</t>
  </si>
  <si>
    <t>09/11/2025 20:00-20:00</t>
  </si>
  <si>
    <t>HAPSDCIE20251107-02 / HAPSDCIE20251107-02</t>
  </si>
  <si>
    <t>5019343919 / 5019343542</t>
  </si>
  <si>
    <t>0006110271_4900</t>
  </si>
  <si>
    <t>464152 / 464151</t>
  </si>
  <si>
    <t>DUB3 - IE Dublin (Pemberton) / DUBL - IE Dublin (United Drug)</t>
  </si>
  <si>
    <t>14/11/2025 18:00-18:00 / 09/11/2025 23:00-23:00</t>
  </si>
  <si>
    <t>HAPSDCIE20251107-01 / HAPSDCIE20251107-01</t>
  </si>
  <si>
    <t>5019353746 / 5019344746</t>
  </si>
  <si>
    <t>380857_OOS</t>
  </si>
  <si>
    <t>08/11/2025 12:00-12:00</t>
  </si>
  <si>
    <t>380942_OOS</t>
  </si>
  <si>
    <t>MEA 5019335340</t>
  </si>
  <si>
    <t>380943_OOS</t>
  </si>
  <si>
    <t>MEA 5019324312 5019328636 5019330072 5019335341 5019322915 5019334744 5019334745</t>
  </si>
  <si>
    <t>381408_OOS</t>
  </si>
  <si>
    <t>5019364218 - 5019346267_OOS</t>
  </si>
  <si>
    <t>2 orders to ship 4 rejected pallet for scrapping Special instructions added  M2004  YBB and NBB</t>
  </si>
  <si>
    <t>08/11/2025 00:00-00:00</t>
  </si>
  <si>
    <t>376734_OOS</t>
  </si>
  <si>
    <t>5019336920 + 5019314674</t>
  </si>
  <si>
    <t>0006119874_4900</t>
  </si>
  <si>
    <t>HAPSDCUK20251107-04</t>
  </si>
  <si>
    <t>381407_OOS</t>
  </si>
  <si>
    <t>US 5019285033 (5PL)</t>
  </si>
  <si>
    <t>0006110253_4900</t>
  </si>
  <si>
    <t>464175 / 469627</t>
  </si>
  <si>
    <t>RICA - CZ Ricany DC2 Ambient WH / PRAH - CZ Praha (PHOENIX)</t>
  </si>
  <si>
    <t>10/11/2025 13:00-13:00 / 10/11/2025 12:00-12:00</t>
  </si>
  <si>
    <t>HAPSDCCZ20251107-02 / HAPSDCCZ20251107-02</t>
  </si>
  <si>
    <t>5019355167 / 5019337951</t>
  </si>
  <si>
    <t>380939_OOS</t>
  </si>
  <si>
    <t>CN 5019277433</t>
  </si>
  <si>
    <t>0006127598_4900</t>
  </si>
  <si>
    <t>PZ_1P577</t>
  </si>
  <si>
    <t>HAPSDCBE20251107-02</t>
  </si>
  <si>
    <t>NMC_015</t>
  </si>
  <si>
    <t>Mansurbek Amanov</t>
  </si>
  <si>
    <t>376735_OOS</t>
  </si>
  <si>
    <t>0006119871_4900</t>
  </si>
  <si>
    <t>470368 / 467316</t>
  </si>
  <si>
    <t>HAPSDCUK20251107-01 / HAPSDCUK20251107-01</t>
  </si>
  <si>
    <t>5019356441 / 5019347563</t>
  </si>
  <si>
    <t>0006127355_4900</t>
  </si>
  <si>
    <t>07/11/2025 18:30-18:30</t>
  </si>
  <si>
    <t>PZ_3V522</t>
  </si>
  <si>
    <t>HAPSDCBE20251107-01</t>
  </si>
  <si>
    <t>MYO_769</t>
  </si>
  <si>
    <t>Sumith Mon Maramkollil Thankachan</t>
  </si>
  <si>
    <t>380938_OOS</t>
  </si>
  <si>
    <t>CN 5019277508</t>
  </si>
  <si>
    <t>0006110255_4900</t>
  </si>
  <si>
    <t>HAPSDCDE20251107-02</t>
  </si>
  <si>
    <t>380507_OOS</t>
  </si>
  <si>
    <t>5019227605   5019295012   5019288260</t>
  </si>
  <si>
    <t>380508_OOS</t>
  </si>
  <si>
    <t>0006110256_4900</t>
  </si>
  <si>
    <t>HAPSDCDE20251107-03</t>
  </si>
  <si>
    <t>0006110252_4900</t>
  </si>
  <si>
    <t>PZ_7J086</t>
  </si>
  <si>
    <t>HAPSDCCZ20251107-01</t>
  </si>
  <si>
    <t>PZ_2W117</t>
  </si>
  <si>
    <t>Aliaksandr Hryharzheuski</t>
  </si>
  <si>
    <t>380509_OOS</t>
  </si>
  <si>
    <t>0006110259_4900</t>
  </si>
  <si>
    <t>FREJA FOR SN 3PO</t>
  </si>
  <si>
    <t>HAPSDCFI20251107-01</t>
  </si>
  <si>
    <t>381394_OOS</t>
  </si>
  <si>
    <t>CN 5019347737</t>
  </si>
  <si>
    <t>0006110260_4900</t>
  </si>
  <si>
    <t>HAPSDCHU20251107-01</t>
  </si>
  <si>
    <t>0006119952_4900</t>
  </si>
  <si>
    <t>HAPSDCFR20251107-02</t>
  </si>
  <si>
    <t>0006110277_4900</t>
  </si>
  <si>
    <t>470360 / 464180</t>
  </si>
  <si>
    <t>10/11/2025 11:00-11:00</t>
  </si>
  <si>
    <t>HAPSDCSE20251107-01 / HAPSDCSE20251107-01</t>
  </si>
  <si>
    <t>5019347013 / 5019334113</t>
  </si>
  <si>
    <t>0006119951_4900</t>
  </si>
  <si>
    <t>10/11/2025 13:00-13:00</t>
  </si>
  <si>
    <t>HAPSDCFR20251107-01</t>
  </si>
  <si>
    <t>0006110278_4900</t>
  </si>
  <si>
    <t>HAPSDCSE20251107-02</t>
  </si>
  <si>
    <t>0006110257_4900</t>
  </si>
  <si>
    <t>HAPSDCES20251107-01</t>
  </si>
  <si>
    <t>OD2290/U1442</t>
  </si>
  <si>
    <t>Vadims Mostovhujks</t>
  </si>
  <si>
    <t>0006110273_4900</t>
  </si>
  <si>
    <t>13/11/2025 06:00-06:00</t>
  </si>
  <si>
    <t>HAPSDCIT20251107-01</t>
  </si>
  <si>
    <t>0006119953_4900</t>
  </si>
  <si>
    <t>470668 / 470595 / 467430</t>
  </si>
  <si>
    <t>MOUS - FR Moussy-Le-Neuf / MOUS - FR Moussy-Le-Neuf / MOUS - FR Moussy-Le-Neuf</t>
  </si>
  <si>
    <t>10/11/2025 08:30-08:30</t>
  </si>
  <si>
    <t>HAPSDCFR20251107-03 / HAPSDCFR20251107-03 / HAPSDCFR20251107-03</t>
  </si>
  <si>
    <t>5019354551 / 5019354942 / 5019330716</t>
  </si>
  <si>
    <t>382582_OOS</t>
  </si>
  <si>
    <t>0006127458_4900</t>
  </si>
  <si>
    <t>471425 / 470162</t>
  </si>
  <si>
    <t>20/11/2025 18:00-18:00</t>
  </si>
  <si>
    <t>HAPSDCUK20251110-03 / HAPSDCUK20251110-03</t>
  </si>
  <si>
    <t>5019369361 / 5019352639</t>
  </si>
  <si>
    <t>380377_OOS</t>
  </si>
  <si>
    <t xml:space="preserve">DN 5019269478 / 5019335271  </t>
  </si>
  <si>
    <t>11/11/2025 09:00-09:00</t>
  </si>
  <si>
    <t>SRTMS183614</t>
  </si>
  <si>
    <t>0006119614_4900</t>
  </si>
  <si>
    <t>HAPSDCIE20251110-02</t>
  </si>
  <si>
    <t>370303_OOS</t>
  </si>
  <si>
    <t>NZ-SEA-6087543_OOS</t>
  </si>
  <si>
    <t>5019343463 5019330815</t>
  </si>
  <si>
    <t>11/11/2025 00:02-00:02</t>
  </si>
  <si>
    <t>382178_OOS</t>
  </si>
  <si>
    <t>11/11/2025 10:00-10:00</t>
  </si>
  <si>
    <t>380552_OOS</t>
  </si>
  <si>
    <t>MEA 5019164915 5019166062 5019167016 5019189517 5019233281 5019215509 5019284732 5019328225 5019328175 5019328635</t>
  </si>
  <si>
    <t>0006127457_4900</t>
  </si>
  <si>
    <t>HAPSDCUK20251110-02</t>
  </si>
  <si>
    <t>362332_OOS</t>
  </si>
  <si>
    <t>US-SEA-6058470_OOS</t>
  </si>
  <si>
    <t>5019295567  5019285819</t>
  </si>
  <si>
    <t>11/11/2025 00:03-00:03</t>
  </si>
  <si>
    <t>370304_OOS</t>
  </si>
  <si>
    <t>NZ-SEA-6087544_OOS</t>
  </si>
  <si>
    <t>11/11/2025 00:01-00:01</t>
  </si>
  <si>
    <t>0006119613_4900</t>
  </si>
  <si>
    <t>17/11/2025 22:00-22:00</t>
  </si>
  <si>
    <t>HAPSDCIE20251110-01</t>
  </si>
  <si>
    <t>381404_OOS</t>
  </si>
  <si>
    <t>CN 5019354603</t>
  </si>
  <si>
    <t>380219_OOS</t>
  </si>
  <si>
    <t>NZ 5019275935 (1PL) NZ 5019312800 (23PL)</t>
  </si>
  <si>
    <t>377931_OOS</t>
  </si>
  <si>
    <t>CN-SEA-6115293_OOS</t>
  </si>
  <si>
    <t xml:space="preserve">5019323324 5019272564 5019286301  </t>
  </si>
  <si>
    <t>381395_OOS</t>
  </si>
  <si>
    <t>CN 5019355810</t>
  </si>
  <si>
    <t>380220_OOS</t>
  </si>
  <si>
    <t>NZ 5019306695 (23PL) NZ 5019273904 (1PL)</t>
  </si>
  <si>
    <t>382425_OOS</t>
  </si>
  <si>
    <t>Hellmann</t>
  </si>
  <si>
    <t>EXW UY AIR 5019296019 + 5019344292 -3P CO AIR 5019304696 - 8P</t>
  </si>
  <si>
    <t>11/11/2025 12:00-12:00</t>
  </si>
  <si>
    <t>0006119538_4900</t>
  </si>
  <si>
    <t>12/11/2025 06:00-06:00</t>
  </si>
  <si>
    <t>HAPSDCDE20251110-02</t>
  </si>
  <si>
    <t>380119_OOS</t>
  </si>
  <si>
    <t>AU 5019305211</t>
  </si>
  <si>
    <t>380118_OOS</t>
  </si>
  <si>
    <t>AU 5019306970</t>
  </si>
  <si>
    <t>381396_OOS</t>
  </si>
  <si>
    <t>CN 5019331316</t>
  </si>
  <si>
    <t>0006119539_4900</t>
  </si>
  <si>
    <t>trailer rejected</t>
  </si>
  <si>
    <t>HAPSDCDE20251110-03</t>
  </si>
  <si>
    <t>380120_OOS</t>
  </si>
  <si>
    <t>AU 5019306971</t>
  </si>
  <si>
    <t>381400_OOS</t>
  </si>
  <si>
    <t>CN 5019350543</t>
  </si>
  <si>
    <t>382346_OOS</t>
  </si>
  <si>
    <t>IFC</t>
  </si>
  <si>
    <t>5018862561   5019342068</t>
  </si>
  <si>
    <t>groepage@ifcnl.com</t>
  </si>
  <si>
    <t>380121_OOS</t>
  </si>
  <si>
    <t>AU 5019306694</t>
  </si>
  <si>
    <t>381403_OOS</t>
  </si>
  <si>
    <t>CN 5019354412</t>
  </si>
  <si>
    <t>0006119621_4900</t>
  </si>
  <si>
    <t>12/11/2025 10:00-10:00</t>
  </si>
  <si>
    <t>HAPSDCSE20251110-01</t>
  </si>
  <si>
    <t>379185_OOS</t>
  </si>
  <si>
    <t>ELN 5019273176</t>
  </si>
  <si>
    <t>0006119537_4900</t>
  </si>
  <si>
    <t>HAPSDCDE20251110-01</t>
  </si>
  <si>
    <t>0006127358_4900</t>
  </si>
  <si>
    <t>470158 / 470157</t>
  </si>
  <si>
    <t>14/11/2025 13:00-13:00 / 14/11/2025 11:00-11:00</t>
  </si>
  <si>
    <t>540YJX</t>
  </si>
  <si>
    <t>HAPSDCFI20251107-02 / HAPSDCFI20251107-02</t>
  </si>
  <si>
    <t>5019364728 / 5019358987</t>
  </si>
  <si>
    <t>104ERS</t>
  </si>
  <si>
    <t>382159_OOS</t>
  </si>
  <si>
    <t>382135_OOS</t>
  </si>
  <si>
    <t>GR EXW_OOS</t>
  </si>
  <si>
    <t>Grrece Exw</t>
  </si>
  <si>
    <t>5019344356 19515152 5019360135 19520406</t>
  </si>
  <si>
    <t>road.MDC.transport@danone.com</t>
  </si>
  <si>
    <t>0006119622_4900</t>
  </si>
  <si>
    <t>HAPSDCSE20251110-02</t>
  </si>
  <si>
    <t>0006119615_4900</t>
  </si>
  <si>
    <t>10/11/2025 21:00-21:00</t>
  </si>
  <si>
    <t>MZ_438</t>
  </si>
  <si>
    <t>HAPSDCIT20251110-01</t>
  </si>
  <si>
    <t>NLJ_809</t>
  </si>
  <si>
    <t>Ahammed Kabeer Attiyakath</t>
  </si>
  <si>
    <t>0006129533_4900</t>
  </si>
  <si>
    <t>12/11/2025 09:00-09:00</t>
  </si>
  <si>
    <t>PZ_3N982</t>
  </si>
  <si>
    <t>HAPSDCAT20251110-02</t>
  </si>
  <si>
    <t>NIG_857</t>
  </si>
  <si>
    <t>Dastan Karypbekov</t>
  </si>
  <si>
    <t>0006119620_4900</t>
  </si>
  <si>
    <t>471481 / 467189</t>
  </si>
  <si>
    <t>14/11/2025 21:00-21:00</t>
  </si>
  <si>
    <t>KRA7919P</t>
  </si>
  <si>
    <t>HAPSDCPL20251110-03 / HAPSDCPL20251110-03</t>
  </si>
  <si>
    <t>5019365023 / 5019353189</t>
  </si>
  <si>
    <t>KRA037EV</t>
  </si>
  <si>
    <t xml:space="preserve">Gluzicki Tomasz </t>
  </si>
  <si>
    <t>0006119619_4900</t>
  </si>
  <si>
    <t>HAPSDCPL20251110-02</t>
  </si>
  <si>
    <t>0006119618_4900</t>
  </si>
  <si>
    <t>14/11/2025 04:00-04:00</t>
  </si>
  <si>
    <t>HAPSDCPL20251110-01</t>
  </si>
  <si>
    <t>OKR1CJ7</t>
  </si>
  <si>
    <t>CELMEROWSKI ANDRZEJ</t>
  </si>
  <si>
    <t>0006127473_4900</t>
  </si>
  <si>
    <t>21/11/2025 18:00-18:00</t>
  </si>
  <si>
    <t>HAPSDCUK20251111-03</t>
  </si>
  <si>
    <t>379574_OOS</t>
  </si>
  <si>
    <t>CN-SEA-6117525_OOS</t>
  </si>
  <si>
    <t>12/11/2025 00:01-00:01</t>
  </si>
  <si>
    <t>0006129150_4900</t>
  </si>
  <si>
    <t>13/11/2025 04:00-04:00</t>
  </si>
  <si>
    <t>KRA494PA</t>
  </si>
  <si>
    <t>HAPSDCPL20251111-03</t>
  </si>
  <si>
    <t>KN1482K</t>
  </si>
  <si>
    <t>Kacper Wawro</t>
  </si>
  <si>
    <t>382983_OOS</t>
  </si>
  <si>
    <t>379575_OOS</t>
  </si>
  <si>
    <t>CN-SEA-6117526_OOS</t>
  </si>
  <si>
    <t>5019267355 5019291494</t>
  </si>
  <si>
    <t>12/11/2025 00:02-00:02</t>
  </si>
  <si>
    <t>382180_OOS</t>
  </si>
  <si>
    <t>4505825971 &amp; 4505826001 LZV</t>
  </si>
  <si>
    <t>382848_OOS</t>
  </si>
  <si>
    <t>90016778   90029831</t>
  </si>
  <si>
    <t>cargo-csd@koopman.nl</t>
  </si>
  <si>
    <t>375294_OOS</t>
  </si>
  <si>
    <t>TW-SEA-6105670_OOS</t>
  </si>
  <si>
    <t>12/11/2025 00:03-00:03</t>
  </si>
  <si>
    <t>375499_OOS</t>
  </si>
  <si>
    <t>CN-SEA-6105655_OOS</t>
  </si>
  <si>
    <t>380375_OOS</t>
  </si>
  <si>
    <t>DN 5019342070 / 5019347481 / 5019343586</t>
  </si>
  <si>
    <t>SOUTH KOREA</t>
  </si>
  <si>
    <t>SRTMS183613</t>
  </si>
  <si>
    <t>0006127472_4900</t>
  </si>
  <si>
    <t>HAPSDCUK20251111-02</t>
  </si>
  <si>
    <t>375500_OOS</t>
  </si>
  <si>
    <t>CN-SEA-6105656_OOS</t>
  </si>
  <si>
    <t>375501_OOS</t>
  </si>
  <si>
    <t>CN-SEA-6105657_OOS</t>
  </si>
  <si>
    <t>380955_OOS</t>
  </si>
  <si>
    <t>CN AIR 5019378330 - 22P [BLOCK]</t>
  </si>
  <si>
    <t>0006119625_4900</t>
  </si>
  <si>
    <t>18/11/2025 15:00-15:00</t>
  </si>
  <si>
    <t>HAPSDCCZ20251111-01</t>
  </si>
  <si>
    <t>0006119624_4900</t>
  </si>
  <si>
    <t>472079 / 467161</t>
  </si>
  <si>
    <t>13/11/2025 08:30-08:30</t>
  </si>
  <si>
    <t>B801W</t>
  </si>
  <si>
    <t>HAPSDCCH20251111-01 / HAPSDCCH20251111-01</t>
  </si>
  <si>
    <t>5019378687 / 5019367983</t>
  </si>
  <si>
    <t>NW7799</t>
  </si>
  <si>
    <t>382890_OOS</t>
  </si>
  <si>
    <t>5019376114_OOS</t>
  </si>
  <si>
    <t>Order to ship 4 pallet with rejected cans for scrapping. Special instructions added: M20004 NBB</t>
  </si>
  <si>
    <t>12/11/2025 00:00-00:00</t>
  </si>
  <si>
    <t>380937_OOS</t>
  </si>
  <si>
    <t>MEA 5019264919</t>
  </si>
  <si>
    <t>380933_OOS</t>
  </si>
  <si>
    <t>MEA 5019200559 5019348361</t>
  </si>
  <si>
    <t>380554_OOS</t>
  </si>
  <si>
    <t xml:space="preserve">MEA 5019263716 5019325836 5019328158 5019335407 </t>
  </si>
  <si>
    <t>0006119629_4900</t>
  </si>
  <si>
    <t>13/11/2025 14:00-14:00</t>
  </si>
  <si>
    <t>HAPSDCES20251111-01</t>
  </si>
  <si>
    <t>0006127474_4900</t>
  </si>
  <si>
    <t>472333 / 470140</t>
  </si>
  <si>
    <t>HAPSDCUK20251111-04 / HAPSDCUK20251111-04</t>
  </si>
  <si>
    <t>5019380842 / 5019369104</t>
  </si>
  <si>
    <t>380944_OOS</t>
  </si>
  <si>
    <t>CN AIR 5019380088 - 22P [BLOCK]</t>
  </si>
  <si>
    <t>378843_OOS</t>
  </si>
  <si>
    <t>5019334255 + 5019334891</t>
  </si>
  <si>
    <t>0006127471_4900</t>
  </si>
  <si>
    <t>HAPSDCUK20251111-01</t>
  </si>
  <si>
    <t>381574_OOS</t>
  </si>
  <si>
    <t>AU 5019305358 (7PL - LINE 1191) NZ 5019317224   5019313858 (6PL - LINE 1192)</t>
  </si>
  <si>
    <t>12/11/2025 13:00-13:00</t>
  </si>
  <si>
    <t>380945_OOS</t>
  </si>
  <si>
    <t>CN AIR 5019380089 - 22P [BLOCK]</t>
  </si>
  <si>
    <t>380946_OOS</t>
  </si>
  <si>
    <t>CN AIR 5019375754 - 22P [BLOCK]</t>
  </si>
  <si>
    <t>12/11/2025 14:00-14:00</t>
  </si>
  <si>
    <t>381301_OOS</t>
  </si>
  <si>
    <t>5019345777    5019354133</t>
  </si>
  <si>
    <t>381629_OOS</t>
  </si>
  <si>
    <t>0006119628_4900</t>
  </si>
  <si>
    <t>HAPSDCDE20251111-03</t>
  </si>
  <si>
    <t>380947_OOS</t>
  </si>
  <si>
    <t>CN AIR 5019370539 - 22P [BLOCK]</t>
  </si>
  <si>
    <t>382438_OOS</t>
  </si>
  <si>
    <t>DN 5019342811</t>
  </si>
  <si>
    <t>0006119627_4900</t>
  </si>
  <si>
    <t>HAPSDCDE20251111-02</t>
  </si>
  <si>
    <t>0006119626_4900</t>
  </si>
  <si>
    <t>HAPSDCDE20251111-01</t>
  </si>
  <si>
    <t>380954_OOS</t>
  </si>
  <si>
    <t>CN AIR 5019371695 - 22P [BLOCK]</t>
  </si>
  <si>
    <t>0006119631_4900</t>
  </si>
  <si>
    <t>12/11/2025 07:30-07:30</t>
  </si>
  <si>
    <t>HAPSDCFR20251111-01</t>
  </si>
  <si>
    <t>0006119632_4900</t>
  </si>
  <si>
    <t>HAPSDCFR20251111-02</t>
  </si>
  <si>
    <t>0006119630_4900</t>
  </si>
  <si>
    <t>472189 / 467190</t>
  </si>
  <si>
    <t>14/11/2025 10:00-10:00</t>
  </si>
  <si>
    <t>HAPSDCES20251111-02 / HAPSDCES20251111-02</t>
  </si>
  <si>
    <t>5019358037 / 5019380121</t>
  </si>
  <si>
    <t>0006119633_4900</t>
  </si>
  <si>
    <t>472192 / 467157</t>
  </si>
  <si>
    <t>HAPSDCFR20251111-03 / HAPSDCFR20251111-03</t>
  </si>
  <si>
    <t>5019380401 / 5019364991</t>
  </si>
  <si>
    <t>0006119638_4900</t>
  </si>
  <si>
    <t>KRA251PH</t>
  </si>
  <si>
    <t>HAPSDCPL20251111-01</t>
  </si>
  <si>
    <t>WPR3423T</t>
  </si>
  <si>
    <t>Maciej Ba?ko</t>
  </si>
  <si>
    <t>0006131359_4900</t>
  </si>
  <si>
    <t>14/11/2025 08:00-08:00</t>
  </si>
  <si>
    <t>HAPSDCHU20251111-01</t>
  </si>
  <si>
    <t>0006119639_4900</t>
  </si>
  <si>
    <t>18/11/2025 21:00-21:00</t>
  </si>
  <si>
    <t>HAPSDCPL20251111-02</t>
  </si>
  <si>
    <t>0006119637_4900</t>
  </si>
  <si>
    <t>472086 / 467199</t>
  </si>
  <si>
    <t>18/11/2025 14:30-14:30</t>
  </si>
  <si>
    <t>HAPSDCLV20251111-01 / HAPSDCLV20251111-01</t>
  </si>
  <si>
    <t>5019376887 / 5019360396</t>
  </si>
  <si>
    <t>367275_OOS</t>
  </si>
  <si>
    <t>CN-SEA-6078299_OOS</t>
  </si>
  <si>
    <t xml:space="preserve">5019315598 5019323246 5019341771 </t>
  </si>
  <si>
    <t>13/11/2025 00:03-00:03</t>
  </si>
  <si>
    <t>0006127478_4900</t>
  </si>
  <si>
    <t>24/11/2025 23:00-23:00</t>
  </si>
  <si>
    <t>HAPSDCUK20251112-03</t>
  </si>
  <si>
    <t>369942_OOS</t>
  </si>
  <si>
    <t>CN-SEA-6087538_OOS</t>
  </si>
  <si>
    <t>13/11/2025 00:05-00:05</t>
  </si>
  <si>
    <t>382181_OOS</t>
  </si>
  <si>
    <t>4505827464 LZV</t>
  </si>
  <si>
    <t>13/11/2025 10:00-10:00</t>
  </si>
  <si>
    <t>383199_OOS</t>
  </si>
  <si>
    <t>0006119653_4900</t>
  </si>
  <si>
    <t>472532 / 467179</t>
  </si>
  <si>
    <t>19/11/2025 15:00-15:00</t>
  </si>
  <si>
    <t>HAPSDCNO20251112-01 / HAPSDCNO20251112-01</t>
  </si>
  <si>
    <t>5019376617 / 5017497021</t>
  </si>
  <si>
    <t>381465_OOS</t>
  </si>
  <si>
    <t>AU 5019335481</t>
  </si>
  <si>
    <t>381464_OOS</t>
  </si>
  <si>
    <t>AU 5019322945</t>
  </si>
  <si>
    <t>375137_OOS</t>
  </si>
  <si>
    <t>TH-SEA-6105669_OOS</t>
  </si>
  <si>
    <t xml:space="preserve">5019313237 + 5019314195 + 5019328137 </t>
  </si>
  <si>
    <t>13/11/2025 00:01-00:01</t>
  </si>
  <si>
    <t>382854_OOS</t>
  </si>
  <si>
    <t>13/11/2025 12:00-12:00</t>
  </si>
  <si>
    <t>381468_OOS</t>
  </si>
  <si>
    <t>AU 5019324573</t>
  </si>
  <si>
    <t>380555_OOS</t>
  </si>
  <si>
    <t>MEA 5019326788</t>
  </si>
  <si>
    <t>382191_OOS</t>
  </si>
  <si>
    <t>MEA 5019334372 5019330625 5019330071 5019348799</t>
  </si>
  <si>
    <t>0006119651_4900</t>
  </si>
  <si>
    <t>19/11/2025 16:00-16:00</t>
  </si>
  <si>
    <t>HAPSDCIE20251112-01</t>
  </si>
  <si>
    <t>375502_OOS</t>
  </si>
  <si>
    <t>CN-SEA-6105660_OOS</t>
  </si>
  <si>
    <t>375503_OOS</t>
  </si>
  <si>
    <t>CN-SEA-6105661_OOS</t>
  </si>
  <si>
    <t>13/11/2025 00:02-00:02</t>
  </si>
  <si>
    <t>375295_OOS</t>
  </si>
  <si>
    <t>TW-SEA-6105671_OOS</t>
  </si>
  <si>
    <t xml:space="preserve">5019286302 5019300997 </t>
  </si>
  <si>
    <t>380556_OOS</t>
  </si>
  <si>
    <t>MEA 5019345805</t>
  </si>
  <si>
    <t>0006127477_4900</t>
  </si>
  <si>
    <t>HAPSDCUK20251112-02</t>
  </si>
  <si>
    <t>382196_OOS</t>
  </si>
  <si>
    <t>MEA 5019260951 5019344733 5019360965 5019338354 5019344196 5019361127</t>
  </si>
  <si>
    <t>381577_OOS</t>
  </si>
  <si>
    <t>Scanway Solutions</t>
  </si>
  <si>
    <t>scanway@scanway.ee</t>
  </si>
  <si>
    <t>369894_OOS</t>
  </si>
  <si>
    <t>CN-SEA-6087535_OOS</t>
  </si>
  <si>
    <t>0006127476_4900</t>
  </si>
  <si>
    <t>13/11/2025 17:00-17:00</t>
  </si>
  <si>
    <t>WGM_80187</t>
  </si>
  <si>
    <t>HAPSDCUK20251112-01</t>
  </si>
  <si>
    <t>WGM_5797N</t>
  </si>
  <si>
    <t>Alena Salauyova</t>
  </si>
  <si>
    <t>377995_OOS</t>
  </si>
  <si>
    <t>CN-SEA-6115288_OOS</t>
  </si>
  <si>
    <t>378844_OOS</t>
  </si>
  <si>
    <t>0006119654_4900</t>
  </si>
  <si>
    <t>HAPSDCPL20251112-01</t>
  </si>
  <si>
    <t>SOBOLEWSKI DARIUSZ</t>
  </si>
  <si>
    <t>380934_OOS</t>
  </si>
  <si>
    <t>MEA 5019298122 5019345804</t>
  </si>
  <si>
    <t>380952_OOS</t>
  </si>
  <si>
    <t>CN AIR 5019371694 - 22P [BLOCK]</t>
  </si>
  <si>
    <t>381469_OOS</t>
  </si>
  <si>
    <t>AU 5019322946</t>
  </si>
  <si>
    <t>380936_OOS</t>
  </si>
  <si>
    <t>MEA 5019339430 5019335030</t>
  </si>
  <si>
    <t>0006119642_4900</t>
  </si>
  <si>
    <t>HAPSDCDE20251112-01</t>
  </si>
  <si>
    <t>0006134006_4900</t>
  </si>
  <si>
    <t>472636 / 472635 / 472634 / 472633</t>
  </si>
  <si>
    <t>ZAGR - HR Zagreb / LJUB - SI Ljubljana / LJUB - SI Ljubljana / LJUB - SI Ljubljana</t>
  </si>
  <si>
    <t>14/11/2025 15:00-15:00 / 13/11/2025 16:00-16:00</t>
  </si>
  <si>
    <t>NM-HR-682</t>
  </si>
  <si>
    <t>HAPSDCBG20251112-01 / HAPSDCBG20251112-01 / HAPSDCBG20251112-01 / HAPSDCBG20251112-01</t>
  </si>
  <si>
    <t>5019375832 / 5019393847 / 5019355262 / 5019350000</t>
  </si>
  <si>
    <t xml:space="preserve">NM-KR-088 </t>
  </si>
  <si>
    <t>Alen Demirovi?</t>
  </si>
  <si>
    <t>0006119700_4900</t>
  </si>
  <si>
    <t>18/11/2025 12:00-12:00</t>
  </si>
  <si>
    <t>HAPSDCFI20251114-01</t>
  </si>
  <si>
    <t>383145_OOS</t>
  </si>
  <si>
    <t>90014991 (PO 17294717)</t>
  </si>
  <si>
    <t>382162_OOS</t>
  </si>
  <si>
    <t>0006119643_4900</t>
  </si>
  <si>
    <t>HAPSDCDE20251112-02</t>
  </si>
  <si>
    <t>0006119649_4900</t>
  </si>
  <si>
    <t>13/11/2025 13:30-13:30</t>
  </si>
  <si>
    <t>HAPSDCFR20251112-03</t>
  </si>
  <si>
    <t>0006119650_4900</t>
  </si>
  <si>
    <t>467155 / 467156</t>
  </si>
  <si>
    <t>17/11/2025 09:00-09:00 / 14/11/2025 12:00-12:00</t>
  </si>
  <si>
    <t>HAPSDCHU20251112-01 / HAPSDCHU20251112-01</t>
  </si>
  <si>
    <t>5019364475 / 5019372979</t>
  </si>
  <si>
    <t>0006128905_4900</t>
  </si>
  <si>
    <t>19/11/2025 12:00-12:00</t>
  </si>
  <si>
    <t>UIT: 7E7U824201730172</t>
  </si>
  <si>
    <t>0006129241_4900</t>
  </si>
  <si>
    <t>14/11/2025 11:00-11:00</t>
  </si>
  <si>
    <t>PZ_4U268</t>
  </si>
  <si>
    <t>HAPSDCPL20251112-03</t>
  </si>
  <si>
    <t>MOS_359</t>
  </si>
  <si>
    <t>Kostiantyn Ponomarenko</t>
  </si>
  <si>
    <t>0006119640_4900</t>
  </si>
  <si>
    <t>472542 / 472541 / 467160</t>
  </si>
  <si>
    <t>PUCH - AT Puch / PUCH - AT Puch / PUCH - AT Puch</t>
  </si>
  <si>
    <t>14/11/2025 07:00-07:00</t>
  </si>
  <si>
    <t>HAPSDCAT20251112-01 / HAPSDCAT20251112-01 / HAPSDCAT20251112-01</t>
  </si>
  <si>
    <t>5019394160 / 5019373119 / 5019373118</t>
  </si>
  <si>
    <t>0006119655_4900</t>
  </si>
  <si>
    <t>KRA8993P</t>
  </si>
  <si>
    <t>HAPSDCPL20251112-02</t>
  </si>
  <si>
    <t>KRA669EA</t>
  </si>
  <si>
    <t>Szymon Kegler</t>
  </si>
  <si>
    <t>375506_OOS</t>
  </si>
  <si>
    <t>CN-SEA-6105664_OOS</t>
  </si>
  <si>
    <t>14/11/2025 00:03-00:03</t>
  </si>
  <si>
    <t>0006127484_4900</t>
  </si>
  <si>
    <t>24/11/2025 18:00-18:00</t>
  </si>
  <si>
    <t>HAPSDCUK20251113-04</t>
  </si>
  <si>
    <t>0006127482_4900</t>
  </si>
  <si>
    <t>HAPSDCUK20251113-02</t>
  </si>
  <si>
    <t>383585_OOS</t>
  </si>
  <si>
    <t>14/11/2025 15:00-15:00</t>
  </si>
  <si>
    <t>375504_OOS</t>
  </si>
  <si>
    <t>CN-SEA-6105662_OOS</t>
  </si>
  <si>
    <t>14/11/2025 00:02-00:02</t>
  </si>
  <si>
    <t>380949_OOS</t>
  </si>
  <si>
    <t>CN 5019378329 (13PL)</t>
  </si>
  <si>
    <t>383554_OOS</t>
  </si>
  <si>
    <t>4505828722 &amp; 5019406251 LZV</t>
  </si>
  <si>
    <t>375105_OOS</t>
  </si>
  <si>
    <t>AU-SEA-6105619_OOS</t>
  </si>
  <si>
    <t>14/11/2025 00:01-00:01</t>
  </si>
  <si>
    <t>375505_OOS</t>
  </si>
  <si>
    <t>CN-SEA-6105663_OOS</t>
  </si>
  <si>
    <t>378237_OOS</t>
  </si>
  <si>
    <t>CN 5019377066</t>
  </si>
  <si>
    <t>378238_OOS</t>
  </si>
  <si>
    <t>CN 5019377067</t>
  </si>
  <si>
    <t>0006119686_4900</t>
  </si>
  <si>
    <t>20/11/2025 15:00-15:00</t>
  </si>
  <si>
    <t>HAPSDCNO20251113-01</t>
  </si>
  <si>
    <t>380557_OOS</t>
  </si>
  <si>
    <t>MEA 5019334607 5019334583 5019335390 5019339876</t>
  </si>
  <si>
    <t>383206_OOS</t>
  </si>
  <si>
    <t>AIR - EC_OOS / AIR - MX_OOS / AIR - KR_OOS</t>
  </si>
  <si>
    <t>5019306730 (6 PLT) EC 5019319181 (3 PLT) MX</t>
  </si>
  <si>
    <t>14/11/2025 12:00-12:00</t>
  </si>
  <si>
    <t>383140_OOS</t>
  </si>
  <si>
    <t>CN 5019397206</t>
  </si>
  <si>
    <t>380558_OOS</t>
  </si>
  <si>
    <t>MEA 5019327196</t>
  </si>
  <si>
    <t>378240_OOS</t>
  </si>
  <si>
    <t>CN 5019377069</t>
  </si>
  <si>
    <t>378239_OOS</t>
  </si>
  <si>
    <t>CN 5019377068</t>
  </si>
  <si>
    <t>375106_OOS</t>
  </si>
  <si>
    <t>AU-SEA-6105620_OOS</t>
  </si>
  <si>
    <t>378845_OOS</t>
  </si>
  <si>
    <t>5019351302 + 5019351303</t>
  </si>
  <si>
    <t>0006119689_4900</t>
  </si>
  <si>
    <t>472706 / 467214</t>
  </si>
  <si>
    <t>17/11/2025 12:00-12:00</t>
  </si>
  <si>
    <t>HAPSDCPT20251113-02 / HAPSDCPT20251113-02</t>
  </si>
  <si>
    <t>5019376395 / 5019392331</t>
  </si>
  <si>
    <t>375107_OOS</t>
  </si>
  <si>
    <t>AU-SEA-6105651_OOS</t>
  </si>
  <si>
    <t>383438_OOS</t>
  </si>
  <si>
    <t>IL-AIR_OOS</t>
  </si>
  <si>
    <t>lggdsexp.log@challenge-group.com</t>
  </si>
  <si>
    <t>EL8H133</t>
  </si>
  <si>
    <t>Grzegorz Parnowski</t>
  </si>
  <si>
    <t>379493_OOS</t>
  </si>
  <si>
    <t>CO-SEA-6087540_OOS</t>
  </si>
  <si>
    <t>0006127481_4900</t>
  </si>
  <si>
    <t>17/11/2025 10:00-10:00</t>
  </si>
  <si>
    <t>HAPSDCUK20251113-01</t>
  </si>
  <si>
    <t>370430_OOS</t>
  </si>
  <si>
    <t>CO-SEA-6087541_OOS</t>
  </si>
  <si>
    <t>383061_OOS</t>
  </si>
  <si>
    <t>AIR - CN_OOS</t>
  </si>
  <si>
    <t>0006132801_4900</t>
  </si>
  <si>
    <t>18/11/2025 23:00-23:00</t>
  </si>
  <si>
    <t>HAPSDCPL20251113-03</t>
  </si>
  <si>
    <t>383198_OOS</t>
  </si>
  <si>
    <t>MEA 5019393045</t>
  </si>
  <si>
    <t>383405_OOS</t>
  </si>
  <si>
    <t>CO - AIR_OOS</t>
  </si>
  <si>
    <t>CO AIR 5019298146 5019313528 5019306716 5019344730</t>
  </si>
  <si>
    <t>380948_OOS</t>
  </si>
  <si>
    <t>CN AIR 5019375755 - 22P [BLOCK]</t>
  </si>
  <si>
    <t>378846_OOS</t>
  </si>
  <si>
    <t>5019237659 + 5019325639 + 5019346828</t>
  </si>
  <si>
    <t>380950_OOS</t>
  </si>
  <si>
    <t>CN AIR 5019355394 -22P [BLOCK]</t>
  </si>
  <si>
    <t>14/11/2025 16:00-16:00</t>
  </si>
  <si>
    <t>0006132846_4900</t>
  </si>
  <si>
    <t>472711 / 472282</t>
  </si>
  <si>
    <t>19/11/2025 08:00-08:00</t>
  </si>
  <si>
    <t>KRA8995P</t>
  </si>
  <si>
    <t>HAPSDCPL20251113-04 / HAPSDCPL20251113-04</t>
  </si>
  <si>
    <t>5019381743 / 5019381745</t>
  </si>
  <si>
    <t>KN1480K</t>
  </si>
  <si>
    <t xml:space="preserve">Skrok Robert </t>
  </si>
  <si>
    <t>0006119646_4900</t>
  </si>
  <si>
    <t>472707 / 467168</t>
  </si>
  <si>
    <t>17/11/2025 09:00-09:00</t>
  </si>
  <si>
    <t>HAPSDCES20251112-01 / HAPSDCES20251112-01</t>
  </si>
  <si>
    <t>5019392699 / 5019376397</t>
  </si>
  <si>
    <t>0006119659_4900</t>
  </si>
  <si>
    <t>472708 / 467237</t>
  </si>
  <si>
    <t>ALZE - DE Alzenau / ALZE - DE Alzenau</t>
  </si>
  <si>
    <t>HAPSDCDE20251113-03 / HAPSDCDE20251113-03</t>
  </si>
  <si>
    <t>5019392681 / 5019391210</t>
  </si>
  <si>
    <t>0006119687_4900</t>
  </si>
  <si>
    <t>472709 / 467218</t>
  </si>
  <si>
    <t>16/11/2025 23:00-23:00</t>
  </si>
  <si>
    <t>HAPSDCPL20251113-01 / HAPSDCPL20251113-01</t>
  </si>
  <si>
    <t>5019376306 / 5019391369</t>
  </si>
  <si>
    <t xml:space="preserve">WPR0415U </t>
  </si>
  <si>
    <t xml:space="preserve">Tryka Janusz </t>
  </si>
  <si>
    <t>0006119656_4900</t>
  </si>
  <si>
    <t>PZ_097XW</t>
  </si>
  <si>
    <t>HAPSDCBE20251113-01</t>
  </si>
  <si>
    <t>PZ_5R136</t>
  </si>
  <si>
    <t>Aliaksandr Anishchyk</t>
  </si>
  <si>
    <t>0006119660_4900</t>
  </si>
  <si>
    <t>17/11/2025 08:00-08:00</t>
  </si>
  <si>
    <t>R4643BBW</t>
  </si>
  <si>
    <t>HAPSDCES20251113-01</t>
  </si>
  <si>
    <t>8864LKR</t>
  </si>
  <si>
    <t>Cristian Ilie</t>
  </si>
  <si>
    <t>0006132750_4900</t>
  </si>
  <si>
    <t>17/11/2025 11:00-11:00</t>
  </si>
  <si>
    <t>JY_213</t>
  </si>
  <si>
    <t>HAPSDCPL20251113-02</t>
  </si>
  <si>
    <t>PZ_3R488</t>
  </si>
  <si>
    <t>Andrei Kuzniatsou</t>
  </si>
  <si>
    <t>0006119685_4900</t>
  </si>
  <si>
    <t>19/11/2025 09:00-09:00</t>
  </si>
  <si>
    <t>HAPSDCIT20251113-01</t>
  </si>
  <si>
    <t>0006119690_4900</t>
  </si>
  <si>
    <t>472710 / 467236</t>
  </si>
  <si>
    <t>HAPSDCSE20251113-01 / HAPSDCSE20251113-01</t>
  </si>
  <si>
    <t>5019387868 / 5019391234</t>
  </si>
  <si>
    <t>0006119683_4900</t>
  </si>
  <si>
    <t>14/11/2025 09:00-09:00</t>
  </si>
  <si>
    <t>HAPSDCFR20251113-03</t>
  </si>
  <si>
    <t>0006127487_4900</t>
  </si>
  <si>
    <t>HAPSDCUK20251114-02</t>
  </si>
  <si>
    <t>377697_OOS</t>
  </si>
  <si>
    <t>AU-SEA-6115227_OOS</t>
  </si>
  <si>
    <t>15/11/2025 00:01-00:01</t>
  </si>
  <si>
    <t>384346_OOS</t>
  </si>
  <si>
    <t>15/11/2025 15:00-15:00</t>
  </si>
  <si>
    <t>377701_OOS</t>
  </si>
  <si>
    <t>AU-SEA-6115228_OOS</t>
  </si>
  <si>
    <t>382415_OOS</t>
  </si>
  <si>
    <t>SV - AIR_OOS</t>
  </si>
  <si>
    <t>DN 5019243652  (1 PLT)</t>
  </si>
  <si>
    <t>15/11/2025 09:00-09:00</t>
  </si>
  <si>
    <t>377702_OOS</t>
  </si>
  <si>
    <t>AU-SEA-6115229_OOS</t>
  </si>
  <si>
    <t xml:space="preserve">5019345211 5019343692 </t>
  </si>
  <si>
    <t>362333_OOS</t>
  </si>
  <si>
    <t>US-SEA-6058471_OOS</t>
  </si>
  <si>
    <t>15/11/2025 00:04-00:04</t>
  </si>
  <si>
    <t>0006119722_4900</t>
  </si>
  <si>
    <t>21/11/2025 22:00-22:00</t>
  </si>
  <si>
    <t>HAPSDCIE20251114-01</t>
  </si>
  <si>
    <t>382473_OOS</t>
  </si>
  <si>
    <t>90016673 (PO 17294714)</t>
  </si>
  <si>
    <t>15/11/2025 12:00-12:00</t>
  </si>
  <si>
    <t>0006119723_4900</t>
  </si>
  <si>
    <t>21/11/2025 23:00-23:00</t>
  </si>
  <si>
    <t>HAPSDCIE20251114-02</t>
  </si>
  <si>
    <t>384196_OOS</t>
  </si>
  <si>
    <t>5019416852_OOS</t>
  </si>
  <si>
    <t>Order to ship 4 rejected pallets for scrapping. Special instructions added: M20004 NBB</t>
  </si>
  <si>
    <t>15/11/2025 00:00-00:00</t>
  </si>
  <si>
    <t>378245_OOS</t>
  </si>
  <si>
    <t>CN 5019388369</t>
  </si>
  <si>
    <t>15/11/2025 10:00-10:00</t>
  </si>
  <si>
    <t>378246_OOS</t>
  </si>
  <si>
    <t>CN 5019380358</t>
  </si>
  <si>
    <t>0006127488_4900</t>
  </si>
  <si>
    <t>HAPSDCUK20251114-03</t>
  </si>
  <si>
    <t>0006119693_4900</t>
  </si>
  <si>
    <t>18/11/2025 06:00-06:00</t>
  </si>
  <si>
    <t>HAPSDCCZ20251114-01</t>
  </si>
  <si>
    <t>0006127489_4900</t>
  </si>
  <si>
    <t>HAPSDCUK20251114-04</t>
  </si>
  <si>
    <t>383375_OOS</t>
  </si>
  <si>
    <t>CN - AIR_OOS</t>
  </si>
  <si>
    <t>CN 5019409321</t>
  </si>
  <si>
    <t>15/11/2025 14:00-14:00</t>
  </si>
  <si>
    <t>381221_OOS</t>
  </si>
  <si>
    <t>378247_OOS</t>
  </si>
  <si>
    <t>CN 5019391061</t>
  </si>
  <si>
    <t>383194_OOS</t>
  </si>
  <si>
    <t>0090029432_OOS</t>
  </si>
  <si>
    <t>8 scraporders to load to Denkavit for scrapping: 0090029432 ? 0090031654 ? 0090029767 ? 0090028744 ? 0090029768 ? 0090029395 ? 0090029211 - 0090029313 Special instructions added: M20004 M11138 NBB/YBB</t>
  </si>
  <si>
    <t>378840_OOS</t>
  </si>
  <si>
    <t>383208_OOS</t>
  </si>
  <si>
    <t>CN 5019378488</t>
  </si>
  <si>
    <t>0006127486_4900</t>
  </si>
  <si>
    <t>PZ_3V686</t>
  </si>
  <si>
    <t>HAPSDCUK20251114-01</t>
  </si>
  <si>
    <t>NNZ_579</t>
  </si>
  <si>
    <t>Viacheslav Shmat</t>
  </si>
  <si>
    <t>0006127490_4900</t>
  </si>
  <si>
    <t>HAPSDCUK20251114-05</t>
  </si>
  <si>
    <t>0006119695_4900</t>
  </si>
  <si>
    <t>21/11/2025 06:00-06:00</t>
  </si>
  <si>
    <t>HAPSDCDE20251114-01</t>
  </si>
  <si>
    <t>383743_OOS</t>
  </si>
  <si>
    <t>Cleve</t>
  </si>
  <si>
    <t>end-americas@cleve.nl</t>
  </si>
  <si>
    <t>378841_OOS</t>
  </si>
  <si>
    <t>380951_OOS</t>
  </si>
  <si>
    <t>CN AIR 5019367473 - 22P [BLOCK]</t>
  </si>
  <si>
    <t>15/11/2025 13:00-13:00</t>
  </si>
  <si>
    <t>382474_OOS</t>
  </si>
  <si>
    <t>90014396 + 90012230 (PO 17294715)</t>
  </si>
  <si>
    <t>380957_OOS</t>
  </si>
  <si>
    <t>CN AIR 5019381563 - 6P [BLOCK]</t>
  </si>
  <si>
    <t>382933_OOS</t>
  </si>
  <si>
    <t>0006119694_4900</t>
  </si>
  <si>
    <t>18/11/2025 10:00-10:00</t>
  </si>
  <si>
    <t>HAPSDCCZ20251114-02</t>
  </si>
  <si>
    <t>383141_OOS</t>
  </si>
  <si>
    <t>CN 5019397207</t>
  </si>
  <si>
    <t>380953_OOS</t>
  </si>
  <si>
    <t>CN AIR 5019365139 - 22P [BLOCK]</t>
  </si>
  <si>
    <t>15/11/2025 16:00-16:00</t>
  </si>
  <si>
    <t>0006119728_4900</t>
  </si>
  <si>
    <t>473285 / 467229</t>
  </si>
  <si>
    <t>HAPSDCSE20251114-01 / HAPSDCSE20251114-01</t>
  </si>
  <si>
    <t>5019406764 / 5019400266</t>
  </si>
  <si>
    <t>382167_OOS</t>
  </si>
  <si>
    <t>0006119696_4900</t>
  </si>
  <si>
    <t>HAPSDCDE20251114-02</t>
  </si>
  <si>
    <t>0006119721_4900</t>
  </si>
  <si>
    <t>HAPSDCHU20251114-01</t>
  </si>
  <si>
    <t>0006119699_4900</t>
  </si>
  <si>
    <t>17/11/2025 14:00-14:00</t>
  </si>
  <si>
    <t>HAPSDCES20251114-02</t>
  </si>
  <si>
    <t>380956_OOS</t>
  </si>
  <si>
    <t>CN AIR 5019376331 - 22P [BLOCK]</t>
  </si>
  <si>
    <t>15/11/2025 17:00-17:00</t>
  </si>
  <si>
    <t>0006119726_4900</t>
  </si>
  <si>
    <t>473287 / 473286 / 467239</t>
  </si>
  <si>
    <t>HAPSDCPL20251114-01 / HAPSDCPL20251114-01 / HAPSDCPL20251114-01</t>
  </si>
  <si>
    <t>5019409324 / 5019409082 / 5019399591</t>
  </si>
  <si>
    <t>0006119652_4900</t>
  </si>
  <si>
    <t>17/11/2025 20:00-20:00</t>
  </si>
  <si>
    <t>PZ_4N309</t>
  </si>
  <si>
    <t>HAPSDCIT20251112-01</t>
  </si>
  <si>
    <t>MJG_678</t>
  </si>
  <si>
    <t>Ravzatullo Nematzoda</t>
  </si>
  <si>
    <t>0006119724_4900</t>
  </si>
  <si>
    <t>467219 / 472905</t>
  </si>
  <si>
    <t>21/11/2025 22:00-22:00 / 21/11/2025 18:30-18:30</t>
  </si>
  <si>
    <t>HAPSDCIT20251114-01 / HAPSDCIT20251114-01</t>
  </si>
  <si>
    <t>5019406769 / 5019410042</t>
  </si>
  <si>
    <t>0006119727_4900</t>
  </si>
  <si>
    <t>HAPSDCPL20251114-02</t>
  </si>
  <si>
    <t>MJA_712</t>
  </si>
  <si>
    <t>Jalil Kamran</t>
  </si>
  <si>
    <t>0006131675_4900</t>
  </si>
  <si>
    <t>21/11/2025 10:00-10:00</t>
  </si>
  <si>
    <t>1QDW984</t>
  </si>
  <si>
    <t>HAPSDCIT20251114-02</t>
  </si>
  <si>
    <t>MDD 865</t>
  </si>
  <si>
    <t>ARJUN SUNI PULINKUNNU   Shins Joseph</t>
  </si>
  <si>
    <t>384998_OOS</t>
  </si>
  <si>
    <t>Year</t>
  </si>
  <si>
    <t>Month</t>
  </si>
  <si>
    <t>Week</t>
  </si>
  <si>
    <t>Date</t>
  </si>
  <si>
    <t>(blank)</t>
  </si>
  <si>
    <t>Grand Total</t>
  </si>
  <si>
    <t>Count of OrderID</t>
  </si>
  <si>
    <t>Forecast</t>
  </si>
  <si>
    <t>Europe</t>
  </si>
  <si>
    <t>Export</t>
  </si>
  <si>
    <t>Actual Gross</t>
  </si>
  <si>
    <t>Actual Net</t>
  </si>
  <si>
    <t>Forecast accuracy</t>
  </si>
  <si>
    <t>Hour</t>
  </si>
  <si>
    <t>Total pal</t>
    <phoneticPr fontId="18" type="noConversion"/>
  </si>
  <si>
    <t>Amount</t>
    <phoneticPr fontId="18" type="noConversion"/>
  </si>
  <si>
    <t>time</t>
    <phoneticPr fontId="18" type="noConversion"/>
  </si>
  <si>
    <t>total pal</t>
    <phoneticPr fontId="18" type="noConversion"/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</si>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</sst>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9" fontId="0" fillId="0" borderId="0" xfId="0" applyNumberFormat="1"/>
    <xf numFmtId="21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pal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'Slot Capacity'!$AQ$2:$AQ$19</c:f>
              <c:numCache>
                <c:formatCode>h:mm:ss</c:formatCode>
                <c:ptCount val="18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0.70833333333333404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0.83333333333333404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0.95833333333333404</c:v>
                </c:pt>
              </c:numCache>
            </c:numRef>
          </c:cat>
          <c:val>
            <c:numRef>
              <c:f>'Slot Capacity'!$AR$2:$AR$19</c:f>
              <c:numCache>
                <c:formatCode>General</c:formatCode>
                <c:ptCount val="18"/>
                <c:pt idx="0">
                  <c:v>2051</c:v>
                </c:pt>
                <c:pt idx="1">
                  <c:v>2407</c:v>
                </c:pt>
                <c:pt idx="2">
                  <c:v>2618</c:v>
                </c:pt>
                <c:pt idx="3">
                  <c:v>2830</c:v>
                </c:pt>
                <c:pt idx="4">
                  <c:v>7363</c:v>
                </c:pt>
                <c:pt idx="5">
                  <c:v>3668</c:v>
                </c:pt>
                <c:pt idx="6">
                  <c:v>4126</c:v>
                </c:pt>
                <c:pt idx="7">
                  <c:v>6214</c:v>
                </c:pt>
                <c:pt idx="8">
                  <c:v>2806</c:v>
                </c:pt>
                <c:pt idx="9">
                  <c:v>2735</c:v>
                </c:pt>
                <c:pt idx="10">
                  <c:v>7562</c:v>
                </c:pt>
                <c:pt idx="11">
                  <c:v>3816</c:v>
                </c:pt>
                <c:pt idx="12">
                  <c:v>3816</c:v>
                </c:pt>
                <c:pt idx="13">
                  <c:v>4872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0-4846-8369-B1EA52B45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overlap val="-30"/>
        <c:axId val="1739768880"/>
        <c:axId val="1739771280"/>
      </c:barChart>
      <c:catAx>
        <c:axId val="173976888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9771280"/>
        <c:crosses val="autoZero"/>
        <c:auto val="1"/>
        <c:lblAlgn val="ctr"/>
        <c:lblOffset val="100"/>
        <c:noMultiLvlLbl val="0"/>
      </c:catAx>
      <c:valAx>
        <c:axId val="17397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97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Order Amount by hour</a:t>
            </a:r>
          </a:p>
          <a:p>
            <a:pPr>
              <a:defRPr/>
            </a:pP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'Slot Capacity'!$AQ$1:$AQ$19</c:f>
              <c:strCache>
                <c:ptCount val="19"/>
                <c:pt idx="0">
                  <c:v>time</c:v>
                </c:pt>
                <c:pt idx="1">
                  <c:v>6:00:00</c:v>
                </c:pt>
                <c:pt idx="2">
                  <c:v>7:00:00</c:v>
                </c:pt>
                <c:pt idx="3">
                  <c:v>8:00:00</c:v>
                </c:pt>
                <c:pt idx="4">
                  <c:v>9:00:00</c:v>
                </c:pt>
                <c:pt idx="5">
                  <c:v>10:00:00</c:v>
                </c:pt>
                <c:pt idx="6">
                  <c:v>11:00:00</c:v>
                </c:pt>
                <c:pt idx="7">
                  <c:v>12:00:00</c:v>
                </c:pt>
                <c:pt idx="8">
                  <c:v>13:00:00</c:v>
                </c:pt>
                <c:pt idx="9">
                  <c:v>14:00:00</c:v>
                </c:pt>
                <c:pt idx="10">
                  <c:v>15:00:00</c:v>
                </c:pt>
                <c:pt idx="11">
                  <c:v>16:00:00</c:v>
                </c:pt>
                <c:pt idx="12">
                  <c:v>17:00:00</c:v>
                </c:pt>
                <c:pt idx="13">
                  <c:v>18:00:00</c:v>
                </c:pt>
                <c:pt idx="14">
                  <c:v>19:00:00</c:v>
                </c:pt>
                <c:pt idx="15">
                  <c:v>20:00:00</c:v>
                </c:pt>
                <c:pt idx="16">
                  <c:v>21:00:00</c:v>
                </c:pt>
                <c:pt idx="17">
                  <c:v>22:00:00</c:v>
                </c:pt>
                <c:pt idx="18">
                  <c:v>23:00:00</c:v>
                </c:pt>
              </c:strCache>
            </c:strRef>
          </c:cat>
          <c:val>
            <c:numRef>
              <c:f>'Slot Capacity'!$AT$1:$AT$19</c:f>
              <c:numCache>
                <c:formatCode>General</c:formatCode>
                <c:ptCount val="19"/>
                <c:pt idx="0">
                  <c:v>0</c:v>
                </c:pt>
                <c:pt idx="1">
                  <c:v>65</c:v>
                </c:pt>
                <c:pt idx="2">
                  <c:v>101</c:v>
                </c:pt>
                <c:pt idx="3">
                  <c:v>99</c:v>
                </c:pt>
                <c:pt idx="4">
                  <c:v>100</c:v>
                </c:pt>
                <c:pt idx="5">
                  <c:v>265</c:v>
                </c:pt>
                <c:pt idx="6">
                  <c:v>138</c:v>
                </c:pt>
                <c:pt idx="7">
                  <c:v>125</c:v>
                </c:pt>
                <c:pt idx="8">
                  <c:v>235</c:v>
                </c:pt>
                <c:pt idx="9">
                  <c:v>113</c:v>
                </c:pt>
                <c:pt idx="10">
                  <c:v>98</c:v>
                </c:pt>
                <c:pt idx="11">
                  <c:v>204</c:v>
                </c:pt>
                <c:pt idx="12">
                  <c:v>85</c:v>
                </c:pt>
                <c:pt idx="13">
                  <c:v>85</c:v>
                </c:pt>
                <c:pt idx="14">
                  <c:v>107</c:v>
                </c:pt>
                <c:pt idx="15">
                  <c:v>0</c:v>
                </c:pt>
                <c:pt idx="16">
                  <c:v>0</c:v>
                </c:pt>
                <c:pt idx="17">
                  <c:v>7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5-43E6-87E5-8105E2657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09969471"/>
        <c:axId val="109968031"/>
      </c:barChart>
      <c:catAx>
        <c:axId val="10996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968031"/>
        <c:crosses val="autoZero"/>
        <c:auto val="1"/>
        <c:lblAlgn val="ctr"/>
        <c:lblOffset val="100"/>
        <c:noMultiLvlLbl val="0"/>
      </c:catAx>
      <c:valAx>
        <c:axId val="10996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96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等线" panose="02010600030101010101" pitchFamily="2" charset="-122"/>
              </a:rPr>
              <a:t>order amount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等线" panose="02010600030101010101" pitchFamily="2" charset="-122"/>
            </a:endParaRPr>
          </a:p>
        </cx:rich>
      </cx:tx>
    </cx:title>
    <cx:plotArea>
      <cx:plotAreaRegion>
        <cx:series layoutId="clusteredColumn" uniqueId="{E9679EAD-6939-4163-8AA5-6D6770480B42}">
          <cx:tx>
            <cx:txData>
              <cx:f>_xlchart.v1.0</cx:f>
              <cx:v>Hour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472655</xdr:colOff>
      <xdr:row>3</xdr:row>
      <xdr:rowOff>174314</xdr:rowOff>
    </xdr:from>
    <xdr:to>
      <xdr:col>73</xdr:col>
      <xdr:colOff>340171</xdr:colOff>
      <xdr:row>41</xdr:row>
      <xdr:rowOff>134482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255563B5-AAB5-4465-BE8D-E62D11C251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10305" y="717239"/>
              <a:ext cx="10154516" cy="6837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47</xdr:col>
      <xdr:colOff>133350</xdr:colOff>
      <xdr:row>4</xdr:row>
      <xdr:rowOff>19051</xdr:rowOff>
    </xdr:from>
    <xdr:to>
      <xdr:col>58</xdr:col>
      <xdr:colOff>95250</xdr:colOff>
      <xdr:row>28</xdr:row>
      <xdr:rowOff>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03AAA2B-8E37-10E1-9558-734185590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628650</xdr:colOff>
      <xdr:row>5</xdr:row>
      <xdr:rowOff>76199</xdr:rowOff>
    </xdr:from>
    <xdr:to>
      <xdr:col>45</xdr:col>
      <xdr:colOff>581025</xdr:colOff>
      <xdr:row>29</xdr:row>
      <xdr:rowOff>66674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7A589E0-3B80-961D-4923-5FAAC1948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 Minghao" refreshedDate="45979.435001388891" createdVersion="8" refreshedVersion="8" minRefreshableVersion="3" recordCount="1492" xr:uid="{8875ABF4-69C1-4C5D-8D66-26D2DBDC65C3}">
  <cacheSource type="worksheet">
    <worksheetSource ref="A1:AN1048576" sheet="Slot Capacity"/>
  </cacheSource>
  <cacheFields count="42">
    <cacheField name="Year" numFmtId="0">
      <sharedItems containsString="0" containsBlank="1" containsNumber="1" containsInteger="1" minValue="2025" maxValue="2025" count="2">
        <n v="2025"/>
        <m/>
      </sharedItems>
    </cacheField>
    <cacheField name="Month" numFmtId="0">
      <sharedItems containsString="0" containsBlank="1" containsNumber="1" containsInteger="1" minValue="10" maxValue="11" count="3">
        <n v="10"/>
        <n v="11"/>
        <m/>
      </sharedItems>
    </cacheField>
    <cacheField name="Week" numFmtId="0">
      <sharedItems containsString="0" containsBlank="1" containsNumber="1" containsInteger="1" minValue="40" maxValue="46" count="8">
        <n v="40"/>
        <n v="41"/>
        <n v="42"/>
        <n v="43"/>
        <n v="44"/>
        <n v="45"/>
        <n v="46"/>
        <m/>
      </sharedItems>
    </cacheField>
    <cacheField name="Date" numFmtId="0">
      <sharedItems containsNonDate="0" containsDate="1" containsString="0" containsBlank="1" minDate="2025-10-01T00:00:00" maxDate="2025-11-15T00:00:00" count="34"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m/>
      </sharedItems>
      <fieldGroup par="41"/>
    </cacheField>
    <cacheField name="Date Hour appointement" numFmtId="0">
      <sharedItems containsNonDate="0" containsDate="1" containsString="0" containsBlank="1" minDate="2025-10-01T06:00:00" maxDate="2025-11-14T22:00:00"/>
    </cacheField>
    <cacheField name="ShipID" numFmtId="0">
      <sharedItems containsBlank="1"/>
    </cacheField>
    <cacheField name="ShipID / Delivery" numFmtId="0">
      <sharedItems containsBlank="1"/>
    </cacheField>
    <cacheField name="OrderID" numFmtId="0">
      <sharedItems containsBlank="1" containsMixedTypes="1" containsNumber="1" containsInteger="1" minValue="447421" maxValue="472250"/>
    </cacheField>
    <cacheField name="Flow" numFmtId="0">
      <sharedItems containsBlank="1"/>
    </cacheField>
    <cacheField name="Haulier" numFmtId="0">
      <sharedItems containsBlank="1"/>
    </cacheField>
    <cacheField name="Haulier loading comment" numFmtId="0">
      <sharedItems containsNonDate="0" containsString="0" containsBlank="1"/>
    </cacheField>
    <cacheField name="WH comment" numFmtId="0">
      <sharedItems containsBlank="1"/>
    </cacheField>
    <cacheField name="Pallets returns" numFmtId="0">
      <sharedItems containsBlank="1"/>
    </cacheField>
    <cacheField name="Loading Point" numFmtId="0">
      <sharedItems containsBlank="1"/>
    </cacheField>
    <cacheField name="Delivery Point" numFmtId="0">
      <sharedItems containsBlank="1"/>
    </cacheField>
    <cacheField name="Total pal" numFmtId="0">
      <sharedItems containsString="0" containsBlank="1" containsNumber="1" containsInteger="1" minValue="1" maxValue="165"/>
    </cacheField>
    <cacheField name="Total boxes" numFmtId="0">
      <sharedItems containsString="0" containsBlank="1" containsNumber="1" containsInteger="1" minValue="0" maxValue="0"/>
    </cacheField>
    <cacheField name="Total ML" numFmtId="0">
      <sharedItems containsString="0" containsBlank="1" containsNumber="1" containsInteger="1" minValue="0" maxValue="0"/>
    </cacheField>
    <cacheField name="Total weight (kg)" numFmtId="0">
      <sharedItems containsString="0" containsBlank="1" containsNumber="1" containsInteger="1" minValue="0" maxValue="22000"/>
    </cacheField>
    <cacheField name="Ideo CT comment" numFmtId="0">
      <sharedItems containsBlank="1" containsMixedTypes="1" containsNumber="1" containsInteger="1" minValue="90009745" maxValue="5019419794"/>
    </cacheField>
    <cacheField name="Type of capacity" numFmtId="0">
      <sharedItems containsBlank="1" count="7">
        <s v="2 Export"/>
        <s v="1 Loading"/>
        <s v="3 Under 10 pal"/>
        <s v="4 No Show"/>
        <s v="6 STO to Factory"/>
        <s v="5 Haps to External"/>
        <m/>
      </sharedItems>
    </cacheField>
    <cacheField name="Gate Number" numFmtId="0">
      <sharedItems containsNonDate="0" containsString="0" containsBlank="1"/>
    </cacheField>
    <cacheField name="planned delivery date" numFmtId="0">
      <sharedItems containsBlank="1"/>
    </cacheField>
    <cacheField name="Trailer Plate" numFmtId="0">
      <sharedItems containsBlank="1"/>
    </cacheField>
    <cacheField name="Distinct SKU qty" numFmtId="0">
      <sharedItems containsString="0" containsBlank="1" containsNumber="1" containsInteger="1" minValue="0" maxValue="0"/>
    </cacheField>
    <cacheField name="Haulier deliv. comment" numFmtId="0">
      <sharedItems containsNonDate="0" containsString="0" containsBlank="1"/>
    </cacheField>
    <cacheField name="Co-loading" numFmtId="0">
      <sharedItems containsBlank="1"/>
    </cacheField>
    <cacheField name="Loading status" numFmtId="0">
      <sharedItems containsBlank="1"/>
    </cacheField>
    <cacheField name="Trailer type" numFmtId="0">
      <sharedItems containsBlank="1"/>
    </cacheField>
    <cacheField name="Loading instructions" numFmtId="0">
      <sharedItems containsBlank="1"/>
    </cacheField>
    <cacheField name="Delivery instructions" numFmtId="0">
      <sharedItems containsBlank="1"/>
    </cacheField>
    <cacheField name="Not managed Booking Haulier email" numFmtId="0">
      <sharedItems containsBlank="1"/>
    </cacheField>
    <cacheField name="Ship-To Ref" numFmtId="0">
      <sharedItems containsBlank="1"/>
    </cacheField>
    <cacheField name="Loading Incident Comment" numFmtId="0">
      <sharedItems containsNonDate="0" containsString="0" containsBlank="1"/>
    </cacheField>
    <cacheField name="Loading Incident" numFmtId="0">
      <sharedItems containsNonDate="0" containsString="0" containsBlank="1"/>
    </cacheField>
    <cacheField name="Documents" numFmtId="0">
      <sharedItems containsBlank="1"/>
    </cacheField>
    <cacheField name="References" numFmtId="0">
      <sharedItems containsBlank="1" containsMixedTypes="1" containsNumber="1" containsInteger="1" minValue="5017331432" maxValue="5019410425"/>
    </cacheField>
    <cacheField name="Truck Plate" numFmtId="0">
      <sharedItems containsBlank="1"/>
    </cacheField>
    <cacheField name="Driver" numFmtId="0">
      <sharedItems containsBlank="1"/>
    </cacheField>
    <cacheField name="Driver Phone Number" numFmtId="0">
      <sharedItems containsBlank="1" containsMixedTypes="1" containsNumber="1" containsInteger="1" minValue="20313647" maxValue="261583310"/>
    </cacheField>
    <cacheField name="Days (Date)" numFmtId="0" databaseField="0">
      <fieldGroup base="3">
        <rangePr groupBy="days" startDate="2025-10-01T00:00:00" endDate="2025-11-15T00:00:00"/>
        <groupItems count="368">
          <s v="&lt;01/10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1/2025"/>
        </groupItems>
      </fieldGroup>
    </cacheField>
    <cacheField name="Months (Date)" numFmtId="0" databaseField="0">
      <fieldGroup base="3">
        <rangePr groupBy="months" startDate="2025-10-01T00:00:00" endDate="2025-11-15T00:00:00"/>
        <groupItems count="14">
          <s v="&lt;01/10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2">
  <r>
    <x v="0"/>
    <x v="0"/>
    <x v="0"/>
    <x v="0"/>
    <d v="2025-10-01T06:00:00"/>
    <s v="364771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8892911  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06:00:00"/>
    <s v="0006069400_4900"/>
    <s v="Loading"/>
    <n v="450209"/>
    <s v="Primary flows"/>
    <s v="SAMSKIP FOR SN 3PO"/>
    <m/>
    <m/>
    <s v="No"/>
    <s v="NL Haps DC (DSV)"/>
    <s v="REDD - GB Redditch"/>
    <n v="33"/>
    <n v="0"/>
    <n v="0"/>
    <n v="0"/>
    <s v="1  01"/>
    <x v="1"/>
    <m/>
    <s v="07/10/2025 23:00-23:00"/>
    <m/>
    <n v="0"/>
    <m/>
    <s v="No"/>
    <s v="Shipped/Received"/>
    <s v="Direct"/>
    <m/>
    <m/>
    <m/>
    <s v="HAPSDCUK20251001-02"/>
    <m/>
    <m/>
    <s v="No"/>
    <n v="5019046506"/>
    <m/>
    <m/>
    <m/>
  </r>
  <r>
    <x v="0"/>
    <x v="0"/>
    <x v="0"/>
    <x v="0"/>
    <d v="2025-10-01T07:00:00"/>
    <s v="362404_OOS"/>
    <s v="Loading"/>
    <s v="AU-SEA-6058453_OOS"/>
    <s v="Aval non piloté_EN"/>
    <s v="MAERSK - Control Tower"/>
    <m/>
    <m/>
    <s v="No"/>
    <s v="NL Haps DC (DSV)"/>
    <s v="OOS_OUT - Delivery OOS"/>
    <n v="20"/>
    <n v="0"/>
    <n v="0"/>
    <n v="0"/>
    <n v="5019013727"/>
    <x v="0"/>
    <m/>
    <s v="02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597147"/>
  </r>
  <r>
    <x v="0"/>
    <x v="0"/>
    <x v="0"/>
    <x v="0"/>
    <d v="2025-10-01T08:00:00"/>
    <s v="359734_OOS"/>
    <s v="Loading"/>
    <s v="BR-SEA-6048318_OOS"/>
    <s v="Aval non piloté_EN"/>
    <s v="MAERSK - Control Tower"/>
    <m/>
    <m/>
    <s v="No"/>
    <s v="NL Haps DC (DSV)"/>
    <s v="OOS_OUT - Delivery OOS"/>
    <n v="18"/>
    <n v="0"/>
    <n v="0"/>
    <n v="0"/>
    <n v="5018968640"/>
    <x v="0"/>
    <m/>
    <s v="02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324159"/>
  </r>
  <r>
    <x v="0"/>
    <x v="0"/>
    <x v="0"/>
    <x v="0"/>
    <d v="2025-10-01T08:00:00"/>
    <s v="0006060474_4900"/>
    <s v="Loading"/>
    <n v="447464"/>
    <s v="Primary flows"/>
    <s v="SAMSKIP FOR SN 3PO"/>
    <m/>
    <m/>
    <s v="No"/>
    <s v="NL Haps DC (DSV)"/>
    <s v="BELF - IE Belfast (Moviento)"/>
    <n v="33"/>
    <n v="0"/>
    <n v="0"/>
    <n v="0"/>
    <s v="1  01"/>
    <x v="1"/>
    <m/>
    <s v="08/10/2025 16:00-16:00"/>
    <m/>
    <n v="0"/>
    <m/>
    <s v="No"/>
    <s v="Shipped/Received"/>
    <s v="Direct"/>
    <m/>
    <m/>
    <m/>
    <s v="HAPSDCIE20251001-01"/>
    <m/>
    <m/>
    <s v="No"/>
    <n v="5019057031"/>
    <m/>
    <m/>
    <m/>
  </r>
  <r>
    <x v="0"/>
    <x v="0"/>
    <x v="0"/>
    <x v="0"/>
    <d v="2025-10-01T08:00:00"/>
    <s v="362405_OOS"/>
    <s v="Loading"/>
    <s v="AU-SEA-6058454_OOS"/>
    <s v="Aval non piloté_EN"/>
    <s v="MAERSK - Control Tower"/>
    <m/>
    <m/>
    <s v="No"/>
    <s v="NL Haps DC (DSV)"/>
    <s v="OOS_OUT - Delivery OOS"/>
    <n v="20"/>
    <n v="0"/>
    <n v="0"/>
    <n v="0"/>
    <n v="5018994426"/>
    <x v="0"/>
    <m/>
    <s v="02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597147"/>
  </r>
  <r>
    <x v="0"/>
    <x v="0"/>
    <x v="0"/>
    <x v="0"/>
    <d v="2025-10-01T09:00:00"/>
    <s v="362406_OOS"/>
    <s v="Loading"/>
    <s v="AU-SEA-6058455_OOS"/>
    <s v="Aval non piloté_EN"/>
    <s v="MAERSK - Control Tower"/>
    <m/>
    <m/>
    <s v="No"/>
    <s v="NL Haps DC (DSV)"/>
    <s v="OOS_OUT - Delivery OOS"/>
    <n v="20"/>
    <n v="0"/>
    <n v="0"/>
    <n v="0"/>
    <n v="5019014203"/>
    <x v="0"/>
    <m/>
    <s v="02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597147"/>
  </r>
  <r>
    <x v="0"/>
    <x v="0"/>
    <x v="0"/>
    <x v="0"/>
    <d v="2025-10-01T09:00:00"/>
    <s v="359744_OOS"/>
    <s v="Loading"/>
    <s v="BR-SEA-6048322_OOS"/>
    <s v="Aval non piloté_EN"/>
    <s v="MAERSK - Control Tower"/>
    <m/>
    <m/>
    <s v="No"/>
    <s v="NL Haps DC (DSV)"/>
    <s v="OOS_OUT - Delivery OOS"/>
    <n v="18"/>
    <n v="0"/>
    <n v="0"/>
    <n v="0"/>
    <s v="5018948062 5018958924 "/>
    <x v="0"/>
    <m/>
    <s v="02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324204"/>
  </r>
  <r>
    <x v="0"/>
    <x v="0"/>
    <x v="0"/>
    <x v="0"/>
    <d v="2025-10-01T09:00:00"/>
    <s v="0006060477_4900"/>
    <s v="Loading"/>
    <s v="453524 / 447455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08/10/2025 15:00-15:00"/>
    <m/>
    <n v="0"/>
    <m/>
    <s v="No"/>
    <s v="Shipped/Received"/>
    <s v="Direct"/>
    <s v=" / "/>
    <s v=" / "/>
    <m/>
    <s v="HAPSDCNO20251001-01 / HAPSDCNO20251001-01"/>
    <m/>
    <m/>
    <s v="No"/>
    <s v="5019067750 / 5019057061"/>
    <m/>
    <m/>
    <m/>
  </r>
  <r>
    <x v="0"/>
    <x v="0"/>
    <x v="0"/>
    <x v="0"/>
    <d v="2025-10-01T10:00:00"/>
    <s v="0006069401_4900"/>
    <s v="Loading"/>
    <n v="450196"/>
    <s v="Primary flows"/>
    <s v="SAMSKIP FOR SN 3PO"/>
    <m/>
    <m/>
    <s v="No"/>
    <s v="NL Haps DC (DSV)"/>
    <s v="REDD - GB Redditch"/>
    <n v="33"/>
    <n v="0"/>
    <n v="0"/>
    <n v="0"/>
    <s v="1  01"/>
    <x v="1"/>
    <m/>
    <s v="07/10/2025 23:00-23:00"/>
    <m/>
    <n v="0"/>
    <m/>
    <s v="No"/>
    <s v="Shipped/Received"/>
    <s v="Direct"/>
    <m/>
    <m/>
    <m/>
    <s v="HAPSDCUK20251001-03"/>
    <m/>
    <m/>
    <s v="No"/>
    <n v="5019058587"/>
    <m/>
    <m/>
    <m/>
  </r>
  <r>
    <x v="0"/>
    <x v="0"/>
    <x v="0"/>
    <x v="0"/>
    <d v="2025-10-01T10:00:00"/>
    <s v="364818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014808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0:00:00"/>
    <s v="0006060478_4900"/>
    <s v="Loading"/>
    <n v="447423"/>
    <s v="Primary flows"/>
    <s v="HART LOGISTICS FOR SN 3PO"/>
    <m/>
    <m/>
    <s v="No"/>
    <s v="NL Haps DC (DSV)"/>
    <s v="GRAB - PL Grabica"/>
    <n v="33"/>
    <n v="0"/>
    <n v="0"/>
    <n v="0"/>
    <s v="1 01"/>
    <x v="1"/>
    <m/>
    <s v="03/10/2025 12:00-12:00"/>
    <m/>
    <n v="0"/>
    <m/>
    <s v="No"/>
    <s v="Shipped/Received"/>
    <s v="Direct"/>
    <m/>
    <m/>
    <m/>
    <s v="HAPSDCPL20251001-01"/>
    <m/>
    <m/>
    <s v="No"/>
    <n v="5019071004"/>
    <m/>
    <m/>
    <m/>
  </r>
  <r>
    <x v="0"/>
    <x v="0"/>
    <x v="0"/>
    <x v="0"/>
    <d v="2025-10-01T10:00:00"/>
    <s v="364852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8976105 5019011901 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1:00:00"/>
    <s v="0006069402_4900"/>
    <s v="Loading"/>
    <n v="450201"/>
    <s v="Primary flows"/>
    <s v="SAMSKIP FOR SN 3PO"/>
    <m/>
    <m/>
    <s v="No"/>
    <s v="NL Haps DC (DSV)"/>
    <s v="REDD - GB Redditch"/>
    <n v="33"/>
    <n v="0"/>
    <n v="0"/>
    <n v="0"/>
    <s v="1  01"/>
    <x v="1"/>
    <m/>
    <s v="07/10/2025 23:00-23:00"/>
    <m/>
    <n v="0"/>
    <m/>
    <s v="No"/>
    <s v="Shipped/Received"/>
    <s v="Direct"/>
    <m/>
    <m/>
    <m/>
    <s v="HAPSDCUK20251001-04"/>
    <m/>
    <m/>
    <s v="No"/>
    <n v="5019060424"/>
    <m/>
    <m/>
    <m/>
  </r>
  <r>
    <x v="0"/>
    <x v="0"/>
    <x v="0"/>
    <x v="0"/>
    <d v="2025-10-01T11:00:00"/>
    <s v="365368_OOS"/>
    <s v="Loading"/>
    <s v="MEA-SEA_OOS"/>
    <s v="Aval non piloté_EN"/>
    <s v="GEODIS"/>
    <m/>
    <m/>
    <m/>
    <s v="NL Haps DC (DSV)"/>
    <s v="OOS_OUT - Delivery OOS"/>
    <n v="8"/>
    <n v="0"/>
    <n v="0"/>
    <n v="0"/>
    <s v="ELN 5019010887"/>
    <x v="2"/>
    <m/>
    <s v="02/10/2025 10:00-10:00"/>
    <m/>
    <n v="0"/>
    <m/>
    <s v="No"/>
    <s v="Scheduled"/>
    <s v="Direct"/>
    <m/>
    <m/>
    <s v="mdc.transport@danone.com"/>
    <m/>
    <m/>
    <m/>
    <s v="No"/>
    <s v="&amp;nbsp"/>
    <m/>
    <s v="MAROCCO"/>
    <s v="SRTMS181127"/>
  </r>
  <r>
    <x v="0"/>
    <x v="0"/>
    <x v="0"/>
    <x v="0"/>
    <d v="2025-10-01T11:00:00"/>
    <s v="363239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013909"/>
    <x v="0"/>
    <m/>
    <s v="02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0"/>
    <x v="0"/>
    <d v="2025-10-01T11:00:00"/>
    <s v="363364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004543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1:00:00"/>
    <s v="362407_OOS"/>
    <s v="Loading"/>
    <s v="AU-SEA-6058456_OOS"/>
    <s v="Aval non piloté_EN"/>
    <s v="MAERSK - Control Tower"/>
    <m/>
    <m/>
    <s v="No"/>
    <s v="NL Haps DC (DSV)"/>
    <s v="OOS_OUT - Delivery OOS"/>
    <n v="20"/>
    <n v="0"/>
    <n v="0"/>
    <n v="0"/>
    <n v="5018996795"/>
    <x v="0"/>
    <m/>
    <s v="02/10/2025 00:03-00:03"/>
    <m/>
    <n v="0"/>
    <m/>
    <s v="No"/>
    <s v="Shipped/Received"/>
    <s v="Direct"/>
    <m/>
    <m/>
    <s v="nutricia.ct.eu@lns.maersk.com"/>
    <m/>
    <m/>
    <m/>
    <s v="No"/>
    <s v="&amp;nbsp"/>
    <m/>
    <m/>
    <n v="259597180"/>
  </r>
  <r>
    <x v="0"/>
    <x v="0"/>
    <x v="0"/>
    <x v="0"/>
    <d v="2025-10-01T12:00:00"/>
    <s v="0006060469_4900"/>
    <s v="Loading"/>
    <n v="447426"/>
    <s v="Primary flows"/>
    <s v="P AND O FOR SN 3PO"/>
    <m/>
    <m/>
    <s v="No"/>
    <s v="NL Haps DC (DSV)"/>
    <s v="TAMP - FI Tampere"/>
    <n v="33"/>
    <n v="0"/>
    <n v="0"/>
    <n v="0"/>
    <s v="1  01"/>
    <x v="1"/>
    <m/>
    <s v="03/10/2025 15:00-15:00"/>
    <m/>
    <n v="0"/>
    <m/>
    <s v="No"/>
    <s v="Shipped/Received"/>
    <s v="Direct"/>
    <m/>
    <m/>
    <m/>
    <s v="HAPSDCFI20251001-01"/>
    <m/>
    <m/>
    <s v="No"/>
    <n v="5019067412"/>
    <m/>
    <m/>
    <m/>
  </r>
  <r>
    <x v="0"/>
    <x v="0"/>
    <x v="0"/>
    <x v="0"/>
    <d v="2025-10-01T12:00:00"/>
    <s v="362403_OOS"/>
    <s v="Loading"/>
    <s v="AU-SEA-6058452_OOS"/>
    <s v="Aval non piloté_EN"/>
    <s v="MAERSK - Control Tower"/>
    <m/>
    <m/>
    <s v="No"/>
    <s v="NL Haps DC (DSV)"/>
    <s v="OOS_OUT - Delivery OOS"/>
    <n v="20"/>
    <n v="0"/>
    <n v="0"/>
    <n v="0"/>
    <s v="5018996300 5018989678 "/>
    <x v="0"/>
    <m/>
    <s v="02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597180"/>
  </r>
  <r>
    <x v="0"/>
    <x v="0"/>
    <x v="0"/>
    <x v="0"/>
    <d v="2025-10-01T12:00:00"/>
    <s v="0006060463_4900"/>
    <s v="Loading"/>
    <n v="447422"/>
    <s v="Primary flows"/>
    <s v="PIOMAR FOR SN 3PO"/>
    <m/>
    <m/>
    <s v="No"/>
    <s v="NL Haps DC (DSV)"/>
    <s v="RICA - CZ Ricany DC2 Ambient WH"/>
    <n v="33"/>
    <n v="0"/>
    <n v="0"/>
    <n v="0"/>
    <s v="1  01"/>
    <x v="1"/>
    <m/>
    <s v="03/10/2025 17:00-17:00"/>
    <m/>
    <n v="0"/>
    <m/>
    <s v="No"/>
    <s v="Shipped/Received"/>
    <s v="Direct"/>
    <m/>
    <m/>
    <m/>
    <s v="HAPSDCCZ20251001-01"/>
    <m/>
    <m/>
    <s v="No"/>
    <n v="5019045717"/>
    <m/>
    <m/>
    <m/>
  </r>
  <r>
    <x v="0"/>
    <x v="0"/>
    <x v="0"/>
    <x v="0"/>
    <d v="2025-10-01T12:00:00"/>
    <s v="356749_OOS"/>
    <s v="Loading"/>
    <s v="US-SEA-6038631_OOS"/>
    <s v="Aval non piloté_EN"/>
    <s v="MAERSK - Control Tower"/>
    <m/>
    <m/>
    <s v="No"/>
    <s v="NL Haps DC (DSV)"/>
    <s v="OOS_OUT - Delivery OOS"/>
    <n v="20"/>
    <n v="0"/>
    <n v="0"/>
    <n v="0"/>
    <s v="5018950802 5018950803 5018980146 5018983535 5018990174 "/>
    <x v="0"/>
    <m/>
    <s v="02/10/2025 00:03-00:03"/>
    <m/>
    <n v="0"/>
    <m/>
    <s v="No"/>
    <s v="Shipped/Received"/>
    <s v="Direct"/>
    <m/>
    <m/>
    <s v="3POeuropect@lns.maersk.com"/>
    <m/>
    <m/>
    <m/>
    <s v="No"/>
    <s v="&amp;nbsp"/>
    <m/>
    <m/>
    <n v="259044595"/>
  </r>
  <r>
    <x v="0"/>
    <x v="0"/>
    <x v="0"/>
    <x v="0"/>
    <d v="2025-10-01T13:00:00"/>
    <s v="364822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001826 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3:00:00"/>
    <s v="364770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8916745  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3:00:00"/>
    <s v="367580_OOS"/>
    <s v="Loading"/>
    <s v="GR EXW ROAD_OOS"/>
    <s v="Aval non piloté_EN"/>
    <s v="EXW"/>
    <m/>
    <m/>
    <s v="No"/>
    <s v="NL Haps DC (DSV)"/>
    <s v="OOS_OUT - Delivery OOS"/>
    <n v="8"/>
    <n v="0"/>
    <n v="0"/>
    <n v="0"/>
    <n v="5019075869"/>
    <x v="2"/>
    <m/>
    <s v="02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3:00:00"/>
    <s v="0006069399_4900"/>
    <s v="Loading"/>
    <s v="453364 / 450161"/>
    <s v="Primary flows / Primary flows"/>
    <s v="GIRTEKA FOR SN 3PO"/>
    <m/>
    <m/>
    <s v="No"/>
    <s v="NL Haps DC (DSV)"/>
    <s v="REDD - GB Redditch / REDD - GB Redditch"/>
    <n v="66"/>
    <n v="0"/>
    <n v="0"/>
    <n v="0"/>
    <s v="1  01"/>
    <x v="1"/>
    <m/>
    <s v="02/10/2025 17:00-17:00"/>
    <m/>
    <n v="0"/>
    <m/>
    <s v="No"/>
    <s v="Shipped/Received"/>
    <s v="Direct"/>
    <s v=" / "/>
    <s v=" / "/>
    <m/>
    <s v="HAPSDCUK20251001-01 / HAPSDCUK20251001-01"/>
    <m/>
    <m/>
    <s v="No"/>
    <s v="5019067416 / 5019059280"/>
    <m/>
    <m/>
    <m/>
  </r>
  <r>
    <x v="0"/>
    <x v="0"/>
    <x v="0"/>
    <x v="0"/>
    <d v="2025-10-01T13:00:00"/>
    <s v="363365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015369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4:00:00"/>
    <s v="363366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001186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4:00:00"/>
    <s v="0006060464_4900"/>
    <s v="Loading"/>
    <n v="447428"/>
    <s v="Primary flows"/>
    <s v="LKW WALTER FOR SN 3PO"/>
    <m/>
    <m/>
    <s v="No"/>
    <s v="NL Haps DC (DSV)"/>
    <s v="ALZE - DE Alzenau"/>
    <n v="33"/>
    <n v="0"/>
    <n v="0"/>
    <n v="0"/>
    <s v="1  01"/>
    <x v="1"/>
    <m/>
    <s v="02/10/2025 09:00-09:00"/>
    <m/>
    <n v="0"/>
    <m/>
    <s v="No"/>
    <s v="Shipped/Received"/>
    <s v="Direct"/>
    <m/>
    <m/>
    <m/>
    <s v="HAPSDCDE20251001-01"/>
    <m/>
    <m/>
    <s v="No"/>
    <n v="5019036478"/>
    <m/>
    <m/>
    <m/>
  </r>
  <r>
    <x v="0"/>
    <x v="0"/>
    <x v="0"/>
    <x v="0"/>
    <d v="2025-10-01T14:00:00"/>
    <s v="364796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8925248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5:00:00"/>
    <s v="0006060466_4900"/>
    <s v="Loading"/>
    <s v="453520 / 453363 / 453362 / 447456"/>
    <s v="Primary flows / Primary flows / Primary flows / Primary flows"/>
    <s v="DSV DK FOR SN 3PO"/>
    <m/>
    <m/>
    <s v="No"/>
    <s v="NL Haps DC (DSV)"/>
    <s v="GLOS - DK Glostrup / GLOS - DK Glostrup / GLOS - DK Glostrup / GLOS - DK Glostrup"/>
    <n v="132"/>
    <n v="0"/>
    <n v="0"/>
    <n v="0"/>
    <s v="1  01"/>
    <x v="1"/>
    <m/>
    <s v="03/10/2025 09:00-09:00"/>
    <m/>
    <n v="0"/>
    <m/>
    <s v="No"/>
    <s v="Shipped/Received"/>
    <s v="Direct"/>
    <s v=" /  /  / "/>
    <s v=" /  /  / "/>
    <m/>
    <s v="HAPSDCDK20251001-01 / HAPSDCDK20251001-01 / HAPSDCDK20251001-01 / HAPSDCDK20251001-01"/>
    <m/>
    <m/>
    <s v="No"/>
    <s v="5019048758 / 5019014704 / 5019002311 / 5018909424"/>
    <m/>
    <m/>
    <m/>
  </r>
  <r>
    <x v="0"/>
    <x v="0"/>
    <x v="0"/>
    <x v="0"/>
    <d v="2025-10-01T16:00:00"/>
    <s v="364853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8973188"/>
    <x v="0"/>
    <m/>
    <s v="0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0"/>
    <d v="2025-10-01T16:00:00"/>
    <s v="0006060476_4900"/>
    <s v="Loading"/>
    <n v="447448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03/10/2025 12:00-12:00"/>
    <s v="PZ_971WE"/>
    <n v="0"/>
    <m/>
    <s v="No"/>
    <s v="Shipped/Received"/>
    <s v="Direct"/>
    <m/>
    <m/>
    <m/>
    <s v="HAPSDCIT20251001-02"/>
    <m/>
    <m/>
    <s v="No"/>
    <n v="5019067855"/>
    <s v="MZN_241"/>
    <s v="Ruslan Azimov"/>
    <m/>
  </r>
  <r>
    <x v="0"/>
    <x v="0"/>
    <x v="0"/>
    <x v="0"/>
    <d v="2025-10-01T16:00:00"/>
    <s v="0006060465_4900"/>
    <s v="Loading"/>
    <n v="447447"/>
    <s v="Primary flows"/>
    <s v="LKW WALTER FOR SN 3PO"/>
    <m/>
    <m/>
    <s v="No"/>
    <s v="NL Haps DC (DSV)"/>
    <s v="ALZE - DE Alzenau"/>
    <n v="33"/>
    <n v="0"/>
    <n v="0"/>
    <n v="0"/>
    <s v="1  01"/>
    <x v="1"/>
    <m/>
    <s v="02/10/2025 10:00-10:00"/>
    <m/>
    <n v="0"/>
    <m/>
    <s v="No"/>
    <s v="Shipped/Received"/>
    <s v="Direct"/>
    <m/>
    <m/>
    <m/>
    <s v="HAPSDCDE20251001-02"/>
    <m/>
    <m/>
    <s v="No"/>
    <n v="5019070847"/>
    <m/>
    <m/>
    <m/>
  </r>
  <r>
    <x v="0"/>
    <x v="0"/>
    <x v="0"/>
    <x v="0"/>
    <d v="2025-10-01T17:00:00"/>
    <s v="0006060467_4900"/>
    <s v="Loading"/>
    <n v="447432"/>
    <s v="Primary flows"/>
    <s v="CH ROBINSON FOR SN 3PO HVO"/>
    <m/>
    <s v="trailer was left by the dock due to system problem+ driver ran out of working time. will be picked up and checked out in the morning."/>
    <s v="No"/>
    <s v="NL Haps DC (DSV)"/>
    <s v="CIE2 - ES Ciempozuelos SN"/>
    <n v="33"/>
    <n v="0"/>
    <n v="0"/>
    <n v="0"/>
    <s v="1  01"/>
    <x v="1"/>
    <m/>
    <s v="03/10/2025 14:00-14:00"/>
    <s v="R1171BDB"/>
    <n v="0"/>
    <m/>
    <s v="No"/>
    <s v="Shipped/Received"/>
    <s v="Direct"/>
    <m/>
    <m/>
    <m/>
    <s v="HAPSDCES20251001-01"/>
    <m/>
    <m/>
    <s v="No"/>
    <n v="5019049268"/>
    <s v="3919MKS"/>
    <m/>
    <m/>
  </r>
  <r>
    <x v="0"/>
    <x v="0"/>
    <x v="0"/>
    <x v="0"/>
    <d v="2025-10-01T17:00:00"/>
    <s v="0006060471_4900"/>
    <s v="Loading"/>
    <n v="447430"/>
    <s v="Primary flows"/>
    <s v="ECS FOR SN 3PO"/>
    <m/>
    <m/>
    <s v="No"/>
    <s v="NL Haps DC (DSV)"/>
    <s v="MOUS - FR Moussy-Le-Neuf"/>
    <n v="33"/>
    <n v="0"/>
    <n v="0"/>
    <n v="0"/>
    <s v="1  01"/>
    <x v="1"/>
    <m/>
    <s v="02/10/2025 13:00-13:00"/>
    <m/>
    <n v="0"/>
    <m/>
    <s v="No"/>
    <s v="Shipped/Received"/>
    <s v="Direct"/>
    <m/>
    <m/>
    <m/>
    <s v="HAPSDCFR20251001-02"/>
    <m/>
    <m/>
    <s v="No"/>
    <n v="5019069007"/>
    <m/>
    <m/>
    <m/>
  </r>
  <r>
    <x v="0"/>
    <x v="0"/>
    <x v="0"/>
    <x v="0"/>
    <d v="2025-10-01T18:00:00"/>
    <s v="0006060470_4900"/>
    <s v="Loading"/>
    <s v="453619 / 447443"/>
    <s v="Primary flows / Primary flows"/>
    <s v="GIRTEKA FOR SN 3PO HVO"/>
    <m/>
    <m/>
    <s v="No"/>
    <s v="NL Haps DC (DSV)"/>
    <s v="MOUS - FR Moussy-Le-Neuf / MOUS - FR Moussy-Le-Neuf"/>
    <n v="66"/>
    <n v="0"/>
    <n v="0"/>
    <n v="0"/>
    <s v="1  01"/>
    <x v="1"/>
    <m/>
    <s v="02/10/2025 10:30-10:30"/>
    <m/>
    <n v="0"/>
    <m/>
    <s v="No"/>
    <s v="Shipped/Received"/>
    <s v="Direct"/>
    <s v=" / "/>
    <s v=" / "/>
    <m/>
    <s v="HAPSDCFR20251001-01 / HAPSDCFR20251001-01"/>
    <m/>
    <m/>
    <s v="No"/>
    <s v="5019071104 / 5019056633"/>
    <m/>
    <m/>
    <m/>
  </r>
  <r>
    <x v="0"/>
    <x v="0"/>
    <x v="0"/>
    <x v="0"/>
    <d v="2025-10-01T18:00:00"/>
    <s v="0006060468_4900"/>
    <s v="Loading"/>
    <n v="447468"/>
    <s v="Primary flows"/>
    <s v="KREISS FOR SN 3PO"/>
    <m/>
    <m/>
    <s v="No"/>
    <s v="NL Haps DC (DSV)"/>
    <s v="CIE2 - ES Ciempozuelos SN"/>
    <n v="33"/>
    <n v="0"/>
    <n v="0"/>
    <n v="0"/>
    <s v="1  01"/>
    <x v="1"/>
    <m/>
    <s v="03/10/2025 11:00-11:00"/>
    <m/>
    <n v="0"/>
    <m/>
    <s v="No"/>
    <s v="Shipped/Received"/>
    <s v="Direct"/>
    <m/>
    <m/>
    <m/>
    <s v="HAPSDCES20251001-02"/>
    <m/>
    <m/>
    <s v="No"/>
    <n v="5019053391"/>
    <m/>
    <m/>
    <m/>
  </r>
  <r>
    <x v="0"/>
    <x v="0"/>
    <x v="0"/>
    <x v="0"/>
    <d v="2025-10-01T18:00:00"/>
    <s v="0006060472_4900"/>
    <s v="Loading"/>
    <n v="447470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2/10/2025 13:30-13:30"/>
    <m/>
    <n v="0"/>
    <m/>
    <s v="No"/>
    <s v="Shipped/Received"/>
    <s v="Direct"/>
    <m/>
    <m/>
    <m/>
    <s v="HAPSDCFR20251001-03"/>
    <m/>
    <m/>
    <s v="No"/>
    <n v="5019056750"/>
    <m/>
    <m/>
    <m/>
  </r>
  <r>
    <x v="0"/>
    <x v="0"/>
    <x v="0"/>
    <x v="0"/>
    <d v="2025-10-01T19:00:00"/>
    <s v="0006060475_4900"/>
    <s v="Loading"/>
    <n v="447453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8/10/2025 17:00-17:00"/>
    <m/>
    <n v="0"/>
    <m/>
    <s v="No"/>
    <s v="Shipped/Received"/>
    <s v="Direct"/>
    <m/>
    <m/>
    <m/>
    <s v="HAPSDCIT20251001-01"/>
    <m/>
    <m/>
    <s v="No"/>
    <n v="5019057666"/>
    <m/>
    <m/>
    <m/>
  </r>
  <r>
    <x v="0"/>
    <x v="0"/>
    <x v="0"/>
    <x v="0"/>
    <d v="2025-10-01T19:00:00"/>
    <s v="0006060462_4900"/>
    <s v="Loading"/>
    <n v="447473"/>
    <s v="Primary flows"/>
    <s v="GIRTEKA FOR SN 3PO HVO"/>
    <m/>
    <m/>
    <s v="No"/>
    <s v="NL Haps DC (DSV)"/>
    <s v="PUCH - AT Puch"/>
    <n v="33"/>
    <n v="0"/>
    <n v="0"/>
    <n v="0"/>
    <s v="1  01"/>
    <x v="1"/>
    <m/>
    <s v="03/10/2025 07:00-07:00"/>
    <s v="PZ_1X376"/>
    <n v="0"/>
    <m/>
    <s v="No"/>
    <s v="Shipped/Received"/>
    <s v="Direct"/>
    <m/>
    <m/>
    <m/>
    <s v="HAPSDCAT20251001-01"/>
    <m/>
    <m/>
    <s v="No"/>
    <n v="5019059743"/>
    <s v="NYD_739"/>
    <s v="Danierbek Karimov"/>
    <m/>
  </r>
  <r>
    <x v="0"/>
    <x v="0"/>
    <x v="0"/>
    <x v="0"/>
    <d v="2025-10-01T19:00:00"/>
    <s v="0006060479_4900"/>
    <s v="Loading"/>
    <s v="453366 / 453365 / 447445"/>
    <s v="Primary flows / Primary flows / Primary flows"/>
    <s v="MIERZWA FOR SN 3PO"/>
    <m/>
    <m/>
    <s v="No"/>
    <s v="NL Haps DC (DSV)"/>
    <s v="GRAB - PL Grabica / GRAB - PL Grabica / GRAB - PL Grabica"/>
    <n v="99"/>
    <n v="0"/>
    <n v="0"/>
    <n v="0"/>
    <s v="1  01"/>
    <x v="1"/>
    <m/>
    <s v="08/10/2025 23:00-23:00"/>
    <s v="KRA8994P"/>
    <n v="0"/>
    <m/>
    <s v="No"/>
    <s v="Shipped/Received"/>
    <s v="Direct"/>
    <s v=" /  / "/>
    <s v=" /  / "/>
    <m/>
    <s v="HAPSDCPL20251001-02 / HAPSDCPL20251001-02 / HAPSDCPL20251001-02"/>
    <m/>
    <m/>
    <s v="No"/>
    <s v="5019071005 / 5019062853 / 5019031038"/>
    <s v="KRA725CF"/>
    <s v="Andrzej Kasper "/>
    <m/>
  </r>
  <r>
    <x v="0"/>
    <x v="0"/>
    <x v="0"/>
    <x v="0"/>
    <d v="2025-10-01T20:00:00"/>
    <s v="0006080506_4900"/>
    <s v="Loading"/>
    <n v="453682"/>
    <s v="Primary flows"/>
    <s v="ECS FOR SN 3PO"/>
    <m/>
    <s v="container was left by the dock due to system problem+ driver ran out of working time. will be picked up and checked out in the morning."/>
    <s v="No"/>
    <s v="NL Haps DC (DSV)"/>
    <s v="GREZ - IT Grezzago (Pozzuolo Martesana)"/>
    <n v="33"/>
    <n v="0"/>
    <n v="0"/>
    <n v="0"/>
    <s v="1  01"/>
    <x v="1"/>
    <m/>
    <s v="08/10/2025 05:00-05:00"/>
    <m/>
    <n v="0"/>
    <m/>
    <s v="No"/>
    <s v="Shipped/Received"/>
    <s v="Direct"/>
    <m/>
    <m/>
    <m/>
    <s v="HAPSDCIT20251001-03"/>
    <m/>
    <m/>
    <s v="No"/>
    <n v="5019075850"/>
    <m/>
    <m/>
    <m/>
  </r>
  <r>
    <x v="0"/>
    <x v="0"/>
    <x v="0"/>
    <x v="1"/>
    <d v="2025-10-02T06:00:00"/>
    <s v="367969_OOS"/>
    <s v="Loading"/>
    <s v="MEA-SEA_OOS"/>
    <s v="Aval non piloté_EN"/>
    <s v="GEODIS"/>
    <m/>
    <m/>
    <s v="No"/>
    <s v="NL Haps DC (DSV)"/>
    <s v="OOS_OUT - Delivery OOS"/>
    <n v="9"/>
    <n v="0"/>
    <n v="0"/>
    <n v="0"/>
    <s v="ELN 5019010887"/>
    <x v="3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06:00:00"/>
    <s v="0006069405_4900"/>
    <s v="Loading"/>
    <n v="450203"/>
    <s v="Primary flows"/>
    <s v="SAMSKIP FOR SN 3PO"/>
    <m/>
    <m/>
    <s v="No"/>
    <s v="NL Haps DC (DSV)"/>
    <s v="REDD - GB Redditch"/>
    <n v="33"/>
    <n v="0"/>
    <n v="0"/>
    <n v="0"/>
    <s v="1  01"/>
    <x v="1"/>
    <m/>
    <s v="08/10/2025 18:00-18:00"/>
    <m/>
    <n v="0"/>
    <m/>
    <s v="No"/>
    <s v="Shipped/Received"/>
    <s v="Direct"/>
    <m/>
    <m/>
    <m/>
    <s v="HAPSDCUK20251002-03"/>
    <m/>
    <m/>
    <s v="No"/>
    <n v="5019069872"/>
    <m/>
    <m/>
    <m/>
  </r>
  <r>
    <x v="0"/>
    <x v="0"/>
    <x v="0"/>
    <x v="1"/>
    <d v="2025-10-02T06:00:00"/>
    <s v="366570_OOS"/>
    <s v="Loading"/>
    <s v="Scrap Denkavit - ROAD_OOS"/>
    <s v="Aval non piloté_EN"/>
    <s v="Denkavit"/>
    <m/>
    <m/>
    <s v="No"/>
    <s v="NL Haps DC (DSV)"/>
    <s v="OOS_OUT - Delivery OOS"/>
    <n v="26"/>
    <n v="0"/>
    <n v="0"/>
    <n v="0"/>
    <s v="90011316 (PO 17288559)"/>
    <x v="0"/>
    <m/>
    <s v="03/10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0"/>
    <x v="0"/>
    <x v="1"/>
    <d v="2025-10-02T07:00:00"/>
    <s v="0006060491_4900"/>
    <s v="Loading"/>
    <s v="453916 / 453915 / 447451"/>
    <s v="Primary flows / Primary flows / Primary flows"/>
    <s v="SAMSKIP FOR SN 3PO"/>
    <m/>
    <m/>
    <s v="No"/>
    <s v="NL Haps DC (DSV)"/>
    <s v="VEST - NO Vestby Leman / VEST - NO Vestby Leman / VEST - NO Vestby Leman"/>
    <n v="99"/>
    <n v="0"/>
    <n v="0"/>
    <n v="0"/>
    <s v="1  01"/>
    <x v="1"/>
    <m/>
    <s v="09/10/2025 15:00-15:00"/>
    <m/>
    <n v="0"/>
    <m/>
    <s v="No"/>
    <s v="Shipped/Received"/>
    <s v="Direct"/>
    <s v=" /  / "/>
    <s v=" /  / "/>
    <m/>
    <s v="HAPSDCNO20251002-01 / HAPSDCNO20251002-01 / HAPSDCNO20251002-01"/>
    <m/>
    <m/>
    <s v="No"/>
    <s v="5019059278 / 5019067558 / 5019069897"/>
    <m/>
    <m/>
    <m/>
  </r>
  <r>
    <x v="0"/>
    <x v="0"/>
    <x v="0"/>
    <x v="1"/>
    <d v="2025-10-02T07:00:00"/>
    <s v="367608_OOS"/>
    <s v="Loading"/>
    <s v="BR-SEA-6048319_OOS"/>
    <s v="Aval non piloté_EN"/>
    <s v="MAERSK - Control Tower"/>
    <m/>
    <m/>
    <s v="No"/>
    <s v="NL Haps DC (DSV)"/>
    <s v="OOS_OUT - Delivery OOS"/>
    <n v="20"/>
    <n v="0"/>
    <n v="0"/>
    <n v="0"/>
    <n v="5018990540"/>
    <x v="3"/>
    <m/>
    <s v="03/10/2025 00:00-00:00"/>
    <m/>
    <n v="0"/>
    <m/>
    <s v="No"/>
    <s v="Shipped/Received"/>
    <s v="Direct"/>
    <m/>
    <m/>
    <s v="nutricia.ct.eu@lns.maersk.com"/>
    <m/>
    <m/>
    <m/>
    <s v="No"/>
    <s v="&amp;nbsp"/>
    <m/>
    <m/>
    <n v="259324096"/>
  </r>
  <r>
    <x v="0"/>
    <x v="0"/>
    <x v="0"/>
    <x v="1"/>
    <d v="2025-10-02T07:00:00"/>
    <s v="368251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083515"/>
    <x v="2"/>
    <m/>
    <s v="03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07:00:00"/>
    <s v="362350_OOS"/>
    <s v="Loading"/>
    <s v="BR-SEA-6058457_OOS"/>
    <s v="Aval non piloté_EN"/>
    <s v="MAERSK - Control Tower"/>
    <m/>
    <m/>
    <s v="No"/>
    <s v="NL Haps DC (DSV)"/>
    <s v="OOS_OUT - Delivery OOS"/>
    <n v="20"/>
    <n v="0"/>
    <n v="0"/>
    <n v="0"/>
    <n v="5018990587"/>
    <x v="0"/>
    <m/>
    <s v="03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595730"/>
  </r>
  <r>
    <x v="0"/>
    <x v="0"/>
    <x v="0"/>
    <x v="1"/>
    <d v="2025-10-02T08:00:00"/>
    <s v="367057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014971 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08:00:00"/>
    <s v="362351_OOS"/>
    <s v="Loading"/>
    <s v="BR-SEA-6058459_OOS"/>
    <s v="Aval non piloté_EN"/>
    <s v="MAERSK - Control Tower"/>
    <m/>
    <m/>
    <s v="No"/>
    <s v="NL Haps DC (DSV)"/>
    <s v="OOS_OUT - Delivery OOS"/>
    <n v="20"/>
    <n v="0"/>
    <n v="0"/>
    <n v="0"/>
    <s v="5018990265 5019014649 "/>
    <x v="0"/>
    <m/>
    <s v="03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595733"/>
  </r>
  <r>
    <x v="0"/>
    <x v="0"/>
    <x v="0"/>
    <x v="1"/>
    <d v="2025-10-02T08:00:00"/>
    <s v="366541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75603 &amp; 5019079541"/>
    <x v="1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09:00:00"/>
    <s v="0006060489_4900"/>
    <s v="Loading"/>
    <n v="447466"/>
    <s v="Primary flows"/>
    <s v="SAMSKIP FOR SN 3PO"/>
    <m/>
    <m/>
    <s v="No"/>
    <s v="NL Haps DC (DSV)"/>
    <s v="RATH - IE Dublin Rathcoole Ambient"/>
    <n v="33"/>
    <n v="0"/>
    <n v="0"/>
    <n v="0"/>
    <s v="1  01"/>
    <x v="1"/>
    <m/>
    <s v="09/10/2025 23:30-23:30"/>
    <m/>
    <n v="0"/>
    <m/>
    <s v="No"/>
    <s v="Shipped/Received"/>
    <s v="Direct"/>
    <m/>
    <m/>
    <m/>
    <s v="HAPSDCIE20251002-01"/>
    <m/>
    <m/>
    <s v="No"/>
    <n v="5019080529"/>
    <m/>
    <m/>
    <m/>
  </r>
  <r>
    <x v="0"/>
    <x v="0"/>
    <x v="0"/>
    <x v="1"/>
    <d v="2025-10-02T09:00:00"/>
    <s v="367064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8985450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09:00:00"/>
    <s v="362352_OOS"/>
    <s v="Loading"/>
    <s v="BR-SEA-6058458_OOS"/>
    <s v="Aval non piloté_EN"/>
    <s v="MAERSK - Control Tower"/>
    <m/>
    <m/>
    <s v="No"/>
    <s v="NL Haps DC (DSV)"/>
    <s v="OOS_OUT - Delivery OOS"/>
    <n v="20"/>
    <n v="0"/>
    <n v="0"/>
    <n v="0"/>
    <n v="5018998379"/>
    <x v="0"/>
    <m/>
    <s v="03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596021"/>
  </r>
  <r>
    <x v="0"/>
    <x v="0"/>
    <x v="0"/>
    <x v="1"/>
    <d v="2025-10-02T10:00:00"/>
    <s v="359915_OOS"/>
    <s v="Loading"/>
    <s v="MEA-SEA_OOS"/>
    <s v="Aval non piloté_EN"/>
    <s v="KERRY LOGISTICS"/>
    <m/>
    <m/>
    <m/>
    <s v="NL Haps DC (DSV)"/>
    <s v="OOS_OUT - Delivery OOS"/>
    <n v="23"/>
    <n v="0"/>
    <n v="0"/>
    <n v="0"/>
    <s v="MEA 5018879990 5018893921 5018905519 5018966954 "/>
    <x v="0"/>
    <m/>
    <s v="03/10/2025 10:00-10:00"/>
    <m/>
    <n v="0"/>
    <m/>
    <s v="No"/>
    <s v="Scheduled"/>
    <s v="Direct"/>
    <m/>
    <m/>
    <s v="mdc.transport@danone.com"/>
    <m/>
    <m/>
    <m/>
    <s v="No"/>
    <s v="&amp;nbsp"/>
    <m/>
    <m/>
    <m/>
  </r>
  <r>
    <x v="0"/>
    <x v="0"/>
    <x v="0"/>
    <x v="1"/>
    <d v="2025-10-02T10:00:00"/>
    <s v="367065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010901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0:00:00"/>
    <s v="362353_OOS"/>
    <s v="Loading"/>
    <s v="BR-SEA-6058460_OOS"/>
    <s v="Aval non piloté_EN"/>
    <s v="MAERSK - Control Tower"/>
    <m/>
    <m/>
    <s v="No"/>
    <s v="NL Haps DC (DSV)"/>
    <s v="OOS_OUT - Delivery OOS"/>
    <n v="20"/>
    <n v="0"/>
    <n v="0"/>
    <n v="0"/>
    <s v="5018996958 5019001641 "/>
    <x v="0"/>
    <m/>
    <s v="03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596028"/>
  </r>
  <r>
    <x v="0"/>
    <x v="0"/>
    <x v="0"/>
    <x v="1"/>
    <d v="2025-10-02T10:00:00"/>
    <s v="0006069404_4900"/>
    <s v="Loading"/>
    <n v="450200"/>
    <s v="Primary flows"/>
    <s v="SAMSKIP FOR SN 3PO"/>
    <m/>
    <m/>
    <s v="No"/>
    <s v="NL Haps DC (DSV)"/>
    <s v="REDD - GB Redditch"/>
    <n v="33"/>
    <n v="0"/>
    <n v="0"/>
    <n v="0"/>
    <s v="1  01"/>
    <x v="1"/>
    <m/>
    <s v="08/10/2025 18:00-18:00"/>
    <m/>
    <n v="0"/>
    <m/>
    <s v="No"/>
    <s v="Shipped/Received"/>
    <s v="Direct"/>
    <m/>
    <m/>
    <m/>
    <s v="HAPSDCUK20251002-02"/>
    <m/>
    <m/>
    <s v="No"/>
    <n v="5019080730"/>
    <m/>
    <m/>
    <m/>
  </r>
  <r>
    <x v="0"/>
    <x v="0"/>
    <x v="0"/>
    <x v="1"/>
    <d v="2025-10-02T11:00:00"/>
    <s v="0006060424_4900"/>
    <s v="Loading"/>
    <s v="452825 / 447398"/>
    <s v="Primary flows / Primary flows"/>
    <s v="ROBERT KUKLA FOR SN 3PO"/>
    <m/>
    <m/>
    <s v="No"/>
    <s v="NL Haps DC (DSV)"/>
    <s v="THIV - GR Thiva-Boetia / THIV - GR Thiva-Boetia"/>
    <n v="66"/>
    <n v="0"/>
    <n v="0"/>
    <n v="0"/>
    <s v="1 01"/>
    <x v="1"/>
    <m/>
    <s v="14/10/2025 18:00-18:00"/>
    <m/>
    <n v="0"/>
    <m/>
    <s v="No"/>
    <s v="Shipped/Received"/>
    <s v="Direct"/>
    <s v=" / "/>
    <s v=" / "/>
    <m/>
    <s v="HAPSDCGR20250929-01 / HAPSDCGR20250929-01"/>
    <m/>
    <m/>
    <s v="No"/>
    <s v="5019037109 / 5019049501"/>
    <m/>
    <m/>
    <m/>
  </r>
  <r>
    <x v="0"/>
    <x v="0"/>
    <x v="0"/>
    <x v="1"/>
    <d v="2025-10-02T11:00:00"/>
    <s v="367695_OOS"/>
    <s v="Loading"/>
    <s v="5019060547_OOS"/>
    <s v="Aval non piloté_EN"/>
    <s v="Nabuurs"/>
    <m/>
    <m/>
    <m/>
    <s v="NL Haps DC (DSV)"/>
    <s v="OOS_OUT - Delivery OOS"/>
    <n v="5"/>
    <n v="0"/>
    <n v="0"/>
    <n v="0"/>
    <s v="Order to ship 5 rejected pallets Special instructions added: M20004 NBB"/>
    <x v="4"/>
    <m/>
    <s v="03/10/2025 00:00-00:00"/>
    <m/>
    <n v="0"/>
    <m/>
    <s v="No"/>
    <m/>
    <s v="Direct"/>
    <m/>
    <m/>
    <s v="logistic.support.haps@danone.com"/>
    <m/>
    <m/>
    <m/>
    <s v="No"/>
    <s v="&amp;nbsp"/>
    <m/>
    <m/>
    <m/>
  </r>
  <r>
    <x v="0"/>
    <x v="0"/>
    <x v="0"/>
    <x v="1"/>
    <d v="2025-10-02T11:00:00"/>
    <s v="367090_OOS"/>
    <s v="Loading"/>
    <s v="MEA-AIR_OOS"/>
    <s v="Aval non piloté_EN"/>
    <s v="KERRY LOGISTICS"/>
    <m/>
    <m/>
    <s v="No"/>
    <s v="NL Haps DC (DSV)"/>
    <s v="OOS_OUT - Delivery OOS"/>
    <n v="2"/>
    <n v="0"/>
    <n v="0"/>
    <n v="0"/>
    <s v="MEA 5018975740 5018980060"/>
    <x v="2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1:00:00"/>
    <s v="367066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8891117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1:00:00"/>
    <s v="367991_OOS"/>
    <s v="Loading"/>
    <s v="DSV-ZTM_OOS"/>
    <s v="Aval non piloté_EN"/>
    <s v="Koopman Cargo B.V."/>
    <m/>
    <m/>
    <s v="No"/>
    <s v="NL Haps DC (DSV)"/>
    <s v="OOS_OUT - Delivery OOS"/>
    <n v="33"/>
    <n v="0"/>
    <n v="0"/>
    <n v="0"/>
    <n v="4505775608"/>
    <x v="0"/>
    <m/>
    <s v="03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1:00:00"/>
    <s v="0006069406_4900"/>
    <s v="Loading"/>
    <n v="450182"/>
    <s v="Primary flows"/>
    <s v="SAMSKIP FOR SN 3PO"/>
    <m/>
    <m/>
    <s v="No"/>
    <s v="NL Haps DC (DSV)"/>
    <s v="REDD - GB Redditch"/>
    <n v="33"/>
    <n v="0"/>
    <n v="0"/>
    <n v="0"/>
    <s v="1  01"/>
    <x v="1"/>
    <m/>
    <s v="08/10/2025 18:00-18:00"/>
    <m/>
    <n v="0"/>
    <m/>
    <s v="No"/>
    <s v="Shipped/Received"/>
    <s v="Direct"/>
    <m/>
    <m/>
    <m/>
    <s v="HAPSDCUK20251002-04"/>
    <m/>
    <m/>
    <s v="No"/>
    <n v="5019069750"/>
    <m/>
    <m/>
    <m/>
  </r>
  <r>
    <x v="0"/>
    <x v="0"/>
    <x v="0"/>
    <x v="1"/>
    <d v="2025-10-02T11:00:00"/>
    <s v="364775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CN 5019011863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2:00:00"/>
    <s v="366571_OOS"/>
    <s v="Loading"/>
    <s v="Scrap Denkavit - ROAD_OOS"/>
    <s v="Aval non piloté_EN"/>
    <s v="Denkavit"/>
    <m/>
    <m/>
    <s v="No"/>
    <s v="NL Haps DC (DSV)"/>
    <s v="OOS_OUT - Delivery OOS"/>
    <n v="26"/>
    <n v="0"/>
    <n v="0"/>
    <n v="0"/>
    <s v="90025511 (PO 17288560)"/>
    <x v="0"/>
    <m/>
    <s v="03/10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0"/>
    <x v="0"/>
    <x v="1"/>
    <d v="2025-10-02T12:00:00"/>
    <s v="364774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015374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2:00:00"/>
    <s v="0006060487_4900"/>
    <s v="Loading"/>
    <n v="447431"/>
    <s v="Primary flows"/>
    <s v="ECS FOR SN 3PO"/>
    <m/>
    <m/>
    <s v="No"/>
    <s v="NL Haps DC (DSV)"/>
    <s v="MOUS - FR Moussy-Le-Neuf"/>
    <n v="33"/>
    <n v="0"/>
    <n v="0"/>
    <n v="0"/>
    <s v="1  01"/>
    <x v="1"/>
    <m/>
    <s v="03/10/2025 08:30-08:30"/>
    <m/>
    <n v="0"/>
    <m/>
    <s v="No"/>
    <s v="Shipped/Received"/>
    <s v="Direct"/>
    <m/>
    <m/>
    <m/>
    <s v="HAPSDCFR20251002-02"/>
    <m/>
    <m/>
    <s v="No"/>
    <n v="5019070149"/>
    <m/>
    <m/>
    <m/>
  </r>
  <r>
    <x v="0"/>
    <x v="0"/>
    <x v="0"/>
    <x v="1"/>
    <d v="2025-10-02T12:00:00"/>
    <s v="0006073425_4900"/>
    <s v="Loading"/>
    <s v="453913 / 451468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09/10/2025 15:00-15:00"/>
    <m/>
    <n v="0"/>
    <m/>
    <s v="No"/>
    <s v="Shipped/Received"/>
    <s v="Direct"/>
    <s v=" / "/>
    <s v=" / "/>
    <m/>
    <s v="HAPSDCNO20251002-02 / HAPSDCNO20251002-02"/>
    <m/>
    <m/>
    <s v="No"/>
    <s v="5019070108 / 5019070260"/>
    <m/>
    <m/>
    <m/>
  </r>
  <r>
    <x v="0"/>
    <x v="0"/>
    <x v="0"/>
    <x v="1"/>
    <d v="2025-10-02T13:00:00"/>
    <s v="359916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893922 5018894960 5018912954 5019009305 5019011771 (11PL) 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3:00:00"/>
    <s v="366466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021286"/>
    <x v="0"/>
    <m/>
    <s v="03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0"/>
    <x v="1"/>
    <d v="2025-10-02T13:00:00"/>
    <s v="0006069403_4900"/>
    <s v="Loading"/>
    <n v="450178"/>
    <s v="Primary flows"/>
    <s v="LKW WALTER FOR SN 3PO"/>
    <m/>
    <m/>
    <s v="No"/>
    <s v="NL Haps DC (DSV)"/>
    <s v="REDD - GB Redditch"/>
    <n v="33"/>
    <n v="0"/>
    <n v="0"/>
    <n v="0"/>
    <s v="1  01"/>
    <x v="1"/>
    <m/>
    <s v="06/10/2025 08:00-08:00"/>
    <m/>
    <n v="0"/>
    <m/>
    <s v="No"/>
    <s v="Shipped/Received"/>
    <s v="Direct"/>
    <m/>
    <m/>
    <m/>
    <s v="HAPSDCUK20251002-01"/>
    <m/>
    <m/>
    <s v="No"/>
    <n v="5019070315"/>
    <m/>
    <m/>
    <m/>
  </r>
  <r>
    <x v="0"/>
    <x v="0"/>
    <x v="0"/>
    <x v="1"/>
    <d v="2025-10-02T13:00:00"/>
    <s v="364776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015013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4:00:00"/>
    <s v="365263_OOS"/>
    <s v="Loading"/>
    <s v="CN-AIR_OOS"/>
    <s v="Aval non piloté_EN"/>
    <s v="KERRY LOGISTICS"/>
    <m/>
    <m/>
    <s v="No"/>
    <s v="NL Haps DC (DSV)"/>
    <s v="OOS_OUT - Delivery OOS"/>
    <n v="14"/>
    <n v="0"/>
    <n v="0"/>
    <n v="0"/>
    <s v="CN 5019004544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4:00:00"/>
    <s v="365178_OOS"/>
    <s v="Loading"/>
    <s v="MEA-SEA_OOS"/>
    <s v="Aval non piloté_EN"/>
    <s v="KERRY LOGISTICS"/>
    <m/>
    <m/>
    <s v="No"/>
    <s v="NL Haps DC (DSV)"/>
    <s v="OOS_OUT - Delivery OOS"/>
    <n v="9"/>
    <n v="0"/>
    <n v="0"/>
    <n v="0"/>
    <s v="MEA 5019010903 5019013816 5019031861"/>
    <x v="2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4:00:00"/>
    <s v="364759_OOS"/>
    <s v="Loading"/>
    <s v="BR-SEA-6068776_OOS"/>
    <s v="Aval non piloté_EN"/>
    <s v="MAERSK - Control Tower"/>
    <m/>
    <m/>
    <s v="No"/>
    <s v="NL Haps DC (DSV)"/>
    <s v="OOS_OUT - Delivery OOS"/>
    <n v="20"/>
    <n v="0"/>
    <n v="0"/>
    <n v="0"/>
    <n v="5019021370"/>
    <x v="0"/>
    <m/>
    <s v="03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815822"/>
  </r>
  <r>
    <x v="0"/>
    <x v="0"/>
    <x v="0"/>
    <x v="1"/>
    <d v="2025-10-02T14:00:00"/>
    <s v="0006060488_4900"/>
    <s v="Loading"/>
    <n v="447421"/>
    <s v="Primary flows"/>
    <s v="ECS FOR SN 3PO"/>
    <m/>
    <m/>
    <s v="No"/>
    <s v="NL Haps DC (DSV)"/>
    <s v="MOUS - FR Moussy-Le-Neuf"/>
    <n v="33"/>
    <n v="0"/>
    <n v="0"/>
    <n v="0"/>
    <s v="1  01"/>
    <x v="1"/>
    <m/>
    <s v="03/10/2025 10:30-10:30"/>
    <m/>
    <n v="0"/>
    <m/>
    <s v="No"/>
    <s v="Shipped/Received"/>
    <s v="Direct"/>
    <m/>
    <m/>
    <m/>
    <s v="HAPSDCFR20251002-03"/>
    <m/>
    <m/>
    <s v="No"/>
    <n v="5019068913"/>
    <m/>
    <m/>
    <m/>
  </r>
  <r>
    <x v="0"/>
    <x v="0"/>
    <x v="0"/>
    <x v="1"/>
    <d v="2025-10-02T15:00:00"/>
    <s v="365174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91363 5018984262 5018987609 5018973239 5018980570 5018984742 5019001833"/>
    <x v="0"/>
    <m/>
    <s v="0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1"/>
    <d v="2025-10-02T15:00:00"/>
    <s v="363240_OOS"/>
    <s v="Loading"/>
    <s v="UA-ROAD_OOS"/>
    <s v="Aval non piloté_EN"/>
    <s v="SCANTEK LTD"/>
    <m/>
    <m/>
    <s v="No"/>
    <s v="NL Haps DC (DSV)"/>
    <s v="OOS_OUT - Delivery OOS"/>
    <n v="20"/>
    <n v="0"/>
    <n v="0"/>
    <n v="0"/>
    <n v="5018972323"/>
    <x v="1"/>
    <m/>
    <s v="03/10/2025 12:00-12:00"/>
    <m/>
    <n v="0"/>
    <m/>
    <s v="No"/>
    <s v="Shipped/Received"/>
    <s v="Direct"/>
    <m/>
    <m/>
    <s v="olha.pakon@danone.com"/>
    <m/>
    <m/>
    <m/>
    <s v="No"/>
    <s v="&amp;nbsp"/>
    <m/>
    <m/>
    <m/>
  </r>
  <r>
    <x v="0"/>
    <x v="0"/>
    <x v="0"/>
    <x v="1"/>
    <d v="2025-10-02T15:00:00"/>
    <s v="364760_OOS"/>
    <s v="Loading"/>
    <s v="BR-SEA-6068775_OOS"/>
    <s v="Aval non piloté_EN"/>
    <s v="MAERSK - Control Tower"/>
    <m/>
    <m/>
    <s v="No"/>
    <s v="NL Haps DC (DSV)"/>
    <s v="OOS_OUT - Delivery OOS"/>
    <n v="20"/>
    <n v="0"/>
    <n v="0"/>
    <n v="0"/>
    <s v="5018993931 5018993932  "/>
    <x v="0"/>
    <m/>
    <s v="03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816072"/>
  </r>
  <r>
    <x v="0"/>
    <x v="0"/>
    <x v="0"/>
    <x v="1"/>
    <d v="2025-10-02T15:00:00"/>
    <s v="367104_OOS"/>
    <s v="Loading"/>
    <s v="AU - AIR_OOS"/>
    <s v="Aval non piloté_EN"/>
    <s v="JAS"/>
    <m/>
    <m/>
    <s v="No"/>
    <s v="NL Haps DC (DSV)"/>
    <s v="OOS_OUT - Delivery OOS"/>
    <n v="4"/>
    <n v="0"/>
    <n v="0"/>
    <n v="0"/>
    <s v="AU - AIR 5019001928   5019025091 - 4 Pallets + NZ AIR 5018992917 - 1P"/>
    <x v="2"/>
    <m/>
    <s v="03/10/2025 15:00-15:00"/>
    <m/>
    <n v="0"/>
    <m/>
    <s v="No"/>
    <s v="Shipped/Received"/>
    <s v="Direct"/>
    <m/>
    <m/>
    <s v="NLAMS-Export-Air@jas.com"/>
    <m/>
    <m/>
    <m/>
    <s v="No"/>
    <s v="&amp;nbsp"/>
    <m/>
    <m/>
    <m/>
  </r>
  <r>
    <x v="0"/>
    <x v="0"/>
    <x v="0"/>
    <x v="1"/>
    <d v="2025-10-02T16:00:00"/>
    <s v="0006079933_4900"/>
    <s v="Loading"/>
    <n v="453512"/>
    <s v="Primary flows"/>
    <s v="P AND O FOR SN 3PO"/>
    <m/>
    <m/>
    <s v="No"/>
    <s v="NL Haps DC (DSV)"/>
    <s v="TAMP - FI Tampere"/>
    <n v="33"/>
    <n v="0"/>
    <n v="0"/>
    <n v="0"/>
    <s v="1 01"/>
    <x v="1"/>
    <m/>
    <s v="09/10/2025 15:00-15:00"/>
    <m/>
    <n v="0"/>
    <m/>
    <s v="No"/>
    <s v="Shipped/Received"/>
    <s v="Direct"/>
    <m/>
    <m/>
    <m/>
    <s v="HAPSDCFI20251002-01"/>
    <m/>
    <m/>
    <s v="No"/>
    <n v="5019067559"/>
    <m/>
    <m/>
    <m/>
  </r>
  <r>
    <x v="0"/>
    <x v="0"/>
    <x v="0"/>
    <x v="1"/>
    <d v="2025-10-02T16:00:00"/>
    <s v="0006060497_4900"/>
    <s v="Loading"/>
    <s v="453917 / 447427"/>
    <s v="Primary flows / Primary flows"/>
    <s v="LKW WALTER FOR SN 3PO HVO"/>
    <m/>
    <m/>
    <s v="No"/>
    <s v="NL Haps DC (DSV)"/>
    <s v="HELS - SE Helsingborg / HELS - SE Helsingborg"/>
    <n v="66"/>
    <n v="0"/>
    <n v="0"/>
    <n v="0"/>
    <s v="1  01"/>
    <x v="1"/>
    <m/>
    <s v="09/10/2025 16:00-16:00"/>
    <m/>
    <n v="0"/>
    <m/>
    <s v="No"/>
    <s v="Shipped/Received"/>
    <s v="Direct"/>
    <s v=" / "/>
    <s v=" / "/>
    <m/>
    <s v="HAPSDCSE20251002-01 / HAPSDCSE20251002-01"/>
    <m/>
    <m/>
    <s v="No"/>
    <s v="5019070313 / 5019079947"/>
    <m/>
    <m/>
    <m/>
  </r>
  <r>
    <x v="0"/>
    <x v="0"/>
    <x v="0"/>
    <x v="1"/>
    <d v="2025-10-02T16:00:00"/>
    <s v="0006073424_4900"/>
    <s v="Loading"/>
    <n v="451469"/>
    <s v="Primary flows"/>
    <s v="P AND O FOR SN 3PO"/>
    <m/>
    <m/>
    <s v="No"/>
    <s v="NL Haps DC (DSV)"/>
    <s v="TAMP - FI Tampere"/>
    <n v="33"/>
    <n v="0"/>
    <n v="0"/>
    <n v="0"/>
    <s v="1  01"/>
    <x v="1"/>
    <m/>
    <s v="09/10/2025 14:00-14:00"/>
    <m/>
    <n v="0"/>
    <m/>
    <s v="No"/>
    <s v="Shipped/Received"/>
    <s v="Direct"/>
    <m/>
    <m/>
    <m/>
    <s v="HAPSDCFI20251003-01"/>
    <m/>
    <m/>
    <s v="No"/>
    <n v="5019072903"/>
    <m/>
    <m/>
    <m/>
  </r>
  <r>
    <x v="0"/>
    <x v="0"/>
    <x v="0"/>
    <x v="1"/>
    <d v="2025-10-02T16:00:00"/>
    <s v="353833_OOS"/>
    <s v="Loading"/>
    <s v="KO- SEA_OOS"/>
    <s v="Aval non piloté_EN"/>
    <s v="GEODIS"/>
    <m/>
    <m/>
    <s v="No"/>
    <s v="NL Haps DC (DSV)"/>
    <s v="OOS_OUT - Delivery OOS"/>
    <n v="21"/>
    <n v="0"/>
    <n v="0"/>
    <n v="0"/>
    <s v="DN : 5019023248 + 5019027882 + 5019028121"/>
    <x v="0"/>
    <m/>
    <s v="03/10/2025 09:00-09:00"/>
    <m/>
    <n v="0"/>
    <m/>
    <s v="No"/>
    <s v="Shipped/Received"/>
    <s v="Direct"/>
    <m/>
    <m/>
    <s v="nutricia-booking.ff.nl@geodis.com"/>
    <m/>
    <m/>
    <m/>
    <s v="No"/>
    <s v="&amp;nbsp"/>
    <m/>
    <s v="KOREA EIBE"/>
    <s v="SRTMS180649/1"/>
  </r>
  <r>
    <x v="0"/>
    <x v="0"/>
    <x v="0"/>
    <x v="1"/>
    <d v="2025-10-02T17:00:00"/>
    <s v="0006082156_4900"/>
    <s v="Loading"/>
    <n v="454149"/>
    <s v="Primary flows"/>
    <s v="LKW WALTER FOR SN 3PO"/>
    <m/>
    <m/>
    <s v="No"/>
    <s v="NL Haps DC (DSV)"/>
    <s v="PETR - RO Petresti"/>
    <n v="33"/>
    <n v="0"/>
    <n v="0"/>
    <n v="0"/>
    <s v="1  01"/>
    <x v="1"/>
    <m/>
    <s v="09/10/2025 12:00-12:00"/>
    <m/>
    <n v="0"/>
    <m/>
    <s v="No"/>
    <s v="Shipped/Received"/>
    <s v="Direct"/>
    <m/>
    <m/>
    <m/>
    <s v="UIT: 9X5W853607230100"/>
    <m/>
    <m/>
    <s v="No"/>
    <n v="5019085720"/>
    <m/>
    <m/>
    <m/>
  </r>
  <r>
    <x v="0"/>
    <x v="0"/>
    <x v="0"/>
    <x v="1"/>
    <d v="2025-10-02T17:00:00"/>
    <s v="0006060485_4900"/>
    <s v="Loading"/>
    <n v="447429"/>
    <s v="Primary flows"/>
    <s v="LOGISTA FOR SN 3PO"/>
    <m/>
    <m/>
    <s v="No"/>
    <s v="NL Haps DC (DSV)"/>
    <s v="CIE2 - ES Ciempozuelos SN"/>
    <n v="33"/>
    <n v="0"/>
    <n v="0"/>
    <n v="0"/>
    <s v="1  01"/>
    <x v="1"/>
    <m/>
    <s v="06/10/2025 08:00-08:00"/>
    <s v="R0550BDN"/>
    <n v="0"/>
    <m/>
    <s v="No"/>
    <s v="Shipped/Received"/>
    <s v="Direct"/>
    <m/>
    <m/>
    <m/>
    <s v="HAPSDCES20251002-01"/>
    <m/>
    <m/>
    <s v="No"/>
    <n v="5019071795"/>
    <s v="9063MDV"/>
    <s v="Joaquin Morcillo"/>
    <m/>
  </r>
  <r>
    <x v="0"/>
    <x v="0"/>
    <x v="0"/>
    <x v="1"/>
    <d v="2025-10-02T17:00:00"/>
    <s v="0006060495_4900"/>
    <s v="Loading"/>
    <s v="453918 / 447439"/>
    <s v="Primary flows / Primary flows"/>
    <s v="GIRTEKA FOR SN 3PO"/>
    <m/>
    <m/>
    <s v="No"/>
    <s v="NL Haps DC (DSV)"/>
    <s v="AZA2 - PT Azambuja Ambient / AZA2 - PT Azambuja Ambient"/>
    <n v="66"/>
    <n v="0"/>
    <n v="0"/>
    <n v="0"/>
    <s v="1  01"/>
    <x v="1"/>
    <m/>
    <s v="06/10/2025 14:00-14:00"/>
    <m/>
    <n v="0"/>
    <m/>
    <s v="No"/>
    <s v="Shipped/Received"/>
    <s v="Direct"/>
    <s v=" / "/>
    <s v=" / "/>
    <m/>
    <s v="HAPSDCPT20251002-02 / HAPSDCPT20251002-02"/>
    <m/>
    <m/>
    <s v="No"/>
    <s v="5019081047 / 5019081401"/>
    <m/>
    <m/>
    <m/>
  </r>
  <r>
    <x v="0"/>
    <x v="0"/>
    <x v="0"/>
    <x v="1"/>
    <d v="2025-10-02T18:00:00"/>
    <s v="0006060486_4900"/>
    <s v="Loading"/>
    <n v="447465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3/10/2025 08:00-08:00"/>
    <m/>
    <n v="0"/>
    <m/>
    <s v="No"/>
    <s v="Shipped/Received"/>
    <s v="Direct"/>
    <m/>
    <m/>
    <m/>
    <s v="HAPSDCFR20251002-01"/>
    <m/>
    <m/>
    <s v="No"/>
    <n v="5019062916"/>
    <m/>
    <m/>
    <m/>
  </r>
  <r>
    <x v="0"/>
    <x v="0"/>
    <x v="0"/>
    <x v="1"/>
    <d v="2025-10-02T18:00:00"/>
    <s v="367863_OOS"/>
    <s v="Loading"/>
    <s v="5019069272_OOS"/>
    <s v="Aval non piloté_EN"/>
    <s v="Downey's"/>
    <m/>
    <m/>
    <s v="No"/>
    <s v="NL Haps DC (DSV)"/>
    <s v="OOS_OUT - Delivery OOS"/>
    <n v="10"/>
    <n v="0"/>
    <n v="0"/>
    <n v="0"/>
    <m/>
    <x v="5"/>
    <m/>
    <s v="03/10/2025 15:00-15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0"/>
    <x v="1"/>
    <d v="2025-10-02T18:00:00"/>
    <s v="0006060492_4900"/>
    <s v="Loading"/>
    <n v="447446"/>
    <s v="Primary flows"/>
    <s v="MIERZWA FOR SN 3PO"/>
    <m/>
    <m/>
    <s v="No"/>
    <s v="NL Haps DC (DSV)"/>
    <s v="GRAB - PL Grabica"/>
    <n v="33"/>
    <n v="0"/>
    <n v="0"/>
    <n v="0"/>
    <s v="1  01"/>
    <x v="1"/>
    <m/>
    <s v="09/10/2025 23:00-23:00"/>
    <s v="WPR218AA"/>
    <n v="0"/>
    <m/>
    <s v="No"/>
    <s v="Shipped/Received"/>
    <s v="Direct"/>
    <m/>
    <m/>
    <m/>
    <s v="HAPSDCPL20251002-01"/>
    <m/>
    <m/>
    <s v="No"/>
    <n v="5019070989"/>
    <s v="WPR6374U"/>
    <s v="Sewielski Micha? "/>
    <m/>
  </r>
  <r>
    <x v="0"/>
    <x v="0"/>
    <x v="0"/>
    <x v="1"/>
    <d v="2025-10-02T18:00:00"/>
    <s v="0006080190_4900"/>
    <s v="Loading"/>
    <n v="453576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06/10/2025 20:00-20:00"/>
    <s v="PZ_4N638"/>
    <n v="0"/>
    <m/>
    <s v="No"/>
    <s v="Shipped/Received"/>
    <s v="Direct"/>
    <m/>
    <m/>
    <m/>
    <s v="HAPSDCIT20251002-02"/>
    <m/>
    <m/>
    <s v="No"/>
    <n v="5019070709"/>
    <s v="MTZ_750"/>
    <s v="Sudarsanan Sunderasan Pillai"/>
    <m/>
  </r>
  <r>
    <x v="0"/>
    <x v="0"/>
    <x v="0"/>
    <x v="1"/>
    <d v="2025-10-02T19:00:00"/>
    <s v="0006060490_4900"/>
    <s v="Loading"/>
    <n v="447462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9/10/2025 05:00-05:00"/>
    <m/>
    <n v="0"/>
    <m/>
    <s v="No"/>
    <s v="Shipped/Received"/>
    <s v="Direct"/>
    <m/>
    <m/>
    <m/>
    <s v="HAPSDCIT20251002-01"/>
    <m/>
    <m/>
    <s v="No"/>
    <n v="5019069503"/>
    <m/>
    <m/>
    <m/>
  </r>
  <r>
    <x v="0"/>
    <x v="0"/>
    <x v="0"/>
    <x v="1"/>
    <d v="2025-10-02T19:00:00"/>
    <s v="0006079935_4900"/>
    <s v="Loading"/>
    <n v="453511"/>
    <s v="Primary flows"/>
    <s v="GIRTEKA FOR SN 3PO"/>
    <m/>
    <m/>
    <s v="No"/>
    <s v="NL Haps DC (DSV)"/>
    <s v="GRAB - PL Grabica"/>
    <n v="33"/>
    <n v="0"/>
    <n v="0"/>
    <n v="0"/>
    <s v="1  01"/>
    <x v="1"/>
    <m/>
    <s v="06/10/2025 11:00-11:00"/>
    <s v="PZ_4U124"/>
    <n v="0"/>
    <m/>
    <s v="No"/>
    <s v="Shipped/Received"/>
    <s v="Direct"/>
    <m/>
    <m/>
    <m/>
    <s v="HAPSDCPL20251002-03"/>
    <m/>
    <m/>
    <s v="No"/>
    <n v="5019076025"/>
    <s v="PZ_5G990"/>
    <s v="Oleksandr Zhytskyi"/>
    <m/>
  </r>
  <r>
    <x v="0"/>
    <x v="0"/>
    <x v="0"/>
    <x v="1"/>
    <d v="2025-10-02T20:00:00"/>
    <s v="0006060493_4900"/>
    <s v="Loading"/>
    <s v="454165 / 447472"/>
    <s v="Primary flows / Primary flows"/>
    <s v="GIRTEKA FOR SN 3PO"/>
    <m/>
    <m/>
    <s v="No"/>
    <s v="NL Haps DC (DSV)"/>
    <s v="GRAB - PL Grabica / GRAB - PL Grabica"/>
    <n v="66"/>
    <n v="0"/>
    <n v="0"/>
    <n v="0"/>
    <s v="1  01"/>
    <x v="1"/>
    <m/>
    <s v="06/10/2025 11:00-11:00"/>
    <s v="PZ_7G860"/>
    <n v="0"/>
    <m/>
    <s v="No"/>
    <s v="Shipped/Received"/>
    <s v="Direct"/>
    <s v=" / "/>
    <s v=" / "/>
    <m/>
    <s v="HAPSDCPL20251002-02 / HAPSDCPL20251002-02"/>
    <m/>
    <m/>
    <s v="No"/>
    <s v="5019078115 / 5019083681"/>
    <s v="PZ_5V766"/>
    <s v="Andrei Papinau"/>
    <m/>
  </r>
  <r>
    <x v="0"/>
    <x v="0"/>
    <x v="0"/>
    <x v="2"/>
    <d v="2025-10-03T06:00:00"/>
    <s v="0006069409_4900"/>
    <s v="Loading"/>
    <n v="450210"/>
    <s v="Primary flows"/>
    <s v="SAMSKIP FOR SN 3PO"/>
    <m/>
    <m/>
    <s v="No"/>
    <s v="NL Haps DC (DSV)"/>
    <s v="REDD - GB Redditch"/>
    <n v="33"/>
    <n v="0"/>
    <n v="0"/>
    <n v="0"/>
    <s v="1  01"/>
    <x v="1"/>
    <m/>
    <s v="09/10/2025 18:00-18:00"/>
    <m/>
    <n v="0"/>
    <m/>
    <s v="No"/>
    <s v="Shipped/Received"/>
    <s v="Direct"/>
    <m/>
    <m/>
    <m/>
    <s v="HAPSDCUK20251003-03"/>
    <m/>
    <m/>
    <s v="No"/>
    <n v="5019089534"/>
    <m/>
    <m/>
    <m/>
  </r>
  <r>
    <x v="0"/>
    <x v="0"/>
    <x v="0"/>
    <x v="2"/>
    <d v="2025-10-03T06:00:00"/>
    <s v="362857_OOS"/>
    <s v="Loading"/>
    <s v="AU-SEA-6061107_OOS"/>
    <s v="Aval non piloté_EN"/>
    <s v="MAERSK - Control Tower"/>
    <m/>
    <m/>
    <s v="No"/>
    <s v="NL Haps DC (DSV)"/>
    <s v="OOS_OUT - Delivery OOS"/>
    <n v="20"/>
    <n v="0"/>
    <n v="0"/>
    <n v="0"/>
    <n v="5019026241"/>
    <x v="0"/>
    <m/>
    <s v="04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610759"/>
  </r>
  <r>
    <x v="0"/>
    <x v="0"/>
    <x v="0"/>
    <x v="2"/>
    <d v="2025-10-03T07:00:00"/>
    <s v="366542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77774 Regular"/>
    <x v="1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07:00:00"/>
    <s v="0006079934_4900"/>
    <s v="Loading"/>
    <n v="453513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09/10/2025 23:00-23:00"/>
    <m/>
    <n v="0"/>
    <m/>
    <s v="No"/>
    <s v="Shipped/Received"/>
    <s v="Direct"/>
    <m/>
    <m/>
    <m/>
    <s v="HAPSDCIE20251002-02"/>
    <m/>
    <m/>
    <s v="No"/>
    <n v="5019038841"/>
    <m/>
    <m/>
    <m/>
  </r>
  <r>
    <x v="0"/>
    <x v="0"/>
    <x v="0"/>
    <x v="2"/>
    <d v="2025-10-03T08:00:00"/>
    <s v="0006082720_4900"/>
    <s v="Loading"/>
    <n v="454337"/>
    <s v="Primary flows"/>
    <s v="HART LOGISTICS FOR SN 3PO"/>
    <m/>
    <m/>
    <s v="No"/>
    <s v="NL Haps DC (DSV)"/>
    <s v="OPOL - PL Opole"/>
    <n v="16"/>
    <n v="0"/>
    <n v="0"/>
    <n v="0"/>
    <s v="1  01"/>
    <x v="5"/>
    <m/>
    <s v="06/10/2025 12:00-12:00"/>
    <m/>
    <n v="0"/>
    <m/>
    <s v="No"/>
    <s v="Shipped/Received"/>
    <s v="Direct"/>
    <m/>
    <m/>
    <m/>
    <s v="SPHapsOPO-031025-01"/>
    <m/>
    <m/>
    <s v="No"/>
    <n v="5019082138"/>
    <m/>
    <m/>
    <m/>
  </r>
  <r>
    <x v="0"/>
    <x v="0"/>
    <x v="0"/>
    <x v="2"/>
    <d v="2025-10-03T08:00:00"/>
    <s v="366572_OOS"/>
    <s v="Loading"/>
    <s v="Scrap Denkavit - ROAD_OOS"/>
    <s v="Aval non piloté_EN"/>
    <s v="Denkavit"/>
    <m/>
    <m/>
    <s v="No"/>
    <s v="NL Haps DC (DSV)"/>
    <s v="OOS_OUT - Delivery OOS"/>
    <n v="26"/>
    <n v="0"/>
    <n v="0"/>
    <n v="0"/>
    <s v="90012989 (PO 17288561)"/>
    <x v="0"/>
    <m/>
    <s v="04/10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0"/>
    <x v="0"/>
    <x v="2"/>
    <d v="2025-10-03T08:00:00"/>
    <s v="0006060517_4900"/>
    <s v="Loading"/>
    <s v="454730 / 454541 / 447489 / 447490"/>
    <s v="Primary flows / Primary flows / Primary flows / Primary flows"/>
    <s v="SAMSKIP FOR SN 3PO"/>
    <m/>
    <m/>
    <s v="No"/>
    <s v="NL Haps DC (DSV)"/>
    <s v="DUBL - IE Dublin (United Drug) / DUBL - IE Dublin (United Drug) / DUBL - IE Dublin (United Drug) / DUB3 - IE Dublin (Pemberton)"/>
    <n v="132"/>
    <n v="0"/>
    <n v="0"/>
    <n v="0"/>
    <s v="1  01"/>
    <x v="1"/>
    <m/>
    <s v="10/10/2025 23:00-23:00 / 10/10/2025 18:00-18:00"/>
    <m/>
    <n v="0"/>
    <m/>
    <s v="No"/>
    <s v="Shipped/Received"/>
    <s v="Direct"/>
    <s v=" /  /  / "/>
    <s v=" /  /  / "/>
    <m/>
    <s v="HAPSDCIE20251003-01 / HAPSDCIE20251003-01 / HAPSDCIE20251003-01 / HAPSDCIE20251003-01"/>
    <m/>
    <m/>
    <s v="No"/>
    <s v="5019100650 / 5019080793 / 5019080792 / 5019080559"/>
    <m/>
    <m/>
    <m/>
  </r>
  <r>
    <x v="0"/>
    <x v="0"/>
    <x v="0"/>
    <x v="2"/>
    <d v="2025-10-03T08:00:00"/>
    <s v="368115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026126"/>
    <x v="0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09:00:00"/>
    <s v="366875_OOS"/>
    <s v="Loading"/>
    <s v="AU - AIR_OOS"/>
    <s v="Aval non piloté_EN"/>
    <s v="MAERSK"/>
    <m/>
    <m/>
    <s v="No"/>
    <s v="NL Haps DC (DSV)"/>
    <s v="OOS_OUT - Delivery OOS"/>
    <n v="17"/>
    <n v="0"/>
    <n v="0"/>
    <n v="0"/>
    <s v="AU AIR 5019027890"/>
    <x v="0"/>
    <m/>
    <s v="04/10/2025 09:00-09:00"/>
    <m/>
    <n v="0"/>
    <m/>
    <s v="No"/>
    <s v="Shipped/Received"/>
    <s v="Direct"/>
    <m/>
    <m/>
    <s v="export.AMS@maersk.com"/>
    <m/>
    <m/>
    <m/>
    <s v="No"/>
    <s v="&amp;nbsp"/>
    <m/>
    <m/>
    <m/>
  </r>
  <r>
    <x v="0"/>
    <x v="0"/>
    <x v="0"/>
    <x v="2"/>
    <d v="2025-10-03T09:00:00"/>
    <s v="0006060494_4900"/>
    <s v="Loading"/>
    <s v="454546 / 447440"/>
    <s v="Primary flows / Primary flows"/>
    <s v="GIRTEKA FOR SN 3PO"/>
    <m/>
    <m/>
    <s v="No"/>
    <s v="NL Haps DC (DSV)"/>
    <s v="AZA2 - PT Azambuja Ambient / AZA2 - PT Azambuja Ambient"/>
    <n v="66"/>
    <n v="0"/>
    <n v="0"/>
    <n v="0"/>
    <s v="1  01"/>
    <x v="1"/>
    <m/>
    <s v="07/10/2025 16:00-16:00"/>
    <m/>
    <n v="0"/>
    <m/>
    <s v="No"/>
    <s v="Shipped/Received"/>
    <s v="Direct"/>
    <s v=" / "/>
    <s v=" / "/>
    <m/>
    <s v="HAPSDCPT20251002-01 / HAPSDCPT20251002-01"/>
    <m/>
    <m/>
    <s v="No"/>
    <s v="5019081744 / 5019069718"/>
    <m/>
    <m/>
    <m/>
  </r>
  <r>
    <x v="0"/>
    <x v="0"/>
    <x v="0"/>
    <x v="2"/>
    <d v="2025-10-03T09:00:00"/>
    <s v="0006060518_4900"/>
    <s v="Loading"/>
    <n v="447487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06/10/2025 11:00-11:00"/>
    <s v="PZ_1M586"/>
    <n v="0"/>
    <m/>
    <s v="No"/>
    <s v="Shipped/Received"/>
    <s v="Direct"/>
    <m/>
    <m/>
    <m/>
    <s v="HAPSDCIT20251003-01"/>
    <m/>
    <m/>
    <s v="No"/>
    <n v="5019088092"/>
    <s v="PZ_3T925"/>
    <s v="Aleh Tsarun"/>
    <m/>
  </r>
  <r>
    <x v="0"/>
    <x v="0"/>
    <x v="0"/>
    <x v="2"/>
    <d v="2025-10-03T10:00:00"/>
    <s v="364773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009259"/>
    <x v="0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10:00:00"/>
    <s v="368116_OOS"/>
    <s v="Loading"/>
    <s v="CN-AIR_OOS"/>
    <s v="Aval non piloté_EN"/>
    <s v="GEODIS"/>
    <m/>
    <m/>
    <s v="No"/>
    <s v="NL Haps DC (DSV)"/>
    <s v="OOS_OUT - Delivery OOS"/>
    <n v="25"/>
    <n v="0"/>
    <n v="0"/>
    <n v="0"/>
    <s v="CN 5019019931 (22PL) CN 5019024771   5019014742   5019014474 (3PL) TOTAL 25PL"/>
    <x v="0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10:00:00"/>
    <s v="368192_OOS"/>
    <s v="Loading"/>
    <s v="5019090404_OOS"/>
    <s v="Aval non piloté_EN"/>
    <s v="Trivium"/>
    <m/>
    <m/>
    <s v="No"/>
    <s v="NL Haps DC (DSV)"/>
    <s v="OOS_OUT - Delivery OOS"/>
    <n v="36"/>
    <n v="0"/>
    <n v="0"/>
    <n v="0"/>
    <s v="return to supplier  details shared by mail lizzy"/>
    <x v="5"/>
    <m/>
    <s v="04/10/2025 09:00-09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0"/>
    <x v="2"/>
    <d v="2025-10-03T10:00:00"/>
    <s v="364772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837186"/>
    <x v="0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10:00:00"/>
    <s v="0006069411_4900"/>
    <s v="Loading"/>
    <n v="450189"/>
    <s v="Primary flows"/>
    <s v="SAMSKIP FOR SN 3PO"/>
    <m/>
    <m/>
    <s v="No"/>
    <s v="NL Haps DC (DSV)"/>
    <s v="RUGB - GB Rugby"/>
    <n v="33"/>
    <n v="0"/>
    <n v="0"/>
    <n v="0"/>
    <s v="1  01"/>
    <x v="1"/>
    <m/>
    <s v="09/10/2025 23:30-23:30"/>
    <m/>
    <n v="0"/>
    <m/>
    <s v="No"/>
    <s v="Shipped/Received"/>
    <s v="Direct"/>
    <m/>
    <m/>
    <m/>
    <s v="HAPSDCUK20251003-05"/>
    <m/>
    <m/>
    <s v="No"/>
    <n v="5019039442"/>
    <m/>
    <m/>
    <m/>
  </r>
  <r>
    <x v="0"/>
    <x v="0"/>
    <x v="0"/>
    <x v="2"/>
    <d v="2025-10-03T11:00:00"/>
    <s v="367415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848481"/>
    <x v="0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11:00:00"/>
    <s v="0006082761_4900"/>
    <s v="Loading"/>
    <n v="454336"/>
    <s v="Primary flows"/>
    <s v="HART LOGISTICS FOR SN 3PO"/>
    <m/>
    <m/>
    <s v="No"/>
    <s v="NL Haps DC (DSV)"/>
    <s v="OPOL - PL Opole"/>
    <n v="15"/>
    <n v="0"/>
    <n v="0"/>
    <n v="0"/>
    <s v="1  01"/>
    <x v="5"/>
    <m/>
    <s v="06/10/2025 15:45-15:45"/>
    <m/>
    <n v="0"/>
    <m/>
    <s v="No"/>
    <s v="Shipped/Received"/>
    <s v="Direct"/>
    <m/>
    <m/>
    <m/>
    <s v="SPHapsOPO-031025-02"/>
    <m/>
    <m/>
    <s v="No"/>
    <n v="5019070878"/>
    <m/>
    <m/>
    <m/>
  </r>
  <r>
    <x v="0"/>
    <x v="0"/>
    <x v="0"/>
    <x v="2"/>
    <d v="2025-10-03T11:00:00"/>
    <s v="367759_OOS"/>
    <s v="Loading"/>
    <s v="MEA-SEA_OOS"/>
    <s v="Aval non piloté_EN"/>
    <s v="KERRY LOGISTICS"/>
    <m/>
    <m/>
    <m/>
    <s v="NL Haps DC (DSV)"/>
    <s v="OOS_OUT - Delivery OOS"/>
    <n v="23"/>
    <n v="0"/>
    <n v="0"/>
    <n v="0"/>
    <s v="MEA  5018916163 5018912700 5018903781 5018920268 5018980067"/>
    <x v="0"/>
    <m/>
    <s v="04/10/2025 10:00-10:00"/>
    <m/>
    <n v="0"/>
    <m/>
    <s v="No"/>
    <m/>
    <s v="Direct"/>
    <m/>
    <m/>
    <s v="mdc.transport@danone.com"/>
    <m/>
    <m/>
    <m/>
    <s v="No"/>
    <s v="&amp;nbsp"/>
    <m/>
    <m/>
    <m/>
  </r>
  <r>
    <x v="0"/>
    <x v="0"/>
    <x v="0"/>
    <x v="2"/>
    <d v="2025-10-03T11:00:00"/>
    <s v="0006069412_4900"/>
    <s v="Loading"/>
    <s v="454051 / 454050 / 450198"/>
    <s v="Primary flows / Primary flows / Primary flows"/>
    <s v="SAMSKIP FOR SN 3PO"/>
    <m/>
    <m/>
    <s v="No"/>
    <s v="NL Haps DC (DSV)"/>
    <s v="REDD - GB Redditch / REDD - GB Redditch / REDD - GB Redditch"/>
    <n v="99"/>
    <n v="0"/>
    <n v="0"/>
    <n v="0"/>
    <s v="1  01"/>
    <x v="1"/>
    <m/>
    <s v="09/10/2025 18:00-18:00"/>
    <m/>
    <n v="0"/>
    <m/>
    <s v="No"/>
    <s v="Shipped/Received"/>
    <s v="Direct"/>
    <s v=" /  / "/>
    <s v=" /  / "/>
    <m/>
    <s v="HAPSDCUK20251003-06 / HAPSDCUK20251003-06 / HAPSDCUK20251003-06"/>
    <m/>
    <m/>
    <s v="No"/>
    <s v="5019027891 / 5019023519 / 5019019951"/>
    <m/>
    <m/>
    <m/>
  </r>
  <r>
    <x v="0"/>
    <x v="0"/>
    <x v="0"/>
    <x v="2"/>
    <d v="2025-10-03T12:00:00"/>
    <s v="0006069408_4900"/>
    <s v="Loading"/>
    <n v="450195"/>
    <s v="Primary flows"/>
    <s v="SAMSKIP FOR SN 3PO"/>
    <m/>
    <m/>
    <s v="No"/>
    <s v="NL Haps DC (DSV)"/>
    <s v="REDD - GB Redditch"/>
    <n v="33"/>
    <n v="0"/>
    <n v="0"/>
    <n v="0"/>
    <s v="1  01"/>
    <x v="1"/>
    <m/>
    <s v="09/10/2025 18:00-18:00"/>
    <m/>
    <n v="0"/>
    <m/>
    <s v="No"/>
    <s v="Shipped/Received"/>
    <s v="Direct"/>
    <m/>
    <m/>
    <m/>
    <s v="HAPSDCUK20251003-02"/>
    <m/>
    <m/>
    <s v="No"/>
    <n v="5019083990"/>
    <m/>
    <m/>
    <m/>
  </r>
  <r>
    <x v="0"/>
    <x v="0"/>
    <x v="0"/>
    <x v="2"/>
    <d v="2025-10-03T12:00:00"/>
    <s v="363234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069870"/>
    <x v="0"/>
    <m/>
    <s v="04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0"/>
    <x v="2"/>
    <d v="2025-10-03T12:00:00"/>
    <s v="0006069407_4900"/>
    <s v="Loading"/>
    <s v="454545 / 450180"/>
    <s v="Primary flows / Primary flows"/>
    <s v="GIRTEKA FOR SN 3PO"/>
    <m/>
    <m/>
    <s v="No"/>
    <s v="NL Haps DC (DSV)"/>
    <s v="REDD - GB Redditch / REDD - GB Redditch"/>
    <n v="66"/>
    <n v="0"/>
    <n v="0"/>
    <n v="0"/>
    <s v="1  01"/>
    <x v="1"/>
    <m/>
    <s v="06/10/2025 12:00-12:00"/>
    <m/>
    <n v="0"/>
    <m/>
    <s v="No"/>
    <s v="Shipped/Received"/>
    <s v="Direct"/>
    <s v=" / "/>
    <s v=" / "/>
    <m/>
    <s v="HAPSDCUK20251003-01 / HAPSDCUK20251003-01"/>
    <m/>
    <m/>
    <s v="No"/>
    <s v="5019080464 / 5019078185"/>
    <m/>
    <m/>
    <m/>
  </r>
  <r>
    <x v="0"/>
    <x v="0"/>
    <x v="0"/>
    <x v="2"/>
    <d v="2025-10-03T12:00:00"/>
    <s v="364933_OOS"/>
    <s v="Loading"/>
    <s v="CN-AIR_OOS"/>
    <s v="Aval non piloté_EN"/>
    <s v="GEODIS"/>
    <m/>
    <m/>
    <m/>
    <s v="NL Haps DC (DSV)"/>
    <s v="OOS_OUT - Delivery OOS"/>
    <n v="23"/>
    <n v="0"/>
    <n v="0"/>
    <n v="0"/>
    <s v="CN 5019002026"/>
    <x v="0"/>
    <m/>
    <s v="04/10/2025 10:00-10:00"/>
    <m/>
    <n v="0"/>
    <m/>
    <s v="No"/>
    <m/>
    <s v="Direct"/>
    <m/>
    <m/>
    <s v="mdc.transport@danone.com"/>
    <m/>
    <m/>
    <m/>
    <s v="No"/>
    <s v="&amp;nbsp"/>
    <m/>
    <m/>
    <m/>
  </r>
  <r>
    <x v="0"/>
    <x v="0"/>
    <x v="0"/>
    <x v="2"/>
    <d v="2025-10-03T13:00:00"/>
    <s v="363235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079926 + 5019070302 "/>
    <x v="0"/>
    <m/>
    <s v="04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0"/>
    <x v="2"/>
    <d v="2025-10-03T13:00:00"/>
    <s v="364930_OOS"/>
    <s v="Loading"/>
    <s v="CN-AIR_OOS"/>
    <s v="Aval non piloté_EN"/>
    <s v="GEODIS"/>
    <m/>
    <m/>
    <m/>
    <s v="NL Haps DC (DSV)"/>
    <s v="OOS_OUT - Delivery OOS"/>
    <n v="23"/>
    <n v="0"/>
    <n v="0"/>
    <n v="0"/>
    <s v="CN 5019001703"/>
    <x v="0"/>
    <m/>
    <s v="04/10/2025 10:00-10:00"/>
    <m/>
    <n v="0"/>
    <m/>
    <s v="No"/>
    <m/>
    <s v="Direct"/>
    <m/>
    <m/>
    <s v="mdc.transport@danone.com"/>
    <m/>
    <m/>
    <m/>
    <s v="No"/>
    <s v="&amp;nbsp"/>
    <m/>
    <m/>
    <m/>
  </r>
  <r>
    <x v="0"/>
    <x v="0"/>
    <x v="0"/>
    <x v="2"/>
    <d v="2025-10-03T13:00:00"/>
    <s v="367416_OOS"/>
    <s v="Loading"/>
    <s v="MEA-SEA_OOS"/>
    <s v="Aval non piloté_EN"/>
    <s v="KERRY LOGISTICS"/>
    <m/>
    <m/>
    <s v="No"/>
    <s v="NL Haps DC (DSV)"/>
    <s v="OOS_OUT - Delivery OOS"/>
    <n v="11"/>
    <n v="0"/>
    <n v="0"/>
    <n v="0"/>
    <s v="MEA 5018844822"/>
    <x v="0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13:00:00"/>
    <s v="0006060511_4900"/>
    <s v="Loading"/>
    <n v="447467"/>
    <s v="Primary flows"/>
    <s v="LKW WALTER FOR SN 3PO"/>
    <m/>
    <m/>
    <s v="No"/>
    <s v="NL Haps DC (DSV)"/>
    <s v="ALZE - DE Alzenau"/>
    <n v="33"/>
    <n v="0"/>
    <n v="0"/>
    <n v="0"/>
    <s v="1  01"/>
    <x v="1"/>
    <m/>
    <s v="05/10/2025 23:30-23:30"/>
    <m/>
    <n v="0"/>
    <m/>
    <s v="No"/>
    <s v="Shipped/Received"/>
    <s v="Direct"/>
    <m/>
    <m/>
    <m/>
    <s v="HAPSDCDE20251003-02"/>
    <m/>
    <m/>
    <s v="No"/>
    <n v="5019090094"/>
    <m/>
    <m/>
    <m/>
  </r>
  <r>
    <x v="0"/>
    <x v="0"/>
    <x v="0"/>
    <x v="2"/>
    <d v="2025-10-03T14:00:00"/>
    <s v="363367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002028"/>
    <x v="0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14:00:00"/>
    <s v="364931_OOS"/>
    <s v="Loading"/>
    <s v="CN-AIR_OOS"/>
    <s v="Aval non piloté_EN"/>
    <s v="GEODIS"/>
    <m/>
    <m/>
    <m/>
    <s v="NL Haps DC (DSV)"/>
    <s v="OOS_OUT - Delivery OOS"/>
    <n v="23"/>
    <n v="0"/>
    <n v="0"/>
    <n v="0"/>
    <s v="CN 5019016495"/>
    <x v="0"/>
    <m/>
    <s v="04/10/2025 10:00-10:00"/>
    <m/>
    <n v="0"/>
    <m/>
    <s v="No"/>
    <m/>
    <s v="Direct"/>
    <m/>
    <m/>
    <s v="mdc.transport@danone.com"/>
    <m/>
    <m/>
    <m/>
    <s v="No"/>
    <s v="&amp;nbsp"/>
    <m/>
    <m/>
    <m/>
  </r>
  <r>
    <x v="0"/>
    <x v="0"/>
    <x v="0"/>
    <x v="2"/>
    <d v="2025-10-03T14:00:00"/>
    <s v="0006060520_4900"/>
    <s v="Loading"/>
    <n v="447497"/>
    <s v="Primary flows"/>
    <s v="NABUURS FOR SN 3PO"/>
    <m/>
    <m/>
    <s v="No"/>
    <s v="NL Haps DC (DSV)"/>
    <s v="OOST - NL Oosterhout (Nabuurs)"/>
    <n v="33"/>
    <n v="0"/>
    <n v="0"/>
    <n v="0"/>
    <s v="1  01"/>
    <x v="1"/>
    <m/>
    <s v="03/10/2025 15:00-15:00"/>
    <m/>
    <n v="0"/>
    <m/>
    <s v="No"/>
    <s v="Shipped/Received"/>
    <s v="Direct"/>
    <m/>
    <m/>
    <m/>
    <s v="HAPSDCNL20251003-01"/>
    <m/>
    <m/>
    <s v="No"/>
    <n v="5019036909"/>
    <m/>
    <m/>
    <m/>
  </r>
  <r>
    <x v="0"/>
    <x v="0"/>
    <x v="0"/>
    <x v="2"/>
    <d v="2025-10-03T14:00:00"/>
    <s v="368193_OOS"/>
    <s v="Loading"/>
    <s v="5019090405_OOS"/>
    <s v="Aval non piloté_EN"/>
    <s v="Trivium"/>
    <m/>
    <m/>
    <s v="No"/>
    <s v="NL Haps DC (DSV)"/>
    <s v="OOS_OUT - Delivery OOS"/>
    <n v="36"/>
    <n v="0"/>
    <n v="0"/>
    <n v="0"/>
    <s v="return to supplier - see mail lizzy"/>
    <x v="5"/>
    <m/>
    <s v="04/10/2025 09:00-09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0"/>
    <x v="2"/>
    <d v="2025-10-03T15:00:00"/>
    <s v="363368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000839"/>
    <x v="0"/>
    <m/>
    <s v="0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0"/>
    <x v="2"/>
    <d v="2025-10-03T15:00:00"/>
    <s v="364932_OOS"/>
    <s v="Loading"/>
    <s v="CN-AIR_OOS"/>
    <s v="Aval non piloté_EN"/>
    <s v="GEODIS"/>
    <m/>
    <m/>
    <m/>
    <s v="NL Haps DC (DSV)"/>
    <s v="OOS_OUT - Delivery OOS"/>
    <n v="23"/>
    <n v="0"/>
    <n v="0"/>
    <n v="0"/>
    <s v="CN 5019014568"/>
    <x v="0"/>
    <m/>
    <s v="04/10/2025 10:00-10:00"/>
    <m/>
    <n v="0"/>
    <m/>
    <s v="No"/>
    <m/>
    <s v="Direct"/>
    <m/>
    <m/>
    <s v="mdc.transport@danone.com"/>
    <m/>
    <m/>
    <m/>
    <s v="No"/>
    <s v="&amp;nbsp"/>
    <m/>
    <m/>
    <m/>
  </r>
  <r>
    <x v="0"/>
    <x v="0"/>
    <x v="0"/>
    <x v="2"/>
    <d v="2025-10-03T15:00:00"/>
    <s v="0006060473_4900"/>
    <s v="Loading"/>
    <s v="447461 / 447460"/>
    <s v="Primary flows / Primary flows"/>
    <s v="KREISS FOR SN 3PO"/>
    <m/>
    <m/>
    <s v="No"/>
    <s v="NL Haps DC (DSV)"/>
    <s v="BRAT - SK Bratislava / BUDA - HU Budapest (BILK Logisztikai)"/>
    <n v="66"/>
    <n v="0"/>
    <n v="0"/>
    <n v="0"/>
    <s v="1  01"/>
    <x v="1"/>
    <m/>
    <s v="06/10/2025 15:00-15:00 / 06/10/2025 08:00-08:00"/>
    <m/>
    <n v="0"/>
    <m/>
    <s v="No"/>
    <s v="Shipped/Received"/>
    <s v="Direct"/>
    <s v=" / "/>
    <s v=" / "/>
    <m/>
    <s v="HAPSDCHU20251001-01 / HAPSDCHU20251001-01"/>
    <m/>
    <m/>
    <s v="No"/>
    <s v="5019049270 / 5019067415"/>
    <m/>
    <m/>
    <m/>
  </r>
  <r>
    <x v="0"/>
    <x v="0"/>
    <x v="0"/>
    <x v="2"/>
    <d v="2025-10-03T16:00:00"/>
    <s v="0006060524_4900"/>
    <s v="Loading"/>
    <n v="447495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10/10/2025 16:00-16:00"/>
    <m/>
    <n v="0"/>
    <m/>
    <s v="No"/>
    <s v="Shipped/Received"/>
    <s v="Direct"/>
    <m/>
    <m/>
    <m/>
    <s v="HAPSDCSE20251003-01"/>
    <m/>
    <m/>
    <s v="No"/>
    <n v="5019071915"/>
    <m/>
    <m/>
    <m/>
  </r>
  <r>
    <x v="0"/>
    <x v="0"/>
    <x v="0"/>
    <x v="2"/>
    <d v="2025-10-03T16:00:00"/>
    <s v="366467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022008"/>
    <x v="0"/>
    <m/>
    <s v="04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0"/>
    <x v="2"/>
    <d v="2025-10-03T16:00:00"/>
    <s v="0006060500_4900"/>
    <s v="Loading"/>
    <n v="447441"/>
    <s v="Primary flows"/>
    <s v="LKW WALTER FOR SN 3PO"/>
    <m/>
    <m/>
    <s v="No"/>
    <s v="NL Haps DC (DSV)"/>
    <s v="ALZE - DE Alzenau"/>
    <n v="33"/>
    <n v="0"/>
    <n v="0"/>
    <n v="0"/>
    <s v="1  01"/>
    <x v="1"/>
    <m/>
    <s v="05/10/2025 23:30-23:30"/>
    <m/>
    <n v="0"/>
    <m/>
    <s v="No"/>
    <s v="Shipped/Received"/>
    <s v="Direct"/>
    <m/>
    <m/>
    <m/>
    <s v="HAPSDCDE20251003-01"/>
    <m/>
    <m/>
    <s v="No"/>
    <n v="5019090093"/>
    <m/>
    <m/>
    <m/>
  </r>
  <r>
    <x v="0"/>
    <x v="0"/>
    <x v="0"/>
    <x v="2"/>
    <d v="2025-10-03T16:00:00"/>
    <s v="363232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066877+ 5019079921 "/>
    <x v="0"/>
    <m/>
    <s v="04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0"/>
    <x v="2"/>
    <d v="2025-10-03T16:00:00"/>
    <s v="368194_OOS"/>
    <s v="Loading"/>
    <s v="5019090406_OOS"/>
    <s v="Aval non piloté_EN"/>
    <s v="Trivium"/>
    <m/>
    <m/>
    <s v="No"/>
    <s v="NL Haps DC (DSV)"/>
    <s v="OOS_OUT - Delivery OOS"/>
    <n v="36"/>
    <n v="0"/>
    <n v="0"/>
    <n v="0"/>
    <s v="return to supplier - see mail Lizzy"/>
    <x v="5"/>
    <m/>
    <s v="04/10/2025 09:00-09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0"/>
    <x v="2"/>
    <d v="2025-10-03T17:00:00"/>
    <s v="0006060499_4900"/>
    <s v="Loading"/>
    <n v="447425"/>
    <s v="Primary flows"/>
    <s v="GIRTEKA FOR SN 3PO"/>
    <m/>
    <m/>
    <s v="No"/>
    <s v="NL Haps DC (DSV)"/>
    <s v="RICA - CZ Ricany DC2 Ambient WH"/>
    <n v="33"/>
    <n v="0"/>
    <n v="0"/>
    <n v="0"/>
    <s v="1  01"/>
    <x v="1"/>
    <m/>
    <s v="06/10/2025 11:00-11:00"/>
    <s v="PZ_3V316"/>
    <n v="0"/>
    <m/>
    <s v="No"/>
    <s v="Shipped/Received"/>
    <s v="Direct"/>
    <m/>
    <m/>
    <m/>
    <s v="HAPSDCCZ20251003-01"/>
    <m/>
    <m/>
    <s v="No"/>
    <n v="5019081500"/>
    <s v="MIO_884"/>
    <s v="Abdulvose Nazarzoda"/>
    <m/>
  </r>
  <r>
    <x v="0"/>
    <x v="0"/>
    <x v="0"/>
    <x v="2"/>
    <d v="2025-10-03T17:00:00"/>
    <s v="0006073423_4900"/>
    <s v="Loading"/>
    <n v="451471"/>
    <s v="Primary flows"/>
    <s v="GIRTEKA FOR SN 3PO"/>
    <m/>
    <m/>
    <s v="No"/>
    <s v="NL Haps DC (DSV)"/>
    <s v="RICA - CZ Ricany DC2 Ambient WH"/>
    <n v="33"/>
    <n v="0"/>
    <n v="0"/>
    <n v="0"/>
    <s v="1  01"/>
    <x v="1"/>
    <m/>
    <s v="06/10/2025 13:00-13:00"/>
    <s v="WPR_6754A"/>
    <n v="0"/>
    <m/>
    <s v="No"/>
    <s v="Shipped/Received"/>
    <s v="Direct"/>
    <m/>
    <m/>
    <m/>
    <s v="HAPSDCCZ20251003-02"/>
    <m/>
    <m/>
    <s v="No"/>
    <n v="5019082234"/>
    <s v="MIO_455"/>
    <s v="Uladzimir Lapkouski"/>
    <m/>
  </r>
  <r>
    <x v="0"/>
    <x v="0"/>
    <x v="0"/>
    <x v="2"/>
    <d v="2025-10-03T17:00:00"/>
    <s v="0006060514_4900"/>
    <s v="Loading"/>
    <s v="454542 / 447496"/>
    <s v="Primary flows / Primary flows"/>
    <s v="KREISS FOR SN 3PO"/>
    <m/>
    <m/>
    <s v="No"/>
    <s v="NL Haps DC (DSV)"/>
    <s v="CIE2 - ES Ciempozuelos SN / CIE2 - ES Ciempozuelos SN"/>
    <n v="66"/>
    <n v="0"/>
    <n v="0"/>
    <n v="0"/>
    <s v="1  01"/>
    <x v="1"/>
    <m/>
    <s v="06/10/2025 12:00-12:00"/>
    <m/>
    <n v="0"/>
    <m/>
    <s v="No"/>
    <s v="Shipped/Received"/>
    <s v="Direct"/>
    <s v=" / "/>
    <s v=" / "/>
    <m/>
    <s v="HAPSDCES20251003-01 / HAPSDCES20251003-01"/>
    <m/>
    <m/>
    <s v="No"/>
    <s v="5019093242 / 5019090169"/>
    <m/>
    <m/>
    <m/>
  </r>
  <r>
    <x v="0"/>
    <x v="0"/>
    <x v="0"/>
    <x v="2"/>
    <d v="2025-10-03T18:00:00"/>
    <s v="0006060521_4900"/>
    <s v="Loading"/>
    <s v="454544 / 454543 / 447491"/>
    <s v="Primary flows / Primary flows / Primary flows"/>
    <s v="GIRTEKA FOR SN 3PO"/>
    <m/>
    <m/>
    <s v="No"/>
    <s v="NL Haps DC (DSV)"/>
    <s v="GRAB - PL Grabica / GRAB - PL Grabica / GRAB - PL Grabica"/>
    <n v="99"/>
    <n v="0"/>
    <n v="0"/>
    <n v="0"/>
    <s v="1  01"/>
    <x v="1"/>
    <m/>
    <s v="06/10/2025 11:00-11:00"/>
    <s v="PZ_3C020"/>
    <n v="0"/>
    <m/>
    <s v="No"/>
    <s v="Shipped/Received"/>
    <s v="Direct"/>
    <s v=" /  / "/>
    <s v=" /  / "/>
    <m/>
    <s v="HAPSDCPL20251003-01 / HAPSDCPL20251003-01 / HAPSDCPL20251003-01"/>
    <m/>
    <m/>
    <s v="No"/>
    <s v="5019069513 / 5019069474 / 5019069033"/>
    <s v="MJG_621"/>
    <s v="Khushruz Nurilloev"/>
    <m/>
  </r>
  <r>
    <x v="0"/>
    <x v="0"/>
    <x v="0"/>
    <x v="2"/>
    <d v="2025-10-03T18:00:00"/>
    <s v="0006060515_4900"/>
    <s v="Loading"/>
    <n v="447485"/>
    <s v="Primary flows"/>
    <s v="CH ROBINSON FOR SN 3PO HVO"/>
    <m/>
    <m/>
    <s v="No"/>
    <s v="NL Haps DC (DSV)"/>
    <s v="CIE2 - ES Ciempozuelos SN"/>
    <n v="33"/>
    <n v="0"/>
    <n v="0"/>
    <n v="0"/>
    <s v="1  01"/>
    <x v="1"/>
    <m/>
    <s v="07/10/2025 08:00-08:00"/>
    <s v="R2397BCT"/>
    <n v="0"/>
    <m/>
    <s v="No"/>
    <s v="Shipped/Received"/>
    <s v="Direct"/>
    <m/>
    <m/>
    <m/>
    <s v="HAPSDCES20251003-02"/>
    <m/>
    <m/>
    <s v="No"/>
    <n v="5019081223"/>
    <s v="0082MDK"/>
    <m/>
    <m/>
  </r>
  <r>
    <x v="0"/>
    <x v="0"/>
    <x v="0"/>
    <x v="2"/>
    <d v="2025-10-03T19:00:00"/>
    <s v="0006060523_4900"/>
    <s v="Loading"/>
    <s v="454731 / 447494"/>
    <s v="Primary flows / Primary flows"/>
    <s v="GIRTEKA FOR SN 3PO"/>
    <m/>
    <m/>
    <s v="No"/>
    <s v="NL Haps DC (DSV)"/>
    <s v="GRAB - PL Grabica / GRAB - PL Grabica"/>
    <n v="66"/>
    <n v="0"/>
    <n v="0"/>
    <n v="0"/>
    <s v="1  01"/>
    <x v="1"/>
    <m/>
    <s v="07/10/2025 08:00-08:00"/>
    <s v="PZ_7T641"/>
    <n v="0"/>
    <m/>
    <s v="No"/>
    <s v="Shipped/Received"/>
    <s v="Direct"/>
    <s v=" / "/>
    <s v=" / "/>
    <m/>
    <s v="HAPSDCPL20251003-03 / HAPSDCPL20251003-03"/>
    <m/>
    <m/>
    <s v="No"/>
    <s v="5019096407 / 5019080990"/>
    <s v="PZ_5R464"/>
    <s v="Aliaksei Danilenka"/>
    <m/>
  </r>
  <r>
    <x v="0"/>
    <x v="0"/>
    <x v="0"/>
    <x v="2"/>
    <d v="2025-10-03T19:00:00"/>
    <s v="0006060512_4900"/>
    <s v="Loading"/>
    <n v="447458"/>
    <s v="Primary flows"/>
    <s v="GIRTEKA FOR SN 3PO"/>
    <m/>
    <m/>
    <s v="No"/>
    <s v="NL Haps DC (DSV)"/>
    <s v="ALZE - DE Alzenau"/>
    <n v="33"/>
    <n v="0"/>
    <n v="0"/>
    <n v="0"/>
    <s v="1  01"/>
    <x v="1"/>
    <m/>
    <s v="06/10/2025 06:00-06:00"/>
    <m/>
    <n v="0"/>
    <m/>
    <s v="No"/>
    <s v="Shipped/Received"/>
    <s v="Direct"/>
    <m/>
    <m/>
    <m/>
    <s v="HAPSDCDE20251003-03"/>
    <m/>
    <m/>
    <s v="No"/>
    <n v="5019091681"/>
    <m/>
    <m/>
    <m/>
  </r>
  <r>
    <x v="0"/>
    <x v="0"/>
    <x v="0"/>
    <x v="2"/>
    <d v="2025-10-03T19:00:00"/>
    <s v="0006060519_4900"/>
    <s v="Loading"/>
    <n v="447493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0/10/2025 10:00-10:00"/>
    <m/>
    <n v="0"/>
    <m/>
    <s v="No"/>
    <s v="Shipped/Received"/>
    <s v="Direct"/>
    <m/>
    <m/>
    <m/>
    <s v="HAPSDCIT20251003-02"/>
    <m/>
    <m/>
    <s v="No"/>
    <n v="5019087408"/>
    <m/>
    <m/>
    <m/>
  </r>
  <r>
    <x v="0"/>
    <x v="0"/>
    <x v="0"/>
    <x v="2"/>
    <d v="2025-10-03T20:00:00"/>
    <s v="0006060522_4900"/>
    <s v="Loading"/>
    <n v="447484"/>
    <s v="Primary flows"/>
    <s v="GIRTEKA FOR SN 3PO"/>
    <m/>
    <m/>
    <s v="No"/>
    <s v="NL Haps DC (DSV)"/>
    <s v="GRAB - PL Grabica"/>
    <n v="33"/>
    <n v="0"/>
    <n v="0"/>
    <n v="0"/>
    <s v="1  01"/>
    <x v="1"/>
    <m/>
    <s v="06/10/2025 11:00-11:00"/>
    <s v="PZ_3N519"/>
    <n v="0"/>
    <m/>
    <s v="No"/>
    <s v="Shipped/Received"/>
    <s v="Direct"/>
    <m/>
    <m/>
    <m/>
    <s v="HAPSDCPL20251003-02"/>
    <m/>
    <m/>
    <s v="No"/>
    <n v="5019082493"/>
    <s v="WGM_2129H"/>
    <s v="Mikalai Klimovich"/>
    <m/>
  </r>
  <r>
    <x v="0"/>
    <x v="0"/>
    <x v="0"/>
    <x v="2"/>
    <d v="2025-10-03T22:00:00"/>
    <s v="369501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112802"/>
    <x v="2"/>
    <m/>
    <s v="04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06:00:00"/>
    <s v="0006069410_4900"/>
    <s v="Loading"/>
    <n v="450188"/>
    <s v="Primary flows"/>
    <s v="SAMSKIP FOR SN 3PO"/>
    <m/>
    <m/>
    <s v="No"/>
    <s v="NL Haps DC (DSV)"/>
    <s v="REDD - GB Redditch"/>
    <n v="33"/>
    <n v="0"/>
    <n v="0"/>
    <n v="0"/>
    <s v="1  01"/>
    <x v="3"/>
    <m/>
    <s v="09/10/2025 18:00-18:00"/>
    <m/>
    <n v="0"/>
    <m/>
    <s v="No"/>
    <s v="Shipped/Received"/>
    <s v="Direct"/>
    <m/>
    <m/>
    <m/>
    <s v="HAPSDCUK20251003-04"/>
    <m/>
    <m/>
    <s v="No"/>
    <n v="5019090732"/>
    <m/>
    <m/>
    <m/>
  </r>
  <r>
    <x v="0"/>
    <x v="0"/>
    <x v="1"/>
    <x v="3"/>
    <d v="2025-10-06T06:00:00"/>
    <s v="0006082502_4900"/>
    <s v="Loading"/>
    <n v="454251"/>
    <s v="Primary flows"/>
    <s v="GIRTEKA FOR SN 3PO"/>
    <m/>
    <m/>
    <s v="No"/>
    <s v="NL Haps DC (DSV)"/>
    <s v="REDD - GB Redditch"/>
    <n v="33"/>
    <n v="0"/>
    <n v="0"/>
    <n v="0"/>
    <s v="1  01"/>
    <x v="1"/>
    <m/>
    <s v="07/10/2025 17:00-17:00"/>
    <s v="PZ_4P488"/>
    <n v="0"/>
    <m/>
    <s v="No"/>
    <s v="Shipped/Received"/>
    <s v="Direct"/>
    <m/>
    <m/>
    <m/>
    <s v="HAPSDCUK20251006-01"/>
    <m/>
    <m/>
    <s v="No"/>
    <n v="5019101567"/>
    <s v="PZ_5V281"/>
    <s v="Yurii Verbytskyi"/>
    <m/>
  </r>
  <r>
    <x v="0"/>
    <x v="0"/>
    <x v="1"/>
    <x v="3"/>
    <d v="2025-10-06T06:00:00"/>
    <s v="0006085492_4900"/>
    <s v="Loading"/>
    <n v="455589"/>
    <s v="Primary flows"/>
    <s v="SAMSKIP FOR SN 3PO"/>
    <m/>
    <m/>
    <s v="No"/>
    <s v="NL Haps DC (DSV)"/>
    <s v="REDD - GB Redditch"/>
    <n v="33"/>
    <n v="0"/>
    <n v="0"/>
    <n v="0"/>
    <s v="1  01"/>
    <x v="1"/>
    <m/>
    <s v="10/10/2025 18:00-18:00"/>
    <m/>
    <n v="0"/>
    <m/>
    <s v="No"/>
    <s v="Shipped/Received"/>
    <s v="Direct"/>
    <m/>
    <m/>
    <m/>
    <s v="HAPSDCUK20251006-06"/>
    <m/>
    <m/>
    <s v="No"/>
    <n v="5018985823"/>
    <m/>
    <m/>
    <m/>
  </r>
  <r>
    <x v="0"/>
    <x v="0"/>
    <x v="1"/>
    <x v="3"/>
    <d v="2025-10-06T07:00:00"/>
    <s v="0006082506_4900"/>
    <s v="Loading"/>
    <n v="454249"/>
    <s v="Primary flows"/>
    <s v="SAMSKIP FOR SN 3PO"/>
    <m/>
    <m/>
    <s v="No"/>
    <s v="NL Haps DC (DSV)"/>
    <s v="RUGB - GB Rugby"/>
    <n v="33"/>
    <n v="0"/>
    <n v="0"/>
    <n v="0"/>
    <s v="1  01"/>
    <x v="1"/>
    <m/>
    <s v="10/10/2025 23:30-23:30"/>
    <m/>
    <n v="0"/>
    <m/>
    <s v="No"/>
    <s v="Shipped/Received"/>
    <s v="Direct"/>
    <m/>
    <m/>
    <m/>
    <s v="HAPSDCUK20251006-05"/>
    <m/>
    <m/>
    <s v="No"/>
    <n v="5019046165"/>
    <m/>
    <m/>
    <m/>
  </r>
  <r>
    <x v="0"/>
    <x v="0"/>
    <x v="1"/>
    <x v="3"/>
    <d v="2025-10-06T07:00:00"/>
    <s v="0006072889_4900"/>
    <s v="Loading"/>
    <n v="452200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7/10/2025 09:00-09:00"/>
    <m/>
    <n v="0"/>
    <m/>
    <s v="No"/>
    <s v="Shipped/Received"/>
    <s v="Direct"/>
    <m/>
    <m/>
    <m/>
    <s v="HAPSDCFR20251006-01"/>
    <m/>
    <m/>
    <s v="No"/>
    <n v="5019104240"/>
    <m/>
    <m/>
    <m/>
  </r>
  <r>
    <x v="0"/>
    <x v="0"/>
    <x v="1"/>
    <x v="3"/>
    <d v="2025-10-06T07:00:00"/>
    <s v="0006084409_4900"/>
    <s v="Loading"/>
    <n v="455138"/>
    <s v="Primary flows"/>
    <s v="MIERZWA FOR SN 3PO"/>
    <m/>
    <m/>
    <s v="No"/>
    <s v="NL Haps DC (DSV)"/>
    <s v="OPOL - PL Opole"/>
    <n v="22"/>
    <n v="0"/>
    <n v="0"/>
    <n v="0"/>
    <s v="1  01"/>
    <x v="5"/>
    <m/>
    <s v="07/10/2025 21:45-21:45"/>
    <s v="WPR121AE"/>
    <n v="0"/>
    <m/>
    <s v="No"/>
    <s v="Shipped/Received"/>
    <s v="Direct"/>
    <m/>
    <m/>
    <m/>
    <s v="SPHapsOPO-061025-01"/>
    <m/>
    <m/>
    <s v="No"/>
    <n v="5019101724"/>
    <s v="kn0754K"/>
    <s v="Dariusz Winnicki"/>
    <m/>
  </r>
  <r>
    <x v="0"/>
    <x v="0"/>
    <x v="1"/>
    <x v="3"/>
    <d v="2025-10-06T07:00:00"/>
    <s v="369508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001703"/>
    <x v="3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08:00:00"/>
    <s v="367276_OOS"/>
    <s v="Loading"/>
    <s v="MEA-SEA_OOS"/>
    <s v="Aval non piloté_EN"/>
    <s v="HELLMANN"/>
    <m/>
    <m/>
    <s v="No"/>
    <s v="NL Haps DC (DSV)"/>
    <s v="OOS_OUT - Delivery OOS"/>
    <n v="12"/>
    <n v="0"/>
    <n v="0"/>
    <n v="0"/>
    <s v="MEA 5018925506 5018893484 5018948513 5018949913 5018771912 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08:00:00"/>
    <s v="0006072893_4900"/>
    <s v="Loading"/>
    <n v="452212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3/10/2025 23:00-23:00"/>
    <m/>
    <n v="0"/>
    <m/>
    <s v="No"/>
    <s v="Shipped/Received"/>
    <s v="Direct"/>
    <m/>
    <m/>
    <m/>
    <s v="HAPSDCIE20251006-01"/>
    <m/>
    <m/>
    <s v="No"/>
    <n v="5019083116"/>
    <m/>
    <m/>
    <m/>
  </r>
  <r>
    <x v="0"/>
    <x v="0"/>
    <x v="1"/>
    <x v="3"/>
    <d v="2025-10-06T08:00:00"/>
    <s v="0006084410_4900"/>
    <s v="Loading"/>
    <n v="455129"/>
    <s v="Primary flows"/>
    <s v="MIERZWA FOR SN 3PO"/>
    <m/>
    <m/>
    <s v="No"/>
    <s v="NL Haps DC (DSV)"/>
    <s v="OPOL - PL Opole"/>
    <n v="19"/>
    <n v="0"/>
    <n v="0"/>
    <n v="0"/>
    <s v="1  01"/>
    <x v="5"/>
    <m/>
    <s v="07/10/2025 23:15-23:15"/>
    <s v="KRA674PG"/>
    <n v="0"/>
    <m/>
    <s v="No"/>
    <s v="Shipped/Received"/>
    <s v="Direct"/>
    <m/>
    <m/>
    <m/>
    <s v="SPHapsOPO-061025-02"/>
    <m/>
    <m/>
    <s v="No"/>
    <n v="5019102570"/>
    <s v="WPR1861U"/>
    <s v="Mariusz Czy?"/>
    <m/>
  </r>
  <r>
    <x v="0"/>
    <x v="0"/>
    <x v="1"/>
    <x v="3"/>
    <d v="2025-10-06T08:00:00"/>
    <s v="368386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8930974   5018912512   5018984467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09:00:00"/>
    <s v="368984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79314 &amp; 5019107256 Regulier"/>
    <x v="1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09:00:00"/>
    <s v="367105_OOS"/>
    <s v="Loading"/>
    <s v="AU - AIR_OOS"/>
    <s v="Aval non piloté_EN"/>
    <s v="JAS"/>
    <m/>
    <m/>
    <s v="No"/>
    <s v="NL Haps DC (DSV)"/>
    <s v="OOS_OUT - Delivery OOS"/>
    <n v="17"/>
    <n v="0"/>
    <n v="0"/>
    <n v="0"/>
    <s v="AU AIR 5019023398 - 17 Pallets"/>
    <x v="0"/>
    <m/>
    <s v="07/10/2025 09:00-09:00"/>
    <m/>
    <n v="0"/>
    <m/>
    <s v="No"/>
    <s v="Shipped/Received"/>
    <s v="Direct"/>
    <m/>
    <m/>
    <s v="NLAMS-Export-Air@jas.com"/>
    <m/>
    <m/>
    <m/>
    <s v="No"/>
    <s v="&amp;nbsp"/>
    <m/>
    <m/>
    <m/>
  </r>
  <r>
    <x v="0"/>
    <x v="0"/>
    <x v="1"/>
    <x v="3"/>
    <d v="2025-10-06T09:00:00"/>
    <s v="367318_OOS"/>
    <s v="Loading"/>
    <s v="MEA-SEA_OOS"/>
    <s v="Aval non piloté_EN"/>
    <s v="GEODIS"/>
    <m/>
    <m/>
    <s v="No"/>
    <s v="NL Haps DC (DSV)"/>
    <s v="OOS_OUT - Delivery OOS"/>
    <n v="23"/>
    <n v="0"/>
    <n v="0"/>
    <n v="0"/>
    <s v="ELN 5018844755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0:00:00"/>
    <s v="362208_OOS"/>
    <s v="Loading"/>
    <s v="TH-SEA-6058466_OOS"/>
    <s v="Aval non piloté_EN"/>
    <s v="MAERSK - Control Tower"/>
    <m/>
    <m/>
    <s v="No"/>
    <s v="NL Haps DC (DSV)"/>
    <s v="OOS_OUT - Delivery OOS"/>
    <n v="20"/>
    <n v="0"/>
    <n v="0"/>
    <n v="0"/>
    <n v="5019000093"/>
    <x v="0"/>
    <m/>
    <s v="07/10/2025 00:01-00:01"/>
    <m/>
    <n v="0"/>
    <m/>
    <s v="No"/>
    <s v="Shipped/Received"/>
    <s v="Direct"/>
    <m/>
    <m/>
    <s v="nutricia.ct.eu@lns.maersk.com"/>
    <m/>
    <m/>
    <m/>
    <s v="No"/>
    <s v="&amp;nbsp"/>
    <m/>
    <m/>
    <n v="20816665"/>
  </r>
  <r>
    <x v="0"/>
    <x v="0"/>
    <x v="1"/>
    <x v="3"/>
    <d v="2025-10-06T10:00:00"/>
    <s v="354101_OOS"/>
    <s v="Loading"/>
    <s v="CN-SEA-6029857_OOS"/>
    <s v="Aval non piloté_EN"/>
    <s v="MAERSK - Control Tower"/>
    <m/>
    <m/>
    <s v="No"/>
    <s v="NL Haps DC (DSV)"/>
    <s v="OOS_OUT - Delivery OOS"/>
    <n v="20"/>
    <n v="0"/>
    <n v="0"/>
    <n v="0"/>
    <s v="5018935682 5018960778 5018971395 "/>
    <x v="0"/>
    <m/>
    <s v="07/10/2025 00:06-00:06"/>
    <m/>
    <n v="0"/>
    <m/>
    <s v="No"/>
    <s v="Shipped/Received"/>
    <s v="Direct"/>
    <m/>
    <m/>
    <s v="3POeuropect@lns.maersk.com"/>
    <m/>
    <m/>
    <m/>
    <s v="No"/>
    <s v="&amp;nbsp"/>
    <m/>
    <m/>
    <n v="259822699"/>
  </r>
  <r>
    <x v="0"/>
    <x v="0"/>
    <x v="1"/>
    <x v="3"/>
    <d v="2025-10-06T10:00:00"/>
    <s v="0006082503_4900"/>
    <s v="Loading"/>
    <n v="454259"/>
    <s v="Primary flows"/>
    <s v="SAMSKIP FOR SN 3PO"/>
    <m/>
    <m/>
    <s v="No"/>
    <s v="NL Haps DC (DSV)"/>
    <s v="REDD - GB Redditch"/>
    <n v="33"/>
    <n v="0"/>
    <n v="0"/>
    <n v="0"/>
    <s v="1  01"/>
    <x v="1"/>
    <m/>
    <s v="10/10/2025 18:00-18:00"/>
    <m/>
    <n v="0"/>
    <m/>
    <s v="No"/>
    <s v="Shipped/Received"/>
    <s v="Direct"/>
    <m/>
    <m/>
    <m/>
    <s v="HAPSDCUK20251006-02"/>
    <m/>
    <m/>
    <s v="No"/>
    <n v="5019081062"/>
    <m/>
    <m/>
    <m/>
  </r>
  <r>
    <x v="0"/>
    <x v="0"/>
    <x v="1"/>
    <x v="3"/>
    <d v="2025-10-06T10:00:00"/>
    <s v="362854_OOS"/>
    <s v="Loading"/>
    <s v="NZ-SEA-6061182_OOS"/>
    <s v="Aval non piloté_EN"/>
    <s v="Maersk - Control Tower"/>
    <m/>
    <m/>
    <s v="No"/>
    <s v="NL Haps DC (DSV)"/>
    <s v="OOS_OUT - Delivery OOS"/>
    <n v="20"/>
    <n v="0"/>
    <n v="0"/>
    <n v="0"/>
    <s v="5019017121 5018996796"/>
    <x v="0"/>
    <m/>
    <s v="07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177491"/>
  </r>
  <r>
    <x v="0"/>
    <x v="0"/>
    <x v="1"/>
    <x v="3"/>
    <d v="2025-10-06T11:00:00"/>
    <s v="366450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091217"/>
    <x v="0"/>
    <m/>
    <s v="07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1"/>
    <x v="3"/>
    <d v="2025-10-06T11:00:00"/>
    <s v="362209_OOS"/>
    <s v="Loading"/>
    <s v="TH-SEA-6058467_OOS"/>
    <s v="Aval non piloté_EN"/>
    <s v="MAERSK - Control Tower"/>
    <m/>
    <m/>
    <s v="No"/>
    <s v="NL Haps DC (DSV)"/>
    <s v="OOS_OUT - Delivery OOS"/>
    <n v="30"/>
    <n v="0"/>
    <n v="0"/>
    <n v="0"/>
    <s v="5018998295 5019000710 5018990742 "/>
    <x v="0"/>
    <m/>
    <s v="07/10/2025 00:01-00:01"/>
    <m/>
    <n v="0"/>
    <m/>
    <s v="No"/>
    <s v="Shipped/Received"/>
    <s v="Direct"/>
    <m/>
    <m/>
    <s v="nutricia.ct.eu@lns.maersk.com"/>
    <m/>
    <m/>
    <m/>
    <s v="No"/>
    <s v="&amp;nbsp"/>
    <m/>
    <m/>
    <n v="20816665"/>
  </r>
  <r>
    <x v="0"/>
    <x v="0"/>
    <x v="1"/>
    <x v="3"/>
    <d v="2025-10-06T11:00:00"/>
    <s v="362855_OOS"/>
    <s v="Loading"/>
    <s v="NZ-SEA-6061183_OOS"/>
    <s v="Aval non piloté_EN"/>
    <s v="Maersk - Control Tower"/>
    <m/>
    <m/>
    <s v="No"/>
    <s v="NL Haps DC (DSV)"/>
    <s v="OOS_OUT - Delivery OOS"/>
    <n v="20"/>
    <n v="0"/>
    <n v="0"/>
    <n v="0"/>
    <n v="5019001587"/>
    <x v="0"/>
    <m/>
    <s v="07/10/2025 00:02-00:02"/>
    <m/>
    <n v="0"/>
    <m/>
    <s v="No"/>
    <s v="Shipped/Received"/>
    <s v="Direct"/>
    <m/>
    <m/>
    <s v="nutricia.ct.eu@lns.maersk.com"/>
    <m/>
    <m/>
    <m/>
    <s v="No"/>
    <s v="&amp;nbsp"/>
    <m/>
    <m/>
    <n v="259610366"/>
  </r>
  <r>
    <x v="0"/>
    <x v="0"/>
    <x v="1"/>
    <x v="3"/>
    <d v="2025-10-06T11:00:00"/>
    <s v="0006082504_4900"/>
    <s v="Loading"/>
    <n v="454254"/>
    <s v="Primary flows"/>
    <s v="SAMSKIP FOR SN 3PO"/>
    <m/>
    <m/>
    <s v="No"/>
    <s v="NL Haps DC (DSV)"/>
    <s v="REDD - GB Redditch"/>
    <n v="33"/>
    <n v="0"/>
    <n v="0"/>
    <n v="0"/>
    <s v="1  01"/>
    <x v="1"/>
    <m/>
    <s v="10/10/2025 18:00-18:00"/>
    <m/>
    <n v="0"/>
    <m/>
    <s v="No"/>
    <s v="Shipped/Received"/>
    <s v="Direct"/>
    <m/>
    <m/>
    <m/>
    <s v="HAPSDCUK20251006-03"/>
    <m/>
    <m/>
    <s v="No"/>
    <n v="5019096508"/>
    <m/>
    <m/>
    <m/>
  </r>
  <r>
    <x v="0"/>
    <x v="0"/>
    <x v="1"/>
    <x v="3"/>
    <d v="2025-10-06T12:00:00"/>
    <s v="0006082505_4900"/>
    <s v="Loading"/>
    <n v="454253"/>
    <s v="Primary flows"/>
    <s v="SAMSKIP FOR SN 3PO"/>
    <m/>
    <m/>
    <s v="No"/>
    <s v="NL Haps DC (DSV)"/>
    <s v="REDD - GB Redditch"/>
    <n v="33"/>
    <n v="0"/>
    <n v="0"/>
    <n v="0"/>
    <s v="1  01"/>
    <x v="1"/>
    <m/>
    <s v="10/10/2025 18:00-18:00"/>
    <m/>
    <n v="0"/>
    <m/>
    <s v="No"/>
    <s v="Shipped/Received"/>
    <s v="Direct"/>
    <m/>
    <m/>
    <m/>
    <s v="HAPSDCUK20251006-04"/>
    <m/>
    <m/>
    <s v="No"/>
    <n v="5019081502"/>
    <m/>
    <m/>
    <m/>
  </r>
  <r>
    <x v="0"/>
    <x v="0"/>
    <x v="1"/>
    <x v="3"/>
    <d v="2025-10-06T12:00:00"/>
    <s v="368195_OOS"/>
    <s v="Loading"/>
    <s v="5019090407_OOS"/>
    <s v="Aval non piloté_EN"/>
    <s v="Trivium"/>
    <m/>
    <m/>
    <s v="No"/>
    <s v="NL Haps DC (DSV)"/>
    <s v="OOS_OUT - Delivery OOS"/>
    <n v="36"/>
    <n v="0"/>
    <n v="0"/>
    <n v="0"/>
    <s v="return to supplier - mail lizzy"/>
    <x v="5"/>
    <m/>
    <s v="07/10/2025 09:00-09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1"/>
    <x v="3"/>
    <d v="2025-10-06T12:00:00"/>
    <s v="369282_OOS"/>
    <s v="Loading"/>
    <s v="Scrap ZTM PIM - ROAD_OOS"/>
    <s v="Aval non piloté_EN"/>
    <s v="Koopman Cargo B.V."/>
    <m/>
    <m/>
    <s v="No"/>
    <s v="NL Haps DC (DSV)"/>
    <s v="OOS_OUT - Delivery OOS"/>
    <n v="33"/>
    <n v="0"/>
    <n v="0"/>
    <n v="0"/>
    <n v="90020792"/>
    <x v="0"/>
    <m/>
    <s v="07/10/2025 12:00-12:00"/>
    <m/>
    <n v="0"/>
    <m/>
    <s v="No"/>
    <s v="Shipped/Received"/>
    <s v="Direct"/>
    <m/>
    <m/>
    <s v="s.eek@koopman.nl"/>
    <m/>
    <m/>
    <m/>
    <s v="No"/>
    <s v="&amp;nbsp"/>
    <m/>
    <m/>
    <m/>
  </r>
  <r>
    <x v="0"/>
    <x v="0"/>
    <x v="1"/>
    <x v="3"/>
    <d v="2025-10-06T12:00:00"/>
    <s v="0006072894_4900"/>
    <s v="Loading"/>
    <n v="452203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10/10/2025 17:00-17:00"/>
    <m/>
    <n v="0"/>
    <m/>
    <s v="No"/>
    <s v="Shipped/Received"/>
    <s v="Direct"/>
    <m/>
    <m/>
    <m/>
    <s v="HAPSDCIT20251006-01"/>
    <m/>
    <m/>
    <s v="No"/>
    <n v="5019100571"/>
    <m/>
    <m/>
    <m/>
  </r>
  <r>
    <x v="0"/>
    <x v="0"/>
    <x v="1"/>
    <x v="3"/>
    <d v="2025-10-06T12:00:00"/>
    <s v="362856_OOS"/>
    <s v="Loading"/>
    <s v="NZ-SEA-6061184_OOS"/>
    <s v="Aval non piloté_EN"/>
    <s v="Maersk - Control Tower"/>
    <m/>
    <m/>
    <s v="No"/>
    <s v="NL Haps DC (DSV)"/>
    <s v="OOS_OUT - Delivery OOS"/>
    <n v="20"/>
    <n v="0"/>
    <n v="0"/>
    <n v="0"/>
    <n v="5019014204"/>
    <x v="0"/>
    <m/>
    <s v="07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610366"/>
  </r>
  <r>
    <x v="0"/>
    <x v="0"/>
    <x v="1"/>
    <x v="3"/>
    <d v="2025-10-06T13:00:00"/>
    <s v="367413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879990 5018893921 5018905519 5018966954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3:00:00"/>
    <s v="367319_OOS"/>
    <s v="Loading"/>
    <s v="MEA-SEA_OOS"/>
    <s v="Aval non piloté_EN"/>
    <s v="GEODIS"/>
    <m/>
    <m/>
    <s v="No"/>
    <s v="NL Haps DC (DSV)"/>
    <s v="OOS_OUT - Delivery OOS"/>
    <n v="23"/>
    <n v="0"/>
    <n v="0"/>
    <n v="0"/>
    <s v="ELN 5018849553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3:00:00"/>
    <s v="367414_OOS"/>
    <s v="Loading"/>
    <s v="IL - AIR_OOS"/>
    <s v="Aval non piloté_EN"/>
    <s v="GEODIS"/>
    <m/>
    <m/>
    <s v="No"/>
    <s v="NL Haps DC (DSV)"/>
    <s v="OOS_OUT - Delivery OOS"/>
    <n v="2"/>
    <n v="0"/>
    <n v="0"/>
    <n v="0"/>
    <s v="DN 5018947438 (1 PLT)   DN 5019037631 (1 PLT)"/>
    <x v="2"/>
    <m/>
    <s v="07/10/2025 09:00-09:00"/>
    <m/>
    <n v="0"/>
    <m/>
    <s v="No"/>
    <s v="Shipped/Received"/>
    <s v="Direct"/>
    <m/>
    <m/>
    <s v="export.ams.ff.nl@geodis.com"/>
    <m/>
    <m/>
    <m/>
    <s v="No"/>
    <s v="&amp;nbsp"/>
    <m/>
    <m/>
    <m/>
  </r>
  <r>
    <x v="0"/>
    <x v="0"/>
    <x v="1"/>
    <x v="3"/>
    <d v="2025-10-06T13:00:00"/>
    <s v="362858_OOS"/>
    <s v="Loading"/>
    <s v="NZ-SEA-6061185_OOS"/>
    <s v="Aval non piloté_EN"/>
    <s v="Maersk - Control Tower"/>
    <m/>
    <m/>
    <s v="No"/>
    <s v="NL Haps DC (DSV)"/>
    <s v="OOS_OUT - Delivery OOS"/>
    <n v="20"/>
    <n v="0"/>
    <n v="0"/>
    <n v="0"/>
    <s v="5019059337 5019062149"/>
    <x v="0"/>
    <m/>
    <s v="07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177652"/>
  </r>
  <r>
    <x v="0"/>
    <x v="0"/>
    <x v="1"/>
    <x v="3"/>
    <d v="2025-10-06T14:00:00"/>
    <s v="367320_OOS"/>
    <s v="Loading"/>
    <s v="MEA-SEA_OOS"/>
    <s v="Aval non piloté_EN"/>
    <s v="GEODIS"/>
    <m/>
    <m/>
    <s v="No"/>
    <s v="NL Haps DC (DSV)"/>
    <s v="OOS_OUT - Delivery OOS"/>
    <n v="23"/>
    <n v="0"/>
    <n v="0"/>
    <n v="0"/>
    <s v="ELN 5018856298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4:00:00"/>
    <s v="0006072886_4900"/>
    <s v="Loading"/>
    <n v="452214"/>
    <s v="Primary flows"/>
    <s v="LKW WALTER FOR SN 3PO"/>
    <m/>
    <m/>
    <s v="No"/>
    <s v="NL Haps DC (DSV)"/>
    <s v="ALZE - DE Alzenau"/>
    <n v="33"/>
    <n v="0"/>
    <n v="0"/>
    <n v="0"/>
    <s v="1  01"/>
    <x v="1"/>
    <m/>
    <s v="07/10/2025 09:00-09:00"/>
    <m/>
    <n v="0"/>
    <m/>
    <s v="No"/>
    <s v="Shipped/Received"/>
    <s v="Direct"/>
    <m/>
    <m/>
    <m/>
    <s v="HAPSDCDE20251006-01"/>
    <m/>
    <m/>
    <s v="No"/>
    <n v="5019091638"/>
    <m/>
    <m/>
    <m/>
  </r>
  <r>
    <x v="0"/>
    <x v="0"/>
    <x v="1"/>
    <x v="3"/>
    <d v="2025-10-06T14:00:00"/>
    <s v="368539_OOS"/>
    <s v="Loading"/>
    <s v="PA - SEA_OOS"/>
    <s v="Aval non piloté_EN"/>
    <s v="GEODIS"/>
    <m/>
    <m/>
    <s v="No"/>
    <s v="NL Haps DC (DSV)"/>
    <s v="OOS_OUT - Delivery OOS"/>
    <n v="5"/>
    <n v="0"/>
    <n v="0"/>
    <n v="0"/>
    <s v="DN 5019081224"/>
    <x v="2"/>
    <m/>
    <s v="07/10/2025 09:00-09:00"/>
    <m/>
    <n v="0"/>
    <m/>
    <s v="No"/>
    <s v="Shipped/Received"/>
    <s v="Direct"/>
    <m/>
    <m/>
    <s v="nutricia-booking.ff.nl@geodis.com"/>
    <m/>
    <m/>
    <m/>
    <s v="No"/>
    <s v="&amp;nbsp"/>
    <m/>
    <s v="PANAMA"/>
    <s v="SRTMS182520"/>
  </r>
  <r>
    <x v="0"/>
    <x v="0"/>
    <x v="1"/>
    <x v="3"/>
    <d v="2025-10-06T14:00:00"/>
    <s v="367321_OOS"/>
    <s v="Loading"/>
    <s v="MEA-SEA_OOS"/>
    <s v="Aval non piloté_EN"/>
    <s v="GEODIS"/>
    <m/>
    <m/>
    <s v="No"/>
    <s v="NL Haps DC (DSV)"/>
    <s v="OOS_OUT - Delivery OOS"/>
    <n v="23"/>
    <n v="0"/>
    <n v="0"/>
    <n v="0"/>
    <s v="ELN 5018847574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5:00:00"/>
    <s v="367325_OOS"/>
    <s v="Loading"/>
    <s v="MEA-SEA_OOS"/>
    <s v="Aval non piloté_EN"/>
    <s v="GEODIS"/>
    <m/>
    <m/>
    <s v="No"/>
    <s v="NL Haps DC (DSV)"/>
    <s v="OOS_OUT - Delivery OOS"/>
    <n v="7"/>
    <n v="0"/>
    <n v="0"/>
    <n v="0"/>
    <s v="ELN 5018912556"/>
    <x v="2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5:00:00"/>
    <s v="367324_OOS"/>
    <s v="Loading"/>
    <s v="MEA-SEA_OOS"/>
    <s v="Aval non piloté_EN"/>
    <s v="GEODIS"/>
    <m/>
    <m/>
    <s v="No"/>
    <s v="NL Haps DC (DSV)"/>
    <s v="OOS_OUT - Delivery OOS"/>
    <n v="23"/>
    <n v="0"/>
    <n v="0"/>
    <n v="0"/>
    <s v="ELN 5018862086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5:00:00"/>
    <s v="0006072895_4900"/>
    <s v="Loading"/>
    <n v="452205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6/10/2025 16:00-16:00"/>
    <m/>
    <n v="0"/>
    <m/>
    <s v="No"/>
    <s v="Shipped/Received"/>
    <s v="Direct"/>
    <m/>
    <m/>
    <m/>
    <s v="HAPSDCIT20251006-02"/>
    <m/>
    <m/>
    <s v="No"/>
    <n v="5019098215"/>
    <m/>
    <m/>
    <m/>
  </r>
  <r>
    <x v="0"/>
    <x v="0"/>
    <x v="1"/>
    <x v="3"/>
    <d v="2025-10-06T15:00:00"/>
    <s v="368196_OOS"/>
    <s v="Loading"/>
    <s v="5019086945_OOS"/>
    <s v="Aval non piloté_EN"/>
    <s v="Trivium"/>
    <m/>
    <m/>
    <s v="No"/>
    <s v="NL Haps DC (DSV)"/>
    <s v="OOS_OUT - Delivery OOS"/>
    <n v="36"/>
    <n v="0"/>
    <n v="0"/>
    <n v="0"/>
    <s v="return supplier - mail lizzy"/>
    <x v="5"/>
    <m/>
    <s v="07/10/2025 09:00-09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1"/>
    <x v="3"/>
    <d v="2025-10-06T15:00:00"/>
    <s v="367323_OOS"/>
    <s v="Loading"/>
    <s v="MEA-SEA_OOS"/>
    <s v="Aval non piloté_EN"/>
    <s v="GEODIS"/>
    <m/>
    <m/>
    <s v="No"/>
    <s v="NL Haps DC (DSV)"/>
    <s v="OOS_OUT - Delivery OOS"/>
    <n v="23"/>
    <n v="0"/>
    <n v="0"/>
    <n v="0"/>
    <s v="ELN 5018847575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6:00:00"/>
    <s v="0006072888_4900"/>
    <s v="Loading"/>
    <n v="452211"/>
    <s v="Primary flows"/>
    <s v="KREISS FOR SN 3PO"/>
    <m/>
    <m/>
    <s v="No"/>
    <s v="NL Haps DC (DSV)"/>
    <s v="CIE2 - ES Ciempozuelos SN"/>
    <n v="33"/>
    <n v="0"/>
    <n v="0"/>
    <n v="0"/>
    <s v="1  01"/>
    <x v="1"/>
    <m/>
    <s v="08/10/2025 12:00-12:00"/>
    <m/>
    <n v="0"/>
    <m/>
    <s v="No"/>
    <s v="Shipped/Received"/>
    <s v="Direct"/>
    <m/>
    <m/>
    <m/>
    <s v="HAPSDCES20251006-01"/>
    <m/>
    <m/>
    <s v="No"/>
    <n v="5019101964"/>
    <m/>
    <m/>
    <m/>
  </r>
  <r>
    <x v="0"/>
    <x v="0"/>
    <x v="1"/>
    <x v="3"/>
    <d v="2025-10-06T16:00:00"/>
    <s v="368389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8979378"/>
    <x v="0"/>
    <m/>
    <s v="0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3"/>
    <d v="2025-10-06T16:00:00"/>
    <s v="0006072887_4900"/>
    <s v="Loading"/>
    <n v="452215"/>
    <s v="Primary flows"/>
    <s v="LKW WALTER FOR SN 3PO"/>
    <m/>
    <m/>
    <s v="No"/>
    <s v="NL Haps DC (DSV)"/>
    <s v="ALZE - DE Alzenau"/>
    <n v="33"/>
    <n v="0"/>
    <n v="0"/>
    <n v="0"/>
    <s v="1  01"/>
    <x v="1"/>
    <m/>
    <s v="07/10/2025 10:00-10:00"/>
    <m/>
    <n v="0"/>
    <m/>
    <s v="No"/>
    <s v="Shipped/Received"/>
    <s v="Direct"/>
    <m/>
    <m/>
    <m/>
    <s v="HAPSDCDE20251006-02"/>
    <m/>
    <m/>
    <s v="No"/>
    <n v="5019103522"/>
    <m/>
    <m/>
    <m/>
  </r>
  <r>
    <x v="0"/>
    <x v="0"/>
    <x v="1"/>
    <x v="3"/>
    <d v="2025-10-06T16:00:00"/>
    <s v="0006084765_4900"/>
    <s v="Loading"/>
    <s v="455370 / 455352"/>
    <s v="Primary flows / Primary flows"/>
    <s v="VLANTANA FOR SN 3PO"/>
    <m/>
    <m/>
    <s v="No"/>
    <s v="NL Haps DC (DSV)"/>
    <s v="RIGA - LV Riga (EUGESTA SIA) / RIGA - LV Riga (EUGESTA SIA)"/>
    <n v="66"/>
    <n v="0"/>
    <n v="0"/>
    <n v="0"/>
    <s v="1  01"/>
    <x v="1"/>
    <m/>
    <s v="10/10/2025 14:30-14:30"/>
    <m/>
    <n v="0"/>
    <m/>
    <s v="No"/>
    <s v="Shipped/Received"/>
    <s v="Direct"/>
    <s v=" / "/>
    <s v=" / "/>
    <m/>
    <s v="HAPSDCLV20251006-01 / HAPSDCLV20251006-01"/>
    <m/>
    <m/>
    <s v="No"/>
    <s v="5019091205 / 5019089736"/>
    <m/>
    <m/>
    <m/>
  </r>
  <r>
    <x v="0"/>
    <x v="0"/>
    <x v="1"/>
    <x v="3"/>
    <d v="2025-10-06T17:00:00"/>
    <s v="0006085516_4900"/>
    <s v="Loading"/>
    <s v="455840 / 455839"/>
    <s v="Primary flows / Primary flows"/>
    <s v="GIRTEKA FOR SN 3PO"/>
    <m/>
    <m/>
    <s v="No"/>
    <s v="NL Haps DC (DSV)"/>
    <s v="GRAB - PL Grabica / GRAB - PL Grabica"/>
    <n v="66"/>
    <n v="0"/>
    <n v="0"/>
    <n v="0"/>
    <s v="1  01"/>
    <x v="1"/>
    <m/>
    <s v="08/10/2025 11:00-11:00"/>
    <s v="PZ_4P016"/>
    <n v="0"/>
    <m/>
    <s v="No"/>
    <s v="Shipped/Received"/>
    <s v="Direct"/>
    <s v=" / "/>
    <s v=" / "/>
    <m/>
    <s v="HAPSDCPL20251006-04 / HAPSDCPL20251006-04"/>
    <m/>
    <m/>
    <s v="No"/>
    <s v="5019090057 / 5019081913"/>
    <s v="MSM_927"/>
    <s v="Yury Stankevich"/>
    <m/>
  </r>
  <r>
    <x v="0"/>
    <x v="0"/>
    <x v="1"/>
    <x v="3"/>
    <d v="2025-10-06T17:00:00"/>
    <s v="0006072890_4900"/>
    <s v="Loading"/>
    <n v="452202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7/10/2025 10:00-10:00"/>
    <m/>
    <n v="0"/>
    <m/>
    <s v="No"/>
    <s v="Shipped/Received"/>
    <s v="Direct"/>
    <m/>
    <m/>
    <m/>
    <s v="HAPSDCFR20251006-02"/>
    <m/>
    <m/>
    <s v="No"/>
    <n v="5019102082"/>
    <m/>
    <m/>
    <m/>
  </r>
  <r>
    <x v="0"/>
    <x v="0"/>
    <x v="1"/>
    <x v="3"/>
    <d v="2025-10-06T17:00:00"/>
    <s v="0006072891_4900"/>
    <s v="Loading"/>
    <n v="452210"/>
    <s v="Primary flows"/>
    <s v="ECS FOR SN 3PO"/>
    <m/>
    <m/>
    <s v="No"/>
    <s v="NL Haps DC (DSV)"/>
    <s v="MOUS - FR Moussy-Le-Neuf"/>
    <n v="33"/>
    <n v="0"/>
    <n v="0"/>
    <n v="0"/>
    <s v="1  01"/>
    <x v="1"/>
    <m/>
    <s v="07/10/2025 13:00-13:00"/>
    <m/>
    <n v="0"/>
    <m/>
    <s v="No"/>
    <s v="Shipped/Received"/>
    <s v="Direct"/>
    <m/>
    <m/>
    <m/>
    <s v="HAPSDCFR20251006-03"/>
    <m/>
    <m/>
    <s v="No"/>
    <n v="5019098292"/>
    <m/>
    <m/>
    <m/>
  </r>
  <r>
    <x v="0"/>
    <x v="0"/>
    <x v="1"/>
    <x v="3"/>
    <d v="2025-10-06T18:00:00"/>
    <s v="0006072897_4900"/>
    <s v="Loading"/>
    <n v="452213"/>
    <s v="Primary flows"/>
    <s v="MIERZWA FOR SN 3PO"/>
    <m/>
    <m/>
    <s v="No"/>
    <s v="NL Haps DC (DSV)"/>
    <s v="GRAB - PL Grabica"/>
    <n v="33"/>
    <n v="0"/>
    <n v="0"/>
    <n v="0"/>
    <s v="1  01"/>
    <x v="1"/>
    <m/>
    <s v="13/10/2025 22:00-22:00"/>
    <s v="KRA8181P"/>
    <n v="0"/>
    <m/>
    <s v="No"/>
    <s v="Shipped/Received"/>
    <s v="Direct"/>
    <m/>
    <m/>
    <m/>
    <s v="HAPSDCPL20251006-02"/>
    <m/>
    <m/>
    <s v="No"/>
    <n v="5019083710"/>
    <s v="WPR0415U"/>
    <s v="Janusz Tryka"/>
    <m/>
  </r>
  <r>
    <x v="0"/>
    <x v="0"/>
    <x v="1"/>
    <x v="3"/>
    <d v="2025-10-06T18:00:00"/>
    <s v="0006072884_4900"/>
    <s v="Loading"/>
    <n v="452199"/>
    <s v="Primary flows"/>
    <s v="GIRTEKA FOR SN 3PO HVO"/>
    <m/>
    <m/>
    <s v="No"/>
    <s v="NL Haps DC (DSV)"/>
    <s v="PUCH - AT Puch"/>
    <n v="33"/>
    <n v="0"/>
    <n v="0"/>
    <n v="0"/>
    <s v="1  01"/>
    <x v="1"/>
    <m/>
    <s v="08/10/2025 07:00-07:00"/>
    <s v="PZ_925YJ"/>
    <n v="0"/>
    <m/>
    <s v="No"/>
    <s v="Shipped/Received"/>
    <s v="Direct"/>
    <m/>
    <m/>
    <m/>
    <s v="HAPSDCAT20251006-01"/>
    <m/>
    <m/>
    <s v="No"/>
    <n v="5019082750"/>
    <s v="PZ_3U526"/>
    <s v="Vasyl Meleshko"/>
    <m/>
  </r>
  <r>
    <x v="0"/>
    <x v="0"/>
    <x v="1"/>
    <x v="3"/>
    <d v="2025-10-06T18:00:00"/>
    <s v="0006072900_4900"/>
    <s v="Loading"/>
    <s v="455369 / 452201"/>
    <s v="Primary flows / Primary flows"/>
    <s v="LKW WALTER FOR SN 3PO HVO"/>
    <m/>
    <m/>
    <s v="No"/>
    <s v="NL Haps DC (DSV)"/>
    <s v="HELS - SE Helsingborg / HELS - SE Helsingborg"/>
    <n v="66"/>
    <n v="0"/>
    <n v="0"/>
    <n v="0"/>
    <s v="1  01"/>
    <x v="1"/>
    <m/>
    <s v="13/10/2025 16:00-16:00"/>
    <m/>
    <n v="0"/>
    <m/>
    <s v="No"/>
    <s v="Shipped/Received"/>
    <s v="Direct"/>
    <s v=" / "/>
    <s v=" / "/>
    <m/>
    <s v="HAPSDCSE20251006-01 / HAPSDCSE20251006-01"/>
    <m/>
    <m/>
    <s v="No"/>
    <s v="5019096623 / 5019097216"/>
    <m/>
    <m/>
    <m/>
  </r>
  <r>
    <x v="0"/>
    <x v="0"/>
    <x v="1"/>
    <x v="3"/>
    <d v="2025-10-06T19:00:00"/>
    <s v="0006084461_4900"/>
    <s v="Loading"/>
    <n v="455117"/>
    <s v="Primary flows"/>
    <s v="PIOMAR FOR SN 3PO"/>
    <m/>
    <m/>
    <s v="No"/>
    <s v="NL Haps DC (DSV)"/>
    <s v="OPOL - PL Opole"/>
    <n v="22"/>
    <n v="0"/>
    <n v="0"/>
    <n v="0"/>
    <s v="1  01"/>
    <x v="5"/>
    <m/>
    <s v="08/10/2025 15:00-15:00"/>
    <s v="OP6442J"/>
    <n v="0"/>
    <m/>
    <s v="No"/>
    <s v="Shipped/Received"/>
    <s v="Direct"/>
    <m/>
    <m/>
    <m/>
    <s v="SPHapsOPO-061025-03"/>
    <m/>
    <m/>
    <s v="No"/>
    <n v="5019091472"/>
    <s v="OKR6AL7"/>
    <s v="KY? HENRYK"/>
    <m/>
  </r>
  <r>
    <x v="0"/>
    <x v="0"/>
    <x v="1"/>
    <x v="3"/>
    <d v="2025-10-06T19:00:00"/>
    <s v="0006072898_4900"/>
    <s v="Loading"/>
    <n v="452204"/>
    <s v="Primary flows"/>
    <s v="MIERZWA FOR SN 3PO"/>
    <m/>
    <m/>
    <s v="No"/>
    <s v="NL Haps DC (DSV)"/>
    <s v="GRAB - PL Grabica"/>
    <n v="33"/>
    <n v="0"/>
    <n v="0"/>
    <n v="0"/>
    <s v="1  01"/>
    <x v="1"/>
    <m/>
    <s v="13/10/2025 23:00-23:00"/>
    <s v="KRA442PA"/>
    <n v="0"/>
    <m/>
    <s v="No"/>
    <s v="Shipped/Received"/>
    <s v="Direct"/>
    <m/>
    <m/>
    <m/>
    <s v="HAPSDCPL20251006-03"/>
    <m/>
    <m/>
    <s v="No"/>
    <n v="5019101806"/>
    <s v="KRA139CK"/>
    <s v="Wies?aw Surman"/>
    <m/>
  </r>
  <r>
    <x v="0"/>
    <x v="0"/>
    <x v="1"/>
    <x v="3"/>
    <d v="2025-10-06T19:00:00"/>
    <s v="0006073224_4900"/>
    <s v="Loading"/>
    <n v="451340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9/10/2025 17:00-17:00"/>
    <s v="QATD440"/>
    <n v="0"/>
    <m/>
    <s v="No"/>
    <s v="Shipped/Received"/>
    <s v="Direct"/>
    <m/>
    <m/>
    <m/>
    <s v="HAPSDCIT20251008-01"/>
    <m/>
    <m/>
    <s v="No"/>
    <n v="5019096946"/>
    <s v="NEI225"/>
    <s v="Nabeelahmed Raza"/>
    <m/>
  </r>
  <r>
    <x v="0"/>
    <x v="0"/>
    <x v="1"/>
    <x v="3"/>
    <d v="2025-10-06T19:00:00"/>
    <s v="0006072885_4900"/>
    <s v="Loading"/>
    <n v="452206"/>
    <s v="Primary flows"/>
    <s v="PIOMAR FOR SN 3PO"/>
    <m/>
    <m/>
    <s v="No"/>
    <s v="NL Haps DC (DSV)"/>
    <s v="RICA - CZ Ricany DC2 Ambient WH"/>
    <n v="33"/>
    <n v="0"/>
    <n v="0"/>
    <n v="0"/>
    <s v="1  01"/>
    <x v="1"/>
    <m/>
    <s v="08/10/2025 17:00-17:00"/>
    <s v="OP6443J"/>
    <n v="0"/>
    <m/>
    <s v="No"/>
    <s v="Shipped/Received"/>
    <s v="Direct"/>
    <m/>
    <m/>
    <m/>
    <s v="HAPSDCCZ20251006-01"/>
    <m/>
    <m/>
    <s v="No"/>
    <n v="5019096719"/>
    <s v="OP8935S"/>
    <s v="HETMANSKI ROBERT"/>
    <m/>
  </r>
  <r>
    <x v="0"/>
    <x v="0"/>
    <x v="1"/>
    <x v="3"/>
    <d v="2025-10-06T20:00:00"/>
    <s v="0006072896_4900"/>
    <s v="Loading"/>
    <s v="455368 / 452207"/>
    <s v="Primary flows / Primary flows"/>
    <s v="PIOMAR FOR SN 3PO"/>
    <m/>
    <m/>
    <s v="No"/>
    <s v="NL Haps DC (DSV)"/>
    <s v="GRAB - PL Grabica / GRAB - PL Grabica"/>
    <n v="66"/>
    <n v="0"/>
    <n v="0"/>
    <n v="0"/>
    <s v="1  01"/>
    <x v="1"/>
    <m/>
    <s v="08/10/2025 22:00-22:00"/>
    <s v="OP2334K"/>
    <n v="0"/>
    <m/>
    <s v="No"/>
    <s v="Shipped/Received"/>
    <s v="Direct"/>
    <s v=" / "/>
    <s v=" / "/>
    <m/>
    <s v="HAPSDCPL20251006-01 / HAPSDCPL20251006-01"/>
    <m/>
    <m/>
    <s v="No"/>
    <s v="5019092624 / 5019090994"/>
    <s v="OKR51V7"/>
    <s v="HUSAKOWSKI RYSZARD"/>
    <m/>
  </r>
  <r>
    <x v="0"/>
    <x v="0"/>
    <x v="1"/>
    <x v="3"/>
    <d v="2025-10-06T23:00:00"/>
    <s v="368197_OOS"/>
    <s v="Loading"/>
    <s v="5019090408_OOS"/>
    <s v="Aval non piloté_EN"/>
    <s v="Trivium"/>
    <m/>
    <m/>
    <s v="No"/>
    <s v="NL Haps DC (DSV)"/>
    <s v="OOS_OUT - Delivery OOS"/>
    <n v="7"/>
    <n v="0"/>
    <n v="0"/>
    <n v="0"/>
    <s v="return supplier - mail lizzy"/>
    <x v="5"/>
    <m/>
    <s v="07/10/2025 09:00-09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1"/>
    <x v="4"/>
    <d v="2025-10-07T06:00:00"/>
    <s v="0006082510_4900"/>
    <s v="Loading"/>
    <n v="454261"/>
    <s v="Primary flows"/>
    <s v="SAMSKIP FOR SN 3PO"/>
    <m/>
    <m/>
    <s v="No"/>
    <s v="NL Haps DC (DSV)"/>
    <s v="REDD - GB Redditch"/>
    <n v="33"/>
    <n v="0"/>
    <n v="0"/>
    <n v="0"/>
    <s v="1  01"/>
    <x v="1"/>
    <m/>
    <s v="13/10/2025 23:00-23:00"/>
    <m/>
    <n v="0"/>
    <m/>
    <s v="No"/>
    <s v="Shipped/Received"/>
    <s v="Direct"/>
    <m/>
    <m/>
    <m/>
    <s v="HAPSDCUK20251007-04"/>
    <m/>
    <m/>
    <s v="No"/>
    <n v="5019101500"/>
    <m/>
    <m/>
    <m/>
  </r>
  <r>
    <x v="0"/>
    <x v="0"/>
    <x v="1"/>
    <x v="4"/>
    <d v="2025-10-07T06:00:00"/>
    <s v="369509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016495"/>
    <x v="3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06:00:00"/>
    <s v="0006085885_4900"/>
    <s v="Loading"/>
    <n v="455931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4/10/2025 21:00-21:00"/>
    <m/>
    <n v="0"/>
    <m/>
    <s v="No"/>
    <s v="Shipped/Received"/>
    <s v="Direct"/>
    <m/>
    <m/>
    <m/>
    <s v="HAPSDCIE20251007-03"/>
    <m/>
    <m/>
    <s v="No"/>
    <n v="5019033298"/>
    <m/>
    <m/>
    <m/>
  </r>
  <r>
    <x v="0"/>
    <x v="0"/>
    <x v="1"/>
    <x v="4"/>
    <d v="2025-10-07T07:00:00"/>
    <s v="369883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111795"/>
    <x v="2"/>
    <m/>
    <s v="08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07:00:00"/>
    <s v="354749_OOS"/>
    <s v="Loading"/>
    <s v="VN-SEA-6029865_OOS"/>
    <s v="Aval non piloté_EN"/>
    <s v="MAERSK - Control Tower"/>
    <m/>
    <m/>
    <s v="No"/>
    <s v="NL Haps DC (DSV)"/>
    <s v="OOS_OUT - Delivery OOS"/>
    <n v="20"/>
    <n v="0"/>
    <n v="0"/>
    <n v="0"/>
    <n v="5019063593"/>
    <x v="0"/>
    <m/>
    <s v="08/10/2025 00:02-00:02"/>
    <m/>
    <n v="0"/>
    <m/>
    <s v="No"/>
    <s v="Shipped/Received"/>
    <s v="Direct"/>
    <m/>
    <m/>
    <s v="nutricia.ct.eu@lns.maersk.com"/>
    <m/>
    <m/>
    <m/>
    <s v="No"/>
    <s v="&amp;nbsp"/>
    <m/>
    <m/>
    <s v="RTMF24443800"/>
  </r>
  <r>
    <x v="0"/>
    <x v="0"/>
    <x v="1"/>
    <x v="4"/>
    <d v="2025-10-07T07:00:00"/>
    <s v="369510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014568"/>
    <x v="3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07:00:00"/>
    <s v="0006081900_4900"/>
    <s v="Loading"/>
    <n v="454093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4/10/2025 22:00-22:00"/>
    <m/>
    <n v="0"/>
    <m/>
    <s v="No"/>
    <s v="Shipped/Received"/>
    <s v="Direct"/>
    <m/>
    <m/>
    <m/>
    <s v="HAPSDCIE20251007-02"/>
    <m/>
    <m/>
    <s v="No"/>
    <n v="5019111011"/>
    <m/>
    <m/>
    <m/>
  </r>
  <r>
    <x v="0"/>
    <x v="0"/>
    <x v="1"/>
    <x v="4"/>
    <d v="2025-10-07T08:00:00"/>
    <s v="364758_OOS"/>
    <s v="Loading"/>
    <s v="BR-SEA-6068779_OOS"/>
    <s v="Aval non piloté_EN"/>
    <s v="MAERSK - Control Tower"/>
    <m/>
    <m/>
    <s v="No"/>
    <s v="NL Haps DC (DSV)"/>
    <s v="OOS_OUT - Delivery OOS"/>
    <n v="20"/>
    <n v="0"/>
    <n v="0"/>
    <n v="0"/>
    <n v="5019056243"/>
    <x v="0"/>
    <m/>
    <s v="08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815549"/>
  </r>
  <r>
    <x v="0"/>
    <x v="0"/>
    <x v="1"/>
    <x v="4"/>
    <d v="2025-10-07T08:00:00"/>
    <s v="368985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81220 LZV"/>
    <x v="1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08:00:00"/>
    <s v="354736_OOS"/>
    <s v="Loading"/>
    <s v="VN-SEA-6029864_OOS"/>
    <s v="Aval non piloté_EN"/>
    <s v="MAERSK - Control Tower"/>
    <m/>
    <m/>
    <s v="No"/>
    <s v="NL Haps DC (DSV)"/>
    <s v="OOS_OUT - Delivery OOS"/>
    <n v="20"/>
    <n v="0"/>
    <n v="0"/>
    <n v="0"/>
    <n v="5019081105"/>
    <x v="0"/>
    <m/>
    <s v="08/10/2025 00:01-00:01"/>
    <m/>
    <n v="0"/>
    <m/>
    <s v="No"/>
    <s v="Shipped/Received"/>
    <s v="Direct"/>
    <m/>
    <m/>
    <s v="nutricia.ct.eu@lns.maersk.com"/>
    <m/>
    <m/>
    <m/>
    <s v="No"/>
    <s v="&amp;nbsp"/>
    <m/>
    <m/>
    <s v="RTMF24443800"/>
  </r>
  <r>
    <x v="0"/>
    <x v="0"/>
    <x v="1"/>
    <x v="4"/>
    <d v="2025-10-07T09:00:00"/>
    <s v="368390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8979379"/>
    <x v="0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09:00:00"/>
    <s v="364761_OOS"/>
    <s v="Loading"/>
    <s v="BR-SEA-6068777_OOS"/>
    <s v="Aval non piloté_EN"/>
    <s v="MAERSK - Control Tower"/>
    <m/>
    <m/>
    <s v="No"/>
    <s v="NL Haps DC (DSV)"/>
    <s v="OOS_OUT - Delivery OOS"/>
    <n v="20"/>
    <n v="0"/>
    <n v="0"/>
    <n v="0"/>
    <s v="5019010909 5019045861 "/>
    <x v="0"/>
    <m/>
    <s v="08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816309"/>
  </r>
  <r>
    <x v="0"/>
    <x v="0"/>
    <x v="1"/>
    <x v="4"/>
    <d v="2025-10-07T09:00:00"/>
    <s v="0006084801_4900"/>
    <s v="Loading"/>
    <n v="455378"/>
    <s v="Primary flows"/>
    <s v="DFDS FOR SN 3PO"/>
    <m/>
    <m/>
    <s v="No"/>
    <s v="NL Haps DC (DSV)"/>
    <s v="WEXF - IE Wexford Factory"/>
    <n v="22"/>
    <n v="0"/>
    <n v="0"/>
    <n v="0"/>
    <s v="1  01"/>
    <x v="5"/>
    <m/>
    <s v="10/10/2025 23:30-23:30"/>
    <s v="LYSU5455569"/>
    <n v="0"/>
    <m/>
    <s v="No"/>
    <s v="Shipped/Received"/>
    <s v="Direct"/>
    <m/>
    <m/>
    <m/>
    <s v="SPHapsWex-071025-01"/>
    <m/>
    <m/>
    <s v="No"/>
    <n v="5019091791"/>
    <m/>
    <m/>
    <m/>
  </r>
  <r>
    <x v="0"/>
    <x v="0"/>
    <x v="1"/>
    <x v="4"/>
    <d v="2025-10-07T09:00:00"/>
    <s v="0006073204_4900"/>
    <s v="Loading"/>
    <n v="451337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4/10/2025 23:00-23:00"/>
    <m/>
    <n v="0"/>
    <m/>
    <s v="No"/>
    <s v="Shipped/Received"/>
    <s v="Direct"/>
    <m/>
    <m/>
    <m/>
    <s v="HAPSDCIE20251007-01"/>
    <m/>
    <m/>
    <s v="No"/>
    <n v="5019031965"/>
    <m/>
    <m/>
    <m/>
  </r>
  <r>
    <x v="0"/>
    <x v="0"/>
    <x v="1"/>
    <x v="4"/>
    <d v="2025-10-07T10:00:00"/>
    <s v="369511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002026 (NO-SHOW)"/>
    <x v="0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10:00:00"/>
    <s v="369305_OOS"/>
    <s v="Loading"/>
    <s v="Scrap ZTM PIM - ROAD_OOS"/>
    <s v="Aval non piloté_EN"/>
    <s v="Koopman Cargo B.V."/>
    <m/>
    <m/>
    <s v="No"/>
    <s v="NL Haps DC (DSV)"/>
    <s v="OOS_OUT - Delivery OOS"/>
    <n v="33"/>
    <n v="0"/>
    <n v="0"/>
    <n v="0"/>
    <n v="90020396"/>
    <x v="0"/>
    <m/>
    <s v="08/10/2025 12:00-12:00"/>
    <m/>
    <n v="0"/>
    <m/>
    <s v="No"/>
    <s v="Shipped/Received"/>
    <s v="Direct"/>
    <m/>
    <m/>
    <s v="s.eek@koopman.nl"/>
    <m/>
    <m/>
    <m/>
    <s v="No"/>
    <s v="&amp;nbsp"/>
    <m/>
    <m/>
    <m/>
  </r>
  <r>
    <x v="0"/>
    <x v="0"/>
    <x v="1"/>
    <x v="4"/>
    <d v="2025-10-07T10:00:00"/>
    <s v="364762_OOS"/>
    <s v="Loading"/>
    <s v="NZ-SEA-6068784_OOS"/>
    <s v="Aval non piloté_EN"/>
    <s v="Maersk - Control Tower"/>
    <m/>
    <m/>
    <s v="No"/>
    <s v="NL Haps DC (DSV)"/>
    <s v="OOS_OUT - Delivery OOS"/>
    <n v="20"/>
    <n v="0"/>
    <n v="0"/>
    <n v="0"/>
    <n v="5019082042"/>
    <x v="0"/>
    <m/>
    <s v="08/10/2025 00:02-00:02"/>
    <m/>
    <n v="0"/>
    <m/>
    <s v="No"/>
    <s v="Save"/>
    <s v="Direct"/>
    <m/>
    <m/>
    <s v="nutricia.ct.eu@lns.maersk.com"/>
    <m/>
    <m/>
    <m/>
    <s v="No"/>
    <s v="&amp;nbsp"/>
    <m/>
    <m/>
    <n v="260198315"/>
  </r>
  <r>
    <x v="0"/>
    <x v="0"/>
    <x v="1"/>
    <x v="4"/>
    <d v="2025-10-07T10:00:00"/>
    <s v="0006082508_4900"/>
    <s v="Loading"/>
    <n v="454256"/>
    <s v="Primary flows"/>
    <s v="SAMSKIP FOR SN 3PO"/>
    <m/>
    <m/>
    <s v="No"/>
    <s v="NL Haps DC (DSV)"/>
    <s v="REDD - GB Redditch"/>
    <n v="33"/>
    <n v="0"/>
    <n v="0"/>
    <n v="0"/>
    <s v="1  01"/>
    <x v="1"/>
    <m/>
    <s v="13/10/2025 23:00-23:00"/>
    <m/>
    <n v="0"/>
    <m/>
    <s v="No"/>
    <s v="Shipped/Received"/>
    <s v="Direct"/>
    <m/>
    <m/>
    <m/>
    <s v="HAPSDCUK20251007-02"/>
    <m/>
    <m/>
    <s v="No"/>
    <n v="5019104330"/>
    <m/>
    <m/>
    <m/>
  </r>
  <r>
    <x v="0"/>
    <x v="0"/>
    <x v="1"/>
    <x v="4"/>
    <d v="2025-10-07T11:00:00"/>
    <s v="0006085887_4900"/>
    <s v="Loading"/>
    <n v="455927"/>
    <s v="Primary flows"/>
    <s v="SAMSKIP FOR SN 3PO"/>
    <m/>
    <m/>
    <s v="No"/>
    <s v="NL Haps DC (DSV)"/>
    <s v="REDD - GB Redditch"/>
    <n v="33"/>
    <n v="0"/>
    <n v="0"/>
    <n v="0"/>
    <s v="1  01"/>
    <x v="1"/>
    <m/>
    <s v="13/10/2025 23:00-23:00"/>
    <m/>
    <n v="0"/>
    <m/>
    <s v="No"/>
    <s v="Shipped/Received"/>
    <s v="Direct"/>
    <m/>
    <m/>
    <m/>
    <s v="HAPSDCUK20251007-07"/>
    <m/>
    <m/>
    <s v="No"/>
    <n v="5019039947"/>
    <m/>
    <m/>
    <m/>
  </r>
  <r>
    <x v="0"/>
    <x v="0"/>
    <x v="1"/>
    <x v="4"/>
    <d v="2025-10-07T11:00:00"/>
    <s v="369747_OOS"/>
    <s v="Loading"/>
    <s v="MEA-AIR_OOS"/>
    <s v="Aval non piloté_EN"/>
    <s v="KERRY LOGISTICS"/>
    <m/>
    <m/>
    <s v="No"/>
    <s v="NL Haps DC (DSV)"/>
    <s v="OOS_OUT - Delivery OOS"/>
    <n v="10"/>
    <n v="0"/>
    <n v="0"/>
    <n v="0"/>
    <s v="MEA 5019090023"/>
    <x v="2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11:00:00"/>
    <s v="0006085886_4900"/>
    <s v="Loading"/>
    <n v="455929"/>
    <s v="Primary flows"/>
    <s v="SAMSKIP FOR SN 3PO"/>
    <m/>
    <m/>
    <s v="No"/>
    <s v="NL Haps DC (DSV)"/>
    <s v="REDD - GB Redditch"/>
    <n v="33"/>
    <n v="0"/>
    <n v="0"/>
    <n v="0"/>
    <s v="1  01"/>
    <x v="1"/>
    <m/>
    <s v="13/10/2025 18:00-18:00"/>
    <m/>
    <n v="0"/>
    <m/>
    <s v="No"/>
    <s v="Shipped/Received"/>
    <s v="Direct"/>
    <m/>
    <m/>
    <m/>
    <s v="HAPSDCUK20251007-06"/>
    <m/>
    <m/>
    <s v="No"/>
    <n v="5018990091"/>
    <m/>
    <m/>
    <m/>
  </r>
  <r>
    <x v="0"/>
    <x v="0"/>
    <x v="1"/>
    <x v="4"/>
    <d v="2025-10-07T11:00:00"/>
    <s v="0006082531_4900"/>
    <s v="Loading"/>
    <n v="454265"/>
    <s v="Primary flows"/>
    <s v="SAMSKIP FOR SN 3PO"/>
    <m/>
    <m/>
    <s v="No"/>
    <s v="NL Haps DC (DSV)"/>
    <s v="REDD - GB Redditch"/>
    <n v="33"/>
    <n v="0"/>
    <n v="0"/>
    <n v="0"/>
    <s v="1  01"/>
    <x v="1"/>
    <m/>
    <s v="13/10/2025 23:00-23:00"/>
    <m/>
    <n v="0"/>
    <m/>
    <s v="No"/>
    <s v="Shipped/Received"/>
    <s v="Direct"/>
    <m/>
    <m/>
    <m/>
    <s v="HAPSDCUK20251007-05"/>
    <m/>
    <m/>
    <s v="No"/>
    <n v="5019101501"/>
    <m/>
    <m/>
    <m/>
  </r>
  <r>
    <x v="0"/>
    <x v="0"/>
    <x v="1"/>
    <x v="4"/>
    <d v="2025-10-07T12:00:00"/>
    <s v="0006073184_4900"/>
    <s v="Loading"/>
    <s v="456111 / 451324"/>
    <s v="Primary flows / Primary flows"/>
    <s v="HELLMANN FOR SN 3PO"/>
    <m/>
    <m/>
    <s v="No"/>
    <s v="NL Haps DC (DSV)"/>
    <s v="NEUE - CH Neuendorf (MURPF) SN / NEUE - CH Neuendorf (MURPF) SN"/>
    <n v="66"/>
    <n v="0"/>
    <n v="0"/>
    <n v="0"/>
    <s v="1  01"/>
    <x v="1"/>
    <m/>
    <s v="09/10/2025 13:30-13:30"/>
    <m/>
    <n v="0"/>
    <m/>
    <s v="No"/>
    <s v="Shipped/Received"/>
    <s v="Direct"/>
    <s v=" / "/>
    <s v=" / "/>
    <m/>
    <s v="HAPSDCCH20251007-01 / HAPSDCCH20251007-01"/>
    <m/>
    <m/>
    <s v="No"/>
    <s v="5019096671 / 5019095630"/>
    <m/>
    <m/>
    <m/>
  </r>
  <r>
    <x v="0"/>
    <x v="0"/>
    <x v="1"/>
    <x v="4"/>
    <d v="2025-10-07T12:00:00"/>
    <s v="354755_OOS"/>
    <s v="Loading"/>
    <s v="VN-SEA-6029870_OOS"/>
    <s v="Aval non piloté_EN"/>
    <s v="MAERSK - Control Tower"/>
    <m/>
    <m/>
    <s v="No"/>
    <s v="NL Haps DC (DSV)"/>
    <s v="OOS_OUT - Delivery OOS"/>
    <n v="20"/>
    <n v="0"/>
    <n v="0"/>
    <n v="0"/>
    <n v="5019081222"/>
    <x v="0"/>
    <m/>
    <s v="08/10/2025 00:01-00:01"/>
    <m/>
    <n v="0"/>
    <m/>
    <s v="No"/>
    <s v="Shipped/Received"/>
    <s v="Direct"/>
    <m/>
    <m/>
    <s v="nutricia.ct.eu@lns.maersk.com"/>
    <m/>
    <m/>
    <m/>
    <s v="No"/>
    <s v="&amp;nbsp"/>
    <m/>
    <m/>
    <s v="RTMF24444900"/>
  </r>
  <r>
    <x v="0"/>
    <x v="0"/>
    <x v="1"/>
    <x v="4"/>
    <d v="2025-10-07T12:00:00"/>
    <s v="0006082509_4900"/>
    <s v="Loading"/>
    <n v="454264"/>
    <s v="Primary flows"/>
    <s v="SAMSKIP FOR SN 3PO"/>
    <m/>
    <m/>
    <s v="No"/>
    <s v="NL Haps DC (DSV)"/>
    <s v="REDD - GB Redditch"/>
    <n v="33"/>
    <n v="0"/>
    <n v="0"/>
    <n v="0"/>
    <s v="1  01"/>
    <x v="1"/>
    <m/>
    <s v="13/10/2025 23:00-23:00"/>
    <m/>
    <n v="0"/>
    <m/>
    <s v="No"/>
    <s v="Shipped/Received"/>
    <s v="Direct"/>
    <m/>
    <m/>
    <m/>
    <s v="HAPSDCUK20251007-03"/>
    <m/>
    <m/>
    <s v="No"/>
    <n v="5019100313"/>
    <m/>
    <m/>
    <m/>
  </r>
  <r>
    <x v="0"/>
    <x v="0"/>
    <x v="1"/>
    <x v="4"/>
    <d v="2025-10-07T12:00:00"/>
    <s v="0006084802_4900"/>
    <s v="Loading"/>
    <s v="455383 / 455382"/>
    <s v="Primary flows / Primary flows"/>
    <s v="DFDS FOR SN 3PO"/>
    <m/>
    <m/>
    <s v="No"/>
    <s v="NL Haps DC (DSV)"/>
    <s v="WEXF - IE Wexford Factory / WEXF - IE Wexford Factory"/>
    <n v="22"/>
    <n v="0"/>
    <n v="0"/>
    <n v="0"/>
    <s v="1  01"/>
    <x v="5"/>
    <m/>
    <s v="10/10/2025 23:30-23:30"/>
    <s v="LYSU0009800"/>
    <n v="0"/>
    <m/>
    <s v="No"/>
    <s v="Shipped/Received"/>
    <s v="Direct"/>
    <s v=" / "/>
    <s v=" / "/>
    <m/>
    <s v="SPHapsWex-071025-02 / SPHapsWex-071025-02"/>
    <m/>
    <m/>
    <s v="No"/>
    <s v="5019091792 / 5019100217"/>
    <s v="38-BSF-9"/>
    <s v="Mohandoss Rajendran "/>
    <m/>
  </r>
  <r>
    <x v="0"/>
    <x v="0"/>
    <x v="1"/>
    <x v="4"/>
    <d v="2025-10-07T12:00:00"/>
    <s v="369069_OOS"/>
    <s v="Loading"/>
    <s v="MEA-AIR_OOS"/>
    <s v="Aval non piloté_EN"/>
    <s v="KERRY LOGISTICS"/>
    <m/>
    <m/>
    <s v="No"/>
    <s v="NL Haps DC (DSV)"/>
    <s v="OOS_OUT - Delivery OOS"/>
    <n v="23"/>
    <n v="0"/>
    <n v="0"/>
    <n v="0"/>
    <s v="MEA 5019089429"/>
    <x v="0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13:00:00"/>
    <s v="368391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8990649"/>
    <x v="0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13:00:00"/>
    <s v="0006086073_4900"/>
    <s v="Loading"/>
    <n v="455986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4/10/2025 20:00-20:00"/>
    <m/>
    <n v="0"/>
    <m/>
    <s v="No"/>
    <s v="Shipped/Received"/>
    <s v="Direct"/>
    <m/>
    <m/>
    <m/>
    <s v="HAPSDCIE20251007-04"/>
    <m/>
    <m/>
    <s v="No"/>
    <n v="5019107128"/>
    <m/>
    <m/>
    <m/>
  </r>
  <r>
    <x v="0"/>
    <x v="0"/>
    <x v="1"/>
    <x v="4"/>
    <d v="2025-10-07T13:00:00"/>
    <s v="369070_OOS"/>
    <s v="Loading"/>
    <s v="MEA-AIR_OOS"/>
    <s v="Aval non piloté_EN"/>
    <s v="KERRY LOGISTICS"/>
    <m/>
    <m/>
    <s v="No"/>
    <s v="NL Haps DC (DSV)"/>
    <s v="OOS_OUT - Delivery OOS"/>
    <n v="27"/>
    <n v="0"/>
    <n v="0"/>
    <n v="0"/>
    <s v="MEA 5019101288 5019089431 5019094700 5019078435 5019090384 (12PL) MEA 5019086676 (14PL)"/>
    <x v="0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13:00:00"/>
    <s v="0006082507_4900"/>
    <s v="Loading"/>
    <n v="454252"/>
    <s v="Primary flows"/>
    <s v="LKW WALTER FOR SN 3PO"/>
    <m/>
    <m/>
    <s v="No"/>
    <s v="NL Haps DC (DSV)"/>
    <s v="REDD - GB Redditch"/>
    <n v="33"/>
    <n v="0"/>
    <n v="0"/>
    <n v="0"/>
    <s v="1  01"/>
    <x v="1"/>
    <m/>
    <s v="09/10/2025 14:00-14:00"/>
    <m/>
    <n v="0"/>
    <m/>
    <s v="No"/>
    <s v="Shipped/Received"/>
    <s v="Direct"/>
    <m/>
    <m/>
    <m/>
    <s v="HAPSDCUK20251007-01"/>
    <m/>
    <m/>
    <s v="No"/>
    <n v="5019104725"/>
    <m/>
    <m/>
    <m/>
  </r>
  <r>
    <x v="0"/>
    <x v="0"/>
    <x v="1"/>
    <x v="4"/>
    <d v="2025-10-07T14:00:00"/>
    <s v="369654_OOS"/>
    <s v="Loading"/>
    <s v="HK-AIR_OOS"/>
    <s v="Aval non piloté_EN"/>
    <s v="GEODIS"/>
    <m/>
    <m/>
    <s v="No"/>
    <s v="NL Haps DC (DSV)"/>
    <s v="OOS_OUT - Delivery OOS"/>
    <n v="9"/>
    <n v="0"/>
    <n v="0"/>
    <n v="0"/>
    <s v="HK 5019090127 (9PL)"/>
    <x v="2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14:00:00"/>
    <s v="0006073205_4900"/>
    <s v="Loading"/>
    <n v="451335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7/10/2025 16:00-16:00"/>
    <m/>
    <n v="0"/>
    <m/>
    <s v="No"/>
    <s v="Shipped/Received"/>
    <s v="Direct"/>
    <m/>
    <m/>
    <m/>
    <s v="HAPSDCIT20251007-01"/>
    <m/>
    <m/>
    <s v="No"/>
    <n v="5019104023"/>
    <m/>
    <m/>
    <m/>
  </r>
  <r>
    <x v="0"/>
    <x v="0"/>
    <x v="1"/>
    <x v="4"/>
    <d v="2025-10-07T14:00:00"/>
    <s v="0006073210_4900"/>
    <s v="Loading"/>
    <n v="451349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14/10/2025 16:00-16:00"/>
    <m/>
    <n v="0"/>
    <m/>
    <s v="No"/>
    <s v="Shipped/Received"/>
    <s v="Direct"/>
    <m/>
    <m/>
    <m/>
    <s v="HAPSDCSE20251007-01"/>
    <m/>
    <m/>
    <s v="No"/>
    <n v="5019088399"/>
    <m/>
    <m/>
    <m/>
  </r>
  <r>
    <x v="0"/>
    <x v="0"/>
    <x v="1"/>
    <x v="4"/>
    <d v="2025-10-07T14:00:00"/>
    <s v="369071_OOS"/>
    <s v="Loading"/>
    <s v="MEA-AIR_OOS"/>
    <s v="Aval non piloté_EN"/>
    <s v="KERRY LOGISTICS"/>
    <m/>
    <m/>
    <s v="No"/>
    <s v="NL Haps DC (DSV)"/>
    <s v="OOS_OUT - Delivery OOS"/>
    <n v="31"/>
    <n v="0"/>
    <n v="0"/>
    <n v="0"/>
    <s v="MEA 5019091752"/>
    <x v="0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15:00:00"/>
    <s v="0006073202_4900"/>
    <s v="Loading"/>
    <n v="451322"/>
    <s v="Primary flows"/>
    <s v="ECS FOR SN 3PO"/>
    <m/>
    <m/>
    <s v="No"/>
    <s v="NL Haps DC (DSV)"/>
    <s v="MOUS - FR Moussy-Le-Neuf"/>
    <n v="33"/>
    <n v="0"/>
    <n v="0"/>
    <n v="0"/>
    <s v="1  01"/>
    <x v="1"/>
    <m/>
    <s v="08/10/2025 10:00-10:00"/>
    <s v="QATM562"/>
    <n v="0"/>
    <m/>
    <s v="No"/>
    <s v="Shipped/Received"/>
    <s v="Direct"/>
    <m/>
    <m/>
    <m/>
    <s v="HAPSDCFR20251007-02"/>
    <m/>
    <m/>
    <s v="No"/>
    <n v="5019094710"/>
    <s v="SV23MLX"/>
    <s v="PETRARIU SORIN"/>
    <m/>
  </r>
  <r>
    <x v="0"/>
    <x v="0"/>
    <x v="1"/>
    <x v="4"/>
    <d v="2025-10-07T15:00:00"/>
    <s v="369066_OOS"/>
    <s v="Loading"/>
    <s v="IQ-ROAD_OOS"/>
    <s v="Aval non piloté_EN"/>
    <s v="EXPEDITE ONE"/>
    <m/>
    <m/>
    <s v="No"/>
    <s v="NL Haps DC (DSV)"/>
    <s v="OOS_OUT - Delivery OOS"/>
    <n v="15"/>
    <n v="0"/>
    <n v="0"/>
    <n v="0"/>
    <s v="5019001754   5018980474"/>
    <x v="0"/>
    <m/>
    <s v="08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1"/>
    <x v="4"/>
    <d v="2025-10-07T16:00:00"/>
    <s v="0006085543_4900"/>
    <s v="Loading"/>
    <n v="455637"/>
    <s v="Primary flows"/>
    <s v="GIRTEKA FOR SN 3PO"/>
    <m/>
    <m/>
    <s v="No"/>
    <s v="NL Haps DC (DSV)"/>
    <s v="GRAB - PL Grabica"/>
    <n v="33"/>
    <n v="0"/>
    <n v="0"/>
    <n v="0"/>
    <s v="1  01"/>
    <x v="1"/>
    <m/>
    <s v="10/10/2025 10:00-10:00"/>
    <s v="PZ_3V277"/>
    <n v="0"/>
    <m/>
    <s v="No"/>
    <s v="Shipped/Received"/>
    <s v="Direct"/>
    <m/>
    <m/>
    <m/>
    <s v="HAPSDCPL20251007-03"/>
    <m/>
    <m/>
    <s v="No"/>
    <n v="5019107089"/>
    <s v="NMC_026"/>
    <s v="Andrei Maziuk"/>
    <m/>
  </r>
  <r>
    <x v="0"/>
    <x v="0"/>
    <x v="1"/>
    <x v="4"/>
    <d v="2025-10-07T16:00:00"/>
    <s v="370096_OOS"/>
    <s v="Loading"/>
    <s v="5019123750_OOS"/>
    <s v="Aval non piloté_EN"/>
    <s v="REINING (Hoogezand)"/>
    <m/>
    <m/>
    <s v="No"/>
    <s v="NL Haps DC (DSV)"/>
    <s v="OOS_OUT - Delivery OOS"/>
    <n v="40"/>
    <n v="0"/>
    <n v="0"/>
    <n v="0"/>
    <s v="RETURN SEE MAIL LIZZY"/>
    <x v="5"/>
    <m/>
    <s v="08/10/2025 09:00-09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1"/>
    <x v="4"/>
    <d v="2025-10-07T16:00:00"/>
    <s v="369649_OOS"/>
    <s v="Loading"/>
    <s v="HK-AIR_OOS"/>
    <s v="Aval non piloté_EN"/>
    <s v="GEODIS"/>
    <m/>
    <m/>
    <s v="No"/>
    <s v="NL Haps DC (DSV)"/>
    <s v="OOS_OUT - Delivery OOS"/>
    <n v="27"/>
    <n v="0"/>
    <n v="0"/>
    <n v="0"/>
    <s v="HK 5019063591 (ONLY 18PL)"/>
    <x v="0"/>
    <m/>
    <s v="0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4"/>
    <d v="2025-10-07T16:00:00"/>
    <s v="0006072899_4900"/>
    <s v="Loading"/>
    <s v="455367 / 452209"/>
    <s v="Primary flows / Primary flows"/>
    <s v="GIRTEKA FOR SN 3PO"/>
    <m/>
    <m/>
    <s v="No"/>
    <s v="NL Haps DC (DSV)"/>
    <s v="AZA2 - PT Azambuja Ambient / AZA2 - PT Azambuja Ambient"/>
    <n v="66"/>
    <n v="0"/>
    <n v="0"/>
    <n v="0"/>
    <s v="1  01"/>
    <x v="3"/>
    <m/>
    <s v="10/10/2025 07:00-07:00"/>
    <m/>
    <n v="0"/>
    <m/>
    <s v="No"/>
    <s v="Shipped/Received"/>
    <s v="Direct"/>
    <s v=" / "/>
    <s v=" / "/>
    <m/>
    <s v="HAPSDCPT20251006-01 / HAPSDCPT20251006-01"/>
    <m/>
    <m/>
    <s v="No"/>
    <s v="5019100002 / 5019083709"/>
    <m/>
    <m/>
    <m/>
  </r>
  <r>
    <x v="0"/>
    <x v="0"/>
    <x v="1"/>
    <x v="4"/>
    <d v="2025-10-07T16:00:00"/>
    <s v="0006073189_4900"/>
    <s v="Loading"/>
    <n v="451351"/>
    <s v="Primary flows"/>
    <s v="KREISS FOR SN 3PO"/>
    <m/>
    <m/>
    <s v="No"/>
    <s v="NL Haps DC (DSV)"/>
    <s v="CIE2 - ES Ciempozuelos SN"/>
    <n v="33"/>
    <n v="0"/>
    <n v="0"/>
    <n v="0"/>
    <s v="1  01"/>
    <x v="1"/>
    <m/>
    <s v="10/10/2025 10:00-10:00"/>
    <m/>
    <n v="0"/>
    <m/>
    <s v="No"/>
    <s v="Shipped/Received"/>
    <s v="Direct"/>
    <m/>
    <m/>
    <m/>
    <s v="HAPSDCES20251007-01"/>
    <m/>
    <m/>
    <s v="No"/>
    <n v="5019107258"/>
    <m/>
    <m/>
    <m/>
  </r>
  <r>
    <x v="0"/>
    <x v="0"/>
    <x v="1"/>
    <x v="4"/>
    <d v="2025-10-07T16:00:00"/>
    <s v="0006073190_4900"/>
    <s v="Loading"/>
    <n v="451323"/>
    <s v="Primary flows"/>
    <s v="P AND O FOR SN 3PO"/>
    <m/>
    <m/>
    <s v="No"/>
    <s v="NL Haps DC (DSV)"/>
    <s v="TAMP - FI Tampere"/>
    <n v="33"/>
    <n v="0"/>
    <n v="0"/>
    <n v="0"/>
    <s v="1  01"/>
    <x v="1"/>
    <m/>
    <s v="14/10/2025 16:00-16:00"/>
    <m/>
    <n v="0"/>
    <m/>
    <s v="No"/>
    <s v="Shipped/Received"/>
    <s v="Direct"/>
    <m/>
    <m/>
    <m/>
    <s v="HAPSDCFI20251007-01"/>
    <m/>
    <m/>
    <s v="No"/>
    <n v="5019106205"/>
    <m/>
    <m/>
    <m/>
  </r>
  <r>
    <x v="0"/>
    <x v="0"/>
    <x v="1"/>
    <x v="4"/>
    <d v="2025-10-07T17:00:00"/>
    <s v="0006073207_4900"/>
    <s v="Loading"/>
    <s v="456110 / 451346"/>
    <s v="Primary flows / Primary flows"/>
    <s v="VLANTANA FOR SN 3PO"/>
    <m/>
    <m/>
    <s v="No"/>
    <s v="NL Haps DC (DSV)"/>
    <s v="RIGA - LV Riga (EUGESTA SIA) / RIGA - LV Riga (EUGESTA SIA)"/>
    <n v="66"/>
    <n v="0"/>
    <n v="0"/>
    <n v="0"/>
    <s v="1  01"/>
    <x v="1"/>
    <m/>
    <s v="10/10/2025 11:30-11:30"/>
    <m/>
    <n v="0"/>
    <m/>
    <s v="No"/>
    <s v="Shipped/Received"/>
    <s v="Direct"/>
    <s v=" / "/>
    <s v=" / "/>
    <m/>
    <s v="HAPSDCLV20251007-01 / HAPSDCLV20251007-01"/>
    <m/>
    <m/>
    <s v="No"/>
    <s v="5019095592 / 5019091757"/>
    <m/>
    <m/>
    <m/>
  </r>
  <r>
    <x v="0"/>
    <x v="0"/>
    <x v="1"/>
    <x v="4"/>
    <d v="2025-10-07T17:00:00"/>
    <s v="0006073186_4900"/>
    <s v="Loading"/>
    <n v="451328"/>
    <s v="Primary flows"/>
    <s v="LKW WALTER FOR SN 3PO"/>
    <m/>
    <m/>
    <s v="No"/>
    <s v="NL Haps DC (DSV)"/>
    <s v="ALZE - DE Alzenau"/>
    <n v="33"/>
    <n v="0"/>
    <n v="0"/>
    <n v="0"/>
    <s v="1  01"/>
    <x v="1"/>
    <m/>
    <s v="08/10/2025 10:00-10:00"/>
    <m/>
    <n v="0"/>
    <m/>
    <s v="No"/>
    <s v="Shipped/Received"/>
    <s v="Direct"/>
    <m/>
    <m/>
    <m/>
    <s v="HAPSDCDE20251007-01"/>
    <m/>
    <m/>
    <s v="No"/>
    <n v="5019101659"/>
    <m/>
    <m/>
    <m/>
  </r>
  <r>
    <x v="0"/>
    <x v="0"/>
    <x v="1"/>
    <x v="4"/>
    <d v="2025-10-07T17:00:00"/>
    <s v="0006073203_4900"/>
    <s v="Loading"/>
    <n v="451333"/>
    <s v="Primary flows"/>
    <s v="ECS FOR SN 3PO"/>
    <m/>
    <m/>
    <s v="No"/>
    <s v="NL Haps DC (DSV)"/>
    <s v="MOUS - FR Moussy-Le-Neuf"/>
    <n v="33"/>
    <n v="0"/>
    <n v="0"/>
    <n v="0"/>
    <s v="1  01"/>
    <x v="1"/>
    <m/>
    <s v="08/10/2025 13:00-13:00"/>
    <s v="Qatu420"/>
    <n v="0"/>
    <m/>
    <s v="No"/>
    <s v="Shipped/Received"/>
    <s v="Direct"/>
    <m/>
    <m/>
    <m/>
    <s v="HAPSDCFR20251007-03"/>
    <m/>
    <m/>
    <s v="No"/>
    <n v="5019090032"/>
    <s v="B18BTR"/>
    <s v="Nicolae Secher"/>
    <m/>
  </r>
  <r>
    <x v="0"/>
    <x v="0"/>
    <x v="1"/>
    <x v="4"/>
    <d v="2025-10-07T18:00:00"/>
    <s v="370097_OOS"/>
    <s v="Loading"/>
    <s v="5019123751_OOS"/>
    <s v="Aval non piloté_EN"/>
    <s v="REINING (Hoogezand)"/>
    <m/>
    <m/>
    <s v="No"/>
    <s v="NL Haps DC (DSV)"/>
    <s v="OOS_OUT - Delivery OOS"/>
    <n v="36"/>
    <n v="0"/>
    <n v="0"/>
    <n v="0"/>
    <s v="RETURN SUPPLIER SEE MAIL LIZZY"/>
    <x v="5"/>
    <m/>
    <s v="08/10/2025 09:00-09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1"/>
    <x v="4"/>
    <d v="2025-10-07T18:00:00"/>
    <s v="0006073187_4900"/>
    <s v="Loading"/>
    <n v="451319"/>
    <s v="Primary flows"/>
    <s v="LKW WALTER FOR SN 3PO"/>
    <m/>
    <m/>
    <s v="No"/>
    <s v="NL Haps DC (DSV)"/>
    <s v="ALZE - DE Alzenau"/>
    <n v="33"/>
    <n v="0"/>
    <n v="0"/>
    <n v="0"/>
    <s v="1  01"/>
    <x v="1"/>
    <m/>
    <s v="08/10/2025 11:00-11:00"/>
    <m/>
    <n v="0"/>
    <m/>
    <s v="No"/>
    <s v="Shipped/Received"/>
    <s v="Direct"/>
    <m/>
    <m/>
    <m/>
    <s v="HAPSDCDE20251007-02"/>
    <m/>
    <m/>
    <s v="No"/>
    <n v="5019092399"/>
    <m/>
    <m/>
    <m/>
  </r>
  <r>
    <x v="0"/>
    <x v="0"/>
    <x v="1"/>
    <x v="4"/>
    <d v="2025-10-07T18:00:00"/>
    <s v="0006073201_4900"/>
    <s v="Loading"/>
    <n v="451352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8/10/2025 07:30-07:30"/>
    <m/>
    <n v="0"/>
    <m/>
    <s v="No"/>
    <s v="Shipped/Received"/>
    <s v="Direct"/>
    <m/>
    <m/>
    <m/>
    <s v="HAPSDCFR20251007-01"/>
    <m/>
    <m/>
    <s v="No"/>
    <n v="5019111247"/>
    <m/>
    <m/>
    <m/>
  </r>
  <r>
    <x v="0"/>
    <x v="0"/>
    <x v="1"/>
    <x v="4"/>
    <d v="2025-10-07T18:00:00"/>
    <s v="0006073217_4900"/>
    <s v="Loading"/>
    <n v="451320"/>
    <s v="Primary flows"/>
    <s v="LOGISTA FOR SN 3PO"/>
    <m/>
    <m/>
    <s v="No"/>
    <s v="NL Haps DC (DSV)"/>
    <s v="CIE2 - ES Ciempozuelos SN"/>
    <n v="33"/>
    <n v="0"/>
    <n v="0"/>
    <n v="0"/>
    <s v="1  01"/>
    <x v="1"/>
    <m/>
    <s v="10/10/2025 08:00-08:00"/>
    <s v="R7704BCZ"/>
    <n v="0"/>
    <m/>
    <s v="No"/>
    <s v="Shipped/Received"/>
    <s v="Direct"/>
    <m/>
    <m/>
    <m/>
    <s v="HAPSDCES20251008-02"/>
    <m/>
    <m/>
    <s v="No"/>
    <n v="5019111532"/>
    <s v="2857KGH"/>
    <s v=" FLORENTIN MANEA"/>
    <m/>
  </r>
  <r>
    <x v="0"/>
    <x v="0"/>
    <x v="1"/>
    <x v="4"/>
    <d v="2025-10-07T19:00:00"/>
    <s v="0006085514_4900"/>
    <s v="Loading"/>
    <n v="455590"/>
    <s v="Primary flows"/>
    <s v="NABUURS FOR SN 3PO"/>
    <m/>
    <m/>
    <s v="No"/>
    <s v="NL Haps DC (DSV)"/>
    <s v="OOST - NL Oosterhout (Nabuurs)"/>
    <n v="33"/>
    <n v="0"/>
    <n v="0"/>
    <n v="0"/>
    <s v="1  01"/>
    <x v="1"/>
    <m/>
    <s v="08/10/2025 19:00-19:00"/>
    <m/>
    <n v="0"/>
    <m/>
    <s v="No"/>
    <s v="Shipped/Received"/>
    <s v="Direct"/>
    <m/>
    <m/>
    <m/>
    <s v="HAPSDCNL20251007-02"/>
    <m/>
    <m/>
    <s v="No"/>
    <n v="5019037058"/>
    <m/>
    <m/>
    <m/>
  </r>
  <r>
    <x v="0"/>
    <x v="0"/>
    <x v="1"/>
    <x v="4"/>
    <d v="2025-10-07T19:00:00"/>
    <s v="0006073209_4900"/>
    <s v="Loading"/>
    <s v="456112 / 451325"/>
    <s v="Primary flows / Primary flows"/>
    <s v="MIERZWA FOR SN 3PO"/>
    <m/>
    <m/>
    <s v="No"/>
    <s v="NL Haps DC (DSV)"/>
    <s v="GRAB - PL Grabica / GRAB - PL Grabica"/>
    <n v="66"/>
    <n v="0"/>
    <n v="0"/>
    <n v="0"/>
    <s v="1  01"/>
    <x v="1"/>
    <m/>
    <s v="14/10/2025 22:00-22:00"/>
    <s v="KRA987PG"/>
    <n v="0"/>
    <m/>
    <s v="No"/>
    <s v="Shipped/Received"/>
    <s v="Direct"/>
    <s v=" / "/>
    <s v=" / "/>
    <m/>
    <s v="HAPSDCPL20251007-02 / HAPSDCPL20251007-02"/>
    <m/>
    <m/>
    <s v="No"/>
    <s v="5019101623 / 5019113281"/>
    <s v="KRA607EV"/>
    <s v="Urba?ski Grzegorz "/>
    <m/>
  </r>
  <r>
    <x v="0"/>
    <x v="0"/>
    <x v="1"/>
    <x v="4"/>
    <d v="2025-10-07T19:00:00"/>
    <s v="0006073185_4900"/>
    <s v="Loading"/>
    <s v="456113 / 451345"/>
    <s v="Primary flows / Primary flows"/>
    <s v="PIOMAR FOR SN 3PO"/>
    <m/>
    <m/>
    <s v="No"/>
    <s v="NL Haps DC (DSV)"/>
    <s v="RICA - CZ Ricany DC2 Ambient WH / RICA - CZ Ricany DC2 Ambient WH"/>
    <n v="66"/>
    <n v="0"/>
    <n v="0"/>
    <n v="0"/>
    <s v="1  01"/>
    <x v="1"/>
    <m/>
    <s v="09/10/2025 17:00-17:00"/>
    <s v="OP7453U"/>
    <n v="0"/>
    <m/>
    <s v="No"/>
    <s v="Shipped/Received"/>
    <s v="Direct"/>
    <s v=" / "/>
    <s v=" / "/>
    <m/>
    <s v="HAPSDCCZ20251007-01 / HAPSDCCZ20251007-01"/>
    <m/>
    <m/>
    <s v="No"/>
    <s v="5019115481 / 5019101018"/>
    <s v="OP6658M"/>
    <s v="ZALCMAN PAWEL"/>
    <m/>
  </r>
  <r>
    <x v="0"/>
    <x v="0"/>
    <x v="1"/>
    <x v="4"/>
    <d v="2025-10-07T20:00:00"/>
    <s v="0006073208_4900"/>
    <s v="Loading"/>
    <n v="451330"/>
    <s v="Primary flows"/>
    <s v="PIOMAR FOR SN 3PO"/>
    <m/>
    <m/>
    <s v="No"/>
    <s v="NL Haps DC (DSV)"/>
    <s v="GRAB - PL Grabica"/>
    <n v="33"/>
    <n v="0"/>
    <n v="0"/>
    <n v="0"/>
    <s v="1  01"/>
    <x v="1"/>
    <m/>
    <s v="09/10/2025 22:00-22:00"/>
    <s v="OP7424G"/>
    <n v="0"/>
    <m/>
    <s v="No"/>
    <s v="Shipped/Received"/>
    <s v="Direct"/>
    <m/>
    <m/>
    <m/>
    <s v="HAPSDCPL20251007-01"/>
    <m/>
    <m/>
    <s v="No"/>
    <n v="5019093296"/>
    <s v="OKR9AW4"/>
    <s v="PROKOP DARIUSZ"/>
    <m/>
  </r>
  <r>
    <x v="0"/>
    <x v="0"/>
    <x v="1"/>
    <x v="5"/>
    <d v="2025-10-08T06:00:00"/>
    <s v="0006082533_4900"/>
    <s v="Loading"/>
    <n v="454260"/>
    <s v="Primary flows"/>
    <s v="SAMSKIP FOR SN 3PO"/>
    <m/>
    <m/>
    <s v="No"/>
    <s v="NL Haps DC (DSV)"/>
    <s v="REDD - GB Redditch"/>
    <n v="33"/>
    <n v="0"/>
    <n v="0"/>
    <n v="0"/>
    <s v="1  01"/>
    <x v="1"/>
    <m/>
    <s v="14/10/2025 23:00-23:00"/>
    <m/>
    <n v="0"/>
    <m/>
    <s v="No"/>
    <s v="Shipped/Received"/>
    <s v="Direct"/>
    <m/>
    <m/>
    <m/>
    <s v="HAPSDCUK20251008-02"/>
    <m/>
    <m/>
    <s v="No"/>
    <n v="5019112138"/>
    <m/>
    <m/>
    <m/>
  </r>
  <r>
    <x v="0"/>
    <x v="0"/>
    <x v="1"/>
    <x v="5"/>
    <d v="2025-10-08T06:00:00"/>
    <s v="367322_OOS"/>
    <s v="Loading"/>
    <s v="HK-SEA-6078315_OOS"/>
    <s v="Aval non piloté_EN"/>
    <s v="MAERSK - Control Tower"/>
    <m/>
    <m/>
    <s v="No"/>
    <s v="NL Haps DC (DSV)"/>
    <s v="OOS_OUT - Delivery OOS"/>
    <n v="20"/>
    <n v="0"/>
    <n v="0"/>
    <n v="0"/>
    <n v="5019045713"/>
    <x v="0"/>
    <m/>
    <s v="09/10/2025 00:01-00:01"/>
    <m/>
    <n v="0"/>
    <m/>
    <s v="No"/>
    <s v="Shipped/Received"/>
    <s v="Direct"/>
    <m/>
    <m/>
    <s v="3POeuropect@lns.maersk.com"/>
    <m/>
    <m/>
    <m/>
    <s v="No"/>
    <s v="&amp;nbsp"/>
    <m/>
    <m/>
    <n v="260109072"/>
  </r>
  <r>
    <x v="0"/>
    <x v="0"/>
    <x v="1"/>
    <x v="5"/>
    <d v="2025-10-08T07:00:00"/>
    <s v="368986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82862 &amp; 4505782945 LZV  "/>
    <x v="1"/>
    <m/>
    <s v="0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5"/>
    <d v="2025-10-08T08:00:00"/>
    <s v="0006088357_4900"/>
    <s v="Loading"/>
    <n v="456514"/>
    <s v="Primary flows"/>
    <s v="GIRTEKA FOR SN 3PO"/>
    <m/>
    <m/>
    <s v="No"/>
    <s v="NL Haps DC (DSV)"/>
    <s v="REDD - GB Redditch"/>
    <n v="33"/>
    <n v="0"/>
    <n v="0"/>
    <n v="0"/>
    <s v="1  01"/>
    <x v="1"/>
    <m/>
    <s v="09/10/2025 16:00-16:00"/>
    <s v="PZ_920WS"/>
    <n v="0"/>
    <m/>
    <s v="No"/>
    <s v="Shipped/Received"/>
    <s v="Direct"/>
    <m/>
    <m/>
    <m/>
    <s v="HAPSDCUK20251008-05"/>
    <m/>
    <m/>
    <s v="No"/>
    <n v="5019111113"/>
    <s v="PZ_7F796"/>
    <s v="Valery Andrushkevich"/>
    <m/>
  </r>
  <r>
    <x v="0"/>
    <x v="0"/>
    <x v="1"/>
    <x v="5"/>
    <d v="2025-10-08T08:00:00"/>
    <s v="0006073223_4900"/>
    <s v="Loading"/>
    <n v="455275"/>
    <s v="Primary flows"/>
    <s v="SAMSKIP FOR SN 3PO"/>
    <m/>
    <m/>
    <s v="No"/>
    <s v="NL Haps DC (DSV)"/>
    <s v="RATH - IE Dublin Rathcoole Ambient"/>
    <n v="33"/>
    <n v="0"/>
    <n v="0"/>
    <n v="0"/>
    <s v="1  01"/>
    <x v="1"/>
    <m/>
    <s v="15/10/2025 23:30-23:30"/>
    <m/>
    <n v="0"/>
    <m/>
    <s v="No"/>
    <s v="Shipped/Received"/>
    <s v="Direct"/>
    <m/>
    <m/>
    <m/>
    <s v="HAPSDCIE20251008-01"/>
    <m/>
    <m/>
    <s v="No"/>
    <n v="5019105505"/>
    <m/>
    <m/>
    <m/>
  </r>
  <r>
    <x v="0"/>
    <x v="0"/>
    <x v="1"/>
    <x v="5"/>
    <d v="2025-10-08T09:00:00"/>
    <s v="364763_OOS"/>
    <s v="Loading"/>
    <s v="BR-SEA-6068778_OOS"/>
    <s v="Aval non piloté_EN"/>
    <s v="MAERSK - Control Tower"/>
    <m/>
    <m/>
    <s v="No"/>
    <s v="NL Haps DC (DSV)"/>
    <s v="OOS_OUT - Delivery OOS"/>
    <n v="20"/>
    <n v="0"/>
    <n v="0"/>
    <n v="0"/>
    <n v="5019055649"/>
    <x v="0"/>
    <m/>
    <s v="09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816312"/>
  </r>
  <r>
    <x v="0"/>
    <x v="0"/>
    <x v="1"/>
    <x v="5"/>
    <d v="2025-10-08T09:00:00"/>
    <s v="0006073226_4900"/>
    <s v="Loading"/>
    <s v="456480 / 456479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5/10/2025 15:00-15:00"/>
    <m/>
    <n v="0"/>
    <m/>
    <s v="No"/>
    <s v="Shipped/Received"/>
    <s v="Direct"/>
    <s v=" / "/>
    <s v=" / "/>
    <m/>
    <s v="HAPSDCNO20251008-01 / HAPSDCNO20251008-01"/>
    <m/>
    <m/>
    <s v="No"/>
    <s v="5019125004 / 5019101259"/>
    <m/>
    <m/>
    <m/>
  </r>
  <r>
    <x v="0"/>
    <x v="0"/>
    <x v="1"/>
    <x v="5"/>
    <d v="2025-10-08T09:00:00"/>
    <s v="368392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045538"/>
    <x v="0"/>
    <m/>
    <s v="0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5"/>
    <d v="2025-10-08T10:00:00"/>
    <s v="365238_OOS"/>
    <s v="Loading"/>
    <s v="CN-SEA-6071109_OOS"/>
    <s v="Aval non piloté_EN"/>
    <s v="MAERSK - Control Tower"/>
    <m/>
    <m/>
    <s v="No"/>
    <s v="NL Haps DC (DSV)"/>
    <s v="OOS_OUT - Delivery OOS"/>
    <n v="20"/>
    <n v="0"/>
    <n v="0"/>
    <n v="0"/>
    <n v="5019002310"/>
    <x v="0"/>
    <m/>
    <s v="09/10/2025 00:03-00:03"/>
    <m/>
    <n v="0"/>
    <m/>
    <s v="No"/>
    <s v="Shipped/Received"/>
    <s v="Direct"/>
    <m/>
    <m/>
    <s v="3POeuropect@lns.maersk.com"/>
    <m/>
    <m/>
    <m/>
    <s v="No"/>
    <s v="&amp;nbsp"/>
    <m/>
    <m/>
    <n v="259878360"/>
  </r>
  <r>
    <x v="0"/>
    <x v="0"/>
    <x v="1"/>
    <x v="5"/>
    <d v="2025-10-08T10:00:00"/>
    <s v="370283_OOS"/>
    <s v="Loading"/>
    <s v="5019106667_OOS"/>
    <s v="Aval non piloté_EN"/>
    <s v="REINING (Hoogezand)"/>
    <m/>
    <m/>
    <s v="No"/>
    <s v="NL Haps DC (DSV)"/>
    <s v="OOS_OUT - Delivery OOS"/>
    <n v="40"/>
    <n v="0"/>
    <n v="0"/>
    <n v="0"/>
    <s v="RETURN TO SUPPLIER SEE MAIL LIZZY/REMON"/>
    <x v="5"/>
    <m/>
    <s v="09/10/2025 00:00-00:00"/>
    <m/>
    <n v="0"/>
    <m/>
    <s v="No"/>
    <s v="Shipped/Received"/>
    <s v="Direct"/>
    <m/>
    <m/>
    <s v="dfault.@danone.com"/>
    <m/>
    <m/>
    <m/>
    <s v="No"/>
    <s v="&amp;nbsp"/>
    <m/>
    <m/>
    <s v="Massilly Dronten"/>
  </r>
  <r>
    <x v="0"/>
    <x v="0"/>
    <x v="1"/>
    <x v="5"/>
    <d v="2025-10-08T10:00:00"/>
    <s v="367241_OOS"/>
    <s v="Loading"/>
    <s v="BR-SEA-6078291_OOS"/>
    <s v="Aval non piloté_EN"/>
    <s v="MAERSK - Control Tower"/>
    <m/>
    <m/>
    <s v="No"/>
    <s v="NL Haps DC (DSV)"/>
    <s v="OOS_OUT - Delivery OOS"/>
    <n v="20"/>
    <n v="0"/>
    <n v="0"/>
    <n v="0"/>
    <n v="5019078164"/>
    <x v="0"/>
    <m/>
    <s v="09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110691"/>
  </r>
  <r>
    <x v="0"/>
    <x v="0"/>
    <x v="1"/>
    <x v="5"/>
    <d v="2025-10-08T10:00:00"/>
    <s v="0006073227_4900"/>
    <s v="Loading"/>
    <n v="451317"/>
    <s v="Primary flows"/>
    <s v="SAMSKIP FOR SN 3PO"/>
    <m/>
    <m/>
    <s v="No"/>
    <s v="NL Haps DC (DSV)"/>
    <s v="VEST - NO Vestby Leman"/>
    <n v="33"/>
    <n v="0"/>
    <n v="0"/>
    <n v="0"/>
    <s v="1  01"/>
    <x v="1"/>
    <m/>
    <s v="15/10/2025 15:00-15:00"/>
    <m/>
    <n v="0"/>
    <m/>
    <s v="No"/>
    <s v="Shipped/Received"/>
    <s v="Direct"/>
    <m/>
    <m/>
    <m/>
    <s v="HAPSDCNO20251008-02"/>
    <m/>
    <m/>
    <s v="No"/>
    <n v="5019104356"/>
    <m/>
    <m/>
    <m/>
  </r>
  <r>
    <x v="0"/>
    <x v="0"/>
    <x v="1"/>
    <x v="5"/>
    <d v="2025-10-08T10:00:00"/>
    <s v="365239_OOS"/>
    <s v="Loading"/>
    <s v="CN-SEA-6071110_OOS"/>
    <s v="Aval non piloté_EN"/>
    <s v="MAERSK - Control Tower"/>
    <m/>
    <m/>
    <s v="No"/>
    <s v="NL Haps DC (DSV)"/>
    <s v="OOS_OUT - Delivery OOS"/>
    <n v="20"/>
    <n v="0"/>
    <n v="0"/>
    <n v="0"/>
    <n v="5019015660"/>
    <x v="0"/>
    <m/>
    <s v="09/10/2025 00:03-00:03"/>
    <m/>
    <n v="0"/>
    <m/>
    <s v="No"/>
    <s v="Shipped/Received"/>
    <s v="Direct"/>
    <m/>
    <m/>
    <s v="3POeuropect@lns.maersk.com"/>
    <m/>
    <m/>
    <m/>
    <s v="No"/>
    <s v="&amp;nbsp"/>
    <m/>
    <m/>
    <n v="259878360"/>
  </r>
  <r>
    <x v="0"/>
    <x v="0"/>
    <x v="1"/>
    <x v="5"/>
    <d v="2025-10-08T11:00:00"/>
    <s v="0006082534_4900"/>
    <s v="Loading"/>
    <n v="454257"/>
    <s v="Primary flows"/>
    <s v="SAMSKIP FOR SN 3PO"/>
    <m/>
    <m/>
    <s v="No"/>
    <s v="NL Haps DC (DSV)"/>
    <s v="REDD - GB Redditch"/>
    <n v="33"/>
    <n v="0"/>
    <n v="0"/>
    <n v="0"/>
    <s v="1  01"/>
    <x v="1"/>
    <m/>
    <s v="14/10/2025 23:00-23:00"/>
    <m/>
    <n v="0"/>
    <m/>
    <s v="No"/>
    <s v="Shipped/Received"/>
    <s v="Direct"/>
    <m/>
    <m/>
    <m/>
    <s v="HAPSDCUK20251008-03"/>
    <m/>
    <m/>
    <s v="No"/>
    <n v="5019111743"/>
    <m/>
    <m/>
    <m/>
  </r>
  <r>
    <x v="0"/>
    <x v="0"/>
    <x v="1"/>
    <x v="5"/>
    <d v="2025-10-08T11:00:00"/>
    <s v="369934_OOS"/>
    <s v="Loading"/>
    <s v="AU - AIR_OOS"/>
    <s v="Aval non piloté_EN"/>
    <s v="HELLMANN"/>
    <m/>
    <m/>
    <s v="No"/>
    <s v="NL Haps DC (DSV)"/>
    <s v="OOS_OUT - Delivery OOS"/>
    <n v="8"/>
    <n v="0"/>
    <n v="0"/>
    <n v="0"/>
    <s v="AU - AIR 5019031376 -8P"/>
    <x v="2"/>
    <m/>
    <s v="09/10/2025 11:00-11:00"/>
    <m/>
    <n v="0"/>
    <m/>
    <s v="No"/>
    <s v="Shipped/Received"/>
    <s v="Direct"/>
    <m/>
    <m/>
    <s v="amsexport@hellmann.com"/>
    <m/>
    <m/>
    <m/>
    <s v="No"/>
    <s v="&amp;nbsp"/>
    <m/>
    <m/>
    <m/>
  </r>
  <r>
    <x v="0"/>
    <x v="0"/>
    <x v="1"/>
    <x v="5"/>
    <d v="2025-10-08T11:00:00"/>
    <s v="0006072892_4900"/>
    <s v="Loading"/>
    <s v="456468 / 452208"/>
    <s v="Primary flows / Primary flows"/>
    <s v="ROBERT KUKLA FOR SN 3PO"/>
    <m/>
    <m/>
    <s v="No"/>
    <s v="NL Haps DC (DSV)"/>
    <s v="THIV - GR Thiva-Boetia / THIV - GR Thiva-Boetia"/>
    <n v="66"/>
    <n v="0"/>
    <n v="0"/>
    <n v="0"/>
    <s v="1  01"/>
    <x v="1"/>
    <m/>
    <s v="20/10/2025 14:00-14:00"/>
    <m/>
    <n v="0"/>
    <m/>
    <s v="No"/>
    <s v="Shipped/Received"/>
    <s v="Direct"/>
    <s v=" / "/>
    <s v=" / "/>
    <m/>
    <s v="HAPSDCGR20251006-01 / HAPSDCGR20251006-01"/>
    <m/>
    <m/>
    <s v="No"/>
    <s v="5019127163 / 5019127280"/>
    <m/>
    <m/>
    <m/>
  </r>
  <r>
    <x v="0"/>
    <x v="0"/>
    <x v="1"/>
    <x v="5"/>
    <d v="2025-10-08T11:00:00"/>
    <s v="362206_OOS"/>
    <s v="Loading"/>
    <s v="TH-SEA-6058468_OOS"/>
    <s v="Aval non piloté_EN"/>
    <s v="MAERSK - Control Tower"/>
    <m/>
    <m/>
    <s v="No"/>
    <s v="NL Haps DC (DSV)"/>
    <s v="OOS_OUT - Delivery OOS"/>
    <n v="20"/>
    <n v="0"/>
    <n v="0"/>
    <n v="0"/>
    <n v="5019070605"/>
    <x v="0"/>
    <m/>
    <s v="09/10/2025 00:01-00:01"/>
    <m/>
    <n v="0"/>
    <m/>
    <s v="No"/>
    <s v="Shipped/Received"/>
    <s v="Direct"/>
    <m/>
    <m/>
    <s v="3POeuropect@lns.maersk.com"/>
    <m/>
    <m/>
    <m/>
    <s v="No"/>
    <s v="&amp;nbsp"/>
    <m/>
    <m/>
    <n v="37525004"/>
  </r>
  <r>
    <x v="0"/>
    <x v="0"/>
    <x v="1"/>
    <x v="5"/>
    <d v="2025-10-08T11:00:00"/>
    <s v="362859_OOS"/>
    <s v="Loading"/>
    <s v="AU-SEA-6061108_OOS"/>
    <s v="Aval non piloté_EN"/>
    <s v="MAERSK - Control Tower"/>
    <m/>
    <m/>
    <s v="No"/>
    <s v="NL Haps DC (DSV)"/>
    <s v="OOS_OUT - Delivery OOS"/>
    <n v="20"/>
    <n v="0"/>
    <n v="0"/>
    <n v="0"/>
    <s v="5019038483 5019039080 "/>
    <x v="0"/>
    <m/>
    <s v="09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933148"/>
  </r>
  <r>
    <x v="0"/>
    <x v="0"/>
    <x v="1"/>
    <x v="5"/>
    <d v="2025-10-08T12:00:00"/>
    <s v="367704_OOS"/>
    <s v="Loading"/>
    <s v="HK-AIR_OOS"/>
    <s v="Aval non piloté_EN"/>
    <s v="GEODIS"/>
    <m/>
    <m/>
    <s v="No"/>
    <s v="NL Haps DC (DSV)"/>
    <s v="OOS_OUT - Delivery OOS"/>
    <n v="10"/>
    <n v="0"/>
    <n v="0"/>
    <n v="0"/>
    <s v="HK 5019057262 (10 PL) KR 5018926834 (1 PL)"/>
    <x v="0"/>
    <m/>
    <s v="09/10/2025 10:00-10:00"/>
    <m/>
    <n v="0"/>
    <m/>
    <s v="No"/>
    <s v="Shipped/Received"/>
    <s v="Direct"/>
    <m/>
    <m/>
    <s v="tom.bloos@danone.com"/>
    <m/>
    <m/>
    <m/>
    <s v="No"/>
    <s v="&amp;nbsp"/>
    <m/>
    <m/>
    <m/>
  </r>
  <r>
    <x v="0"/>
    <x v="0"/>
    <x v="1"/>
    <x v="5"/>
    <d v="2025-10-08T12:00:00"/>
    <s v="0006082545_4900"/>
    <s v="Loading"/>
    <n v="454262"/>
    <s v="Primary flows"/>
    <s v="SAMSKIP FOR SN 3PO"/>
    <m/>
    <m/>
    <s v="No"/>
    <s v="NL Haps DC (DSV)"/>
    <s v="REDD - GB Redditch"/>
    <n v="33"/>
    <n v="0"/>
    <n v="0"/>
    <n v="0"/>
    <s v="1  01"/>
    <x v="1"/>
    <m/>
    <s v="16/10/2025 18:00-18:00"/>
    <m/>
    <n v="0"/>
    <m/>
    <s v="No"/>
    <s v="Shipped/Received"/>
    <s v="Direct"/>
    <m/>
    <m/>
    <m/>
    <s v="HAPSDCUK20251010-06"/>
    <m/>
    <m/>
    <s v="No"/>
    <n v="5019111744"/>
    <m/>
    <m/>
    <m/>
  </r>
  <r>
    <x v="0"/>
    <x v="0"/>
    <x v="1"/>
    <x v="5"/>
    <d v="2025-10-08T12:00:00"/>
    <s v="0006082532_4900"/>
    <s v="Loading"/>
    <n v="454243"/>
    <s v="Primary flows"/>
    <s v="GIRTEKA FOR SN 3PO"/>
    <m/>
    <m/>
    <s v="No"/>
    <s v="NL Haps DC (DSV)"/>
    <s v="REDD - GB Redditch"/>
    <n v="33"/>
    <n v="0"/>
    <n v="0"/>
    <n v="0"/>
    <s v="1  01"/>
    <x v="1"/>
    <m/>
    <s v="09/10/2025 17:00-17:00"/>
    <s v="PZ_2K270"/>
    <n v="0"/>
    <m/>
    <s v="No"/>
    <s v="Shipped/Received"/>
    <s v="Direct"/>
    <m/>
    <m/>
    <m/>
    <s v="HAPSDCUK20251008-01"/>
    <m/>
    <m/>
    <s v="No"/>
    <n v="5019126363"/>
    <s v="NCH_776"/>
    <s v="Khamza Rakhimov"/>
    <m/>
  </r>
  <r>
    <x v="0"/>
    <x v="0"/>
    <x v="1"/>
    <x v="5"/>
    <d v="2025-10-08T13:00:00"/>
    <s v="0006082535_4900"/>
    <s v="Loading"/>
    <n v="454244"/>
    <s v="Primary flows"/>
    <s v="EMONS FOR SN 3PO"/>
    <m/>
    <m/>
    <s v="No"/>
    <s v="NL Haps DC (DSV)"/>
    <s v="REDD - GB Redditch"/>
    <n v="33"/>
    <n v="0"/>
    <n v="0"/>
    <n v="0"/>
    <s v="1  01"/>
    <x v="1"/>
    <m/>
    <s v="09/10/2025 14:00-14:00"/>
    <m/>
    <n v="0"/>
    <m/>
    <s v="No"/>
    <s v="Shipped/Received"/>
    <s v="Direct"/>
    <m/>
    <m/>
    <m/>
    <s v="HAPSDCUK20251008-04"/>
    <m/>
    <m/>
    <s v="No"/>
    <n v="5019112777"/>
    <m/>
    <m/>
    <m/>
  </r>
  <r>
    <x v="0"/>
    <x v="0"/>
    <x v="1"/>
    <x v="5"/>
    <d v="2025-10-08T13:00:00"/>
    <s v="364741_OOS"/>
    <s v="Loading"/>
    <s v="CO-SEA-6068782_OOS"/>
    <s v="Aval non piloté_EN"/>
    <s v="Maersk - Control Tower"/>
    <m/>
    <m/>
    <s v="No"/>
    <s v="NL Haps DC (DSV)"/>
    <s v="OOS_OUT - Delivery OOS"/>
    <n v="20"/>
    <n v="0"/>
    <n v="0"/>
    <n v="0"/>
    <n v="5019006350"/>
    <x v="0"/>
    <m/>
    <s v="09/10/2025 00:03-00:03"/>
    <m/>
    <n v="0"/>
    <m/>
    <s v="No"/>
    <s v="Shipped/Received"/>
    <s v="Direct"/>
    <m/>
    <m/>
    <s v="nutricia.ct.eu@lns.maersk.com"/>
    <m/>
    <m/>
    <m/>
    <s v="No"/>
    <s v="&amp;nbsp"/>
    <m/>
    <m/>
    <n v="38041565"/>
  </r>
  <r>
    <x v="0"/>
    <x v="0"/>
    <x v="1"/>
    <x v="5"/>
    <d v="2025-10-08T13:00:00"/>
    <s v="369306_OOS"/>
    <s v="Loading"/>
    <s v="Scrap ZTM PIM - ROAD_OOS"/>
    <s v="Aval non piloté_EN"/>
    <s v="Koopman Cargo B.V."/>
    <m/>
    <m/>
    <s v="No"/>
    <s v="NL Haps DC (DSV)"/>
    <s v="OOS_OUT - Delivery OOS"/>
    <n v="28"/>
    <n v="0"/>
    <n v="0"/>
    <n v="0"/>
    <n v="90020397"/>
    <x v="0"/>
    <m/>
    <s v="09/10/2025 12:00-12:00"/>
    <m/>
    <n v="0"/>
    <m/>
    <s v="No"/>
    <s v="Shipped/Received"/>
    <s v="Direct"/>
    <m/>
    <m/>
    <s v="s.eek@koopman.nl"/>
    <m/>
    <m/>
    <m/>
    <s v="No"/>
    <s v="&amp;nbsp"/>
    <m/>
    <m/>
    <m/>
  </r>
  <r>
    <x v="0"/>
    <x v="0"/>
    <x v="1"/>
    <x v="5"/>
    <d v="2025-10-08T14:00:00"/>
    <s v="0006081817_4900"/>
    <s v="Loading"/>
    <s v="456842 / 454061 / 456841 / 454060"/>
    <s v="Primary flows / Primary flows / Primary flows / Primary flows"/>
    <s v="GEFCO FOR SN 3PO"/>
    <m/>
    <m/>
    <s v="No"/>
    <s v="NL Haps DC (DSV)"/>
    <s v="ZAGR - HR Zagreb / ZAGR - HR Zagreb / LJUB - SI Ljubljana / LJUB - SI Ljubljana"/>
    <n v="32"/>
    <n v="0"/>
    <n v="0"/>
    <n v="0"/>
    <s v="1  01"/>
    <x v="0"/>
    <m/>
    <s v="10/10/2025 15:00-15:00 / 09/10/2025 15:00-15:00"/>
    <s v="nmlv887"/>
    <n v="0"/>
    <m/>
    <s v="No"/>
    <s v="Shipped/Received"/>
    <s v="Direct"/>
    <s v=" /  /  / "/>
    <s v=" /  /  / "/>
    <m/>
    <s v="HAPSDCBG20251008-01 / HAPSDCBG20251008-01 / HAPSDCBG20251008-01 / HAPSDCBG20251008-01"/>
    <m/>
    <m/>
    <s v="No"/>
    <s v="5019091554 / 5019081205 / 5019107380 / 5019070711"/>
    <s v="nmkp444"/>
    <s v="Branko Drnkovic"/>
    <m/>
  </r>
  <r>
    <x v="0"/>
    <x v="0"/>
    <x v="1"/>
    <x v="5"/>
    <d v="2025-10-08T14:00:00"/>
    <s v="369935_OOS"/>
    <s v="Loading"/>
    <s v="NZ - AIR_OOS / AU - AIR_OOS"/>
    <s v="Aval non piloté_EN / Aval non piloté_EN"/>
    <s v="MAERSK"/>
    <m/>
    <m/>
    <s v="No"/>
    <s v="NL Haps DC (DSV)"/>
    <s v="OOS_OUT - Delivery OOS / OOS_OUT - Delivery OOS"/>
    <n v="3"/>
    <n v="0"/>
    <n v="0"/>
    <n v="0"/>
    <s v="AU AIR 5019049486 - 2P    NZ AIR 5019042677 - 1P"/>
    <x v="2"/>
    <m/>
    <s v="09/10/2025 14:00-14:00"/>
    <m/>
    <n v="0"/>
    <m/>
    <s v="No"/>
    <s v="Shipped/Received"/>
    <s v="Direct"/>
    <s v=" / "/>
    <s v=" / "/>
    <s v="export.AMS@maersk.com"/>
    <s v=" / "/>
    <m/>
    <m/>
    <s v="No"/>
    <s v="&amp;nbsp"/>
    <s v=" / &amp;nbsp"/>
    <m/>
    <m/>
  </r>
  <r>
    <x v="0"/>
    <x v="0"/>
    <x v="1"/>
    <x v="5"/>
    <d v="2025-10-08T14:00:00"/>
    <s v="367524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49272 5018433124 5018990691 5019007545 5018412499 5019107024 "/>
    <x v="0"/>
    <m/>
    <s v="0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5"/>
    <d v="2025-10-08T14:00:00"/>
    <s v="0006073214_4900"/>
    <s v="Loading"/>
    <n v="451329"/>
    <s v="Primary flows"/>
    <s v="LKW WALTER FOR SN 3PO"/>
    <m/>
    <m/>
    <s v="No"/>
    <s v="NL Haps DC (DSV)"/>
    <s v="ALZE - DE Alzenau"/>
    <n v="33"/>
    <n v="0"/>
    <n v="0"/>
    <n v="0"/>
    <s v="1  01"/>
    <x v="1"/>
    <m/>
    <s v="09/10/2025 10:00-10:00"/>
    <m/>
    <n v="0"/>
    <m/>
    <s v="No"/>
    <s v="Shipped/Received"/>
    <s v="Direct"/>
    <m/>
    <m/>
    <m/>
    <s v="HAPSDCDE20251008-01"/>
    <m/>
    <m/>
    <s v="No"/>
    <n v="5019111225"/>
    <m/>
    <m/>
    <m/>
  </r>
  <r>
    <x v="0"/>
    <x v="0"/>
    <x v="1"/>
    <x v="5"/>
    <d v="2025-10-08T15:00:00"/>
    <s v="0006073225_4900"/>
    <s v="Loading"/>
    <n v="451339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10/10/2025 12:00-12:00"/>
    <m/>
    <n v="0"/>
    <m/>
    <s v="No"/>
    <s v="Shipped/Received"/>
    <s v="Direct"/>
    <m/>
    <m/>
    <m/>
    <s v="HAPSDCIT20251008-02"/>
    <m/>
    <m/>
    <s v="No"/>
    <n v="5019120409"/>
    <m/>
    <m/>
    <m/>
  </r>
  <r>
    <x v="0"/>
    <x v="0"/>
    <x v="1"/>
    <x v="5"/>
    <d v="2025-10-08T15:00:00"/>
    <s v="367869_OOS"/>
    <s v="Loading"/>
    <s v="US-AIR_OOS"/>
    <s v="Aval non piloté_EN"/>
    <s v="JAS"/>
    <m/>
    <m/>
    <s v="No"/>
    <s v="NL Haps DC (DSV)"/>
    <s v="OOS_OUT - Delivery OOS"/>
    <n v="12"/>
    <n v="0"/>
    <n v="0"/>
    <n v="0"/>
    <s v="US 5018715787"/>
    <x v="0"/>
    <m/>
    <s v="0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5"/>
    <d v="2025-10-08T15:00:00"/>
    <s v="36752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11292 5019107339 5019100393 "/>
    <x v="0"/>
    <m/>
    <s v="0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5"/>
    <d v="2025-10-08T16:00:00"/>
    <s v="0006073255_4900"/>
    <s v="Loading"/>
    <n v="451366"/>
    <s v="Primary flows"/>
    <s v="ABC CZEPCZYNSKI FOR SN 3PO"/>
    <m/>
    <m/>
    <s v="No"/>
    <s v="NL Haps DC (DSV)"/>
    <s v="BUDA - HU Budapest (BILK Logisztikai)"/>
    <n v="33"/>
    <n v="0"/>
    <n v="0"/>
    <n v="0"/>
    <s v="1  01"/>
    <x v="1"/>
    <m/>
    <s v="10/10/2025 11:00-11:00"/>
    <s v="AACH794"/>
    <n v="0"/>
    <m/>
    <s v="No"/>
    <s v="Shipped/Received"/>
    <s v="Direct"/>
    <m/>
    <m/>
    <m/>
    <s v="HAPSDCHU20251010-01"/>
    <m/>
    <m/>
    <s v="No"/>
    <n v="5019129240"/>
    <s v="TBY344"/>
    <m/>
    <m/>
  </r>
  <r>
    <x v="0"/>
    <x v="0"/>
    <x v="1"/>
    <x v="5"/>
    <d v="2025-10-08T16:00:00"/>
    <s v="0006073188_4900"/>
    <s v="Loading"/>
    <n v="451326"/>
    <s v="Primary flows"/>
    <s v="LKW WALTER FOR SN 3PO"/>
    <m/>
    <m/>
    <s v="No"/>
    <s v="NL Haps DC (DSV)"/>
    <s v="ALZE - DE Alzenau"/>
    <n v="33"/>
    <n v="0"/>
    <n v="0"/>
    <n v="0"/>
    <s v="1  01"/>
    <x v="1"/>
    <m/>
    <s v="09/10/2025 10:00-10:00"/>
    <m/>
    <n v="0"/>
    <m/>
    <s v="No"/>
    <s v="Shipped/Received"/>
    <s v="Direct"/>
    <m/>
    <m/>
    <m/>
    <s v="HAPSDCDE20251007-03"/>
    <m/>
    <m/>
    <s v="No"/>
    <n v="5019125523"/>
    <m/>
    <m/>
    <m/>
  </r>
  <r>
    <x v="0"/>
    <x v="0"/>
    <x v="1"/>
    <x v="5"/>
    <d v="2025-10-08T16:00:00"/>
    <s v="367870_OOS"/>
    <s v="Loading"/>
    <s v="US-AIR_OOS"/>
    <s v="Aval non piloté_EN"/>
    <s v="JAS"/>
    <m/>
    <m/>
    <s v="No"/>
    <s v="NL Haps DC (DSV)"/>
    <s v="OOS_OUT - Delivery OOS"/>
    <n v="16"/>
    <n v="0"/>
    <n v="0"/>
    <n v="0"/>
    <s v="US 5019044117"/>
    <x v="0"/>
    <m/>
    <s v="0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5"/>
    <d v="2025-10-08T16:00:00"/>
    <s v="367871_OOS"/>
    <s v="Loading"/>
    <s v="US-AIR_OOS"/>
    <s v="Aval non piloté_EN"/>
    <s v="JAS"/>
    <m/>
    <m/>
    <s v="No"/>
    <s v="NL Haps DC (DSV)"/>
    <s v="OOS_OUT - Delivery OOS"/>
    <n v="23"/>
    <n v="0"/>
    <n v="0"/>
    <n v="0"/>
    <s v="US 5019069475"/>
    <x v="0"/>
    <m/>
    <s v="0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5"/>
    <d v="2025-10-08T17:00:00"/>
    <s v="0006073219_4900"/>
    <s v="Loading"/>
    <n v="451318"/>
    <s v="Primary flows"/>
    <s v="ECS FOR SN 3PO"/>
    <m/>
    <m/>
    <s v="No"/>
    <s v="NL Haps DC (DSV)"/>
    <s v="MOUS - FR Moussy-Le-Neuf"/>
    <n v="33"/>
    <n v="0"/>
    <n v="0"/>
    <n v="0"/>
    <s v="1  01"/>
    <x v="1"/>
    <m/>
    <s v="09/10/2025 13:00-13:00"/>
    <m/>
    <n v="0"/>
    <m/>
    <s v="No"/>
    <s v="Shipped/Received"/>
    <s v="Direct"/>
    <m/>
    <m/>
    <m/>
    <s v="HAPSDCFR20251008-01"/>
    <m/>
    <m/>
    <s v="No"/>
    <n v="5019124842"/>
    <m/>
    <m/>
    <m/>
  </r>
  <r>
    <x v="0"/>
    <x v="0"/>
    <x v="1"/>
    <x v="5"/>
    <d v="2025-10-08T17:00:00"/>
    <s v="0006073215_4900"/>
    <s v="Loading"/>
    <n v="451321"/>
    <s v="Primary flows"/>
    <s v="LKW WALTER FOR SN 3PO"/>
    <m/>
    <m/>
    <s v="No"/>
    <s v="NL Haps DC (DSV)"/>
    <s v="ALZE - DE Alzenau"/>
    <n v="33"/>
    <n v="0"/>
    <n v="0"/>
    <n v="0"/>
    <s v="1  01"/>
    <x v="1"/>
    <m/>
    <s v="09/10/2025 09:00-09:00"/>
    <m/>
    <n v="0"/>
    <m/>
    <s v="No"/>
    <s v="Shipped/Received"/>
    <s v="Direct"/>
    <m/>
    <m/>
    <m/>
    <s v="HAPSDCDE20251008-02"/>
    <m/>
    <m/>
    <s v="No"/>
    <n v="5019124459"/>
    <m/>
    <m/>
    <m/>
  </r>
  <r>
    <x v="0"/>
    <x v="0"/>
    <x v="1"/>
    <x v="5"/>
    <d v="2025-10-08T17:00:00"/>
    <s v="0006073221_4900"/>
    <s v="Loading"/>
    <n v="451338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9/10/2025 09:00-09:00"/>
    <m/>
    <n v="0"/>
    <m/>
    <s v="No"/>
    <s v="Shipped/Received"/>
    <s v="Direct"/>
    <m/>
    <m/>
    <m/>
    <s v="HAPSDCFR20251008-03"/>
    <m/>
    <m/>
    <s v="No"/>
    <n v="5019111789"/>
    <m/>
    <m/>
    <m/>
  </r>
  <r>
    <x v="0"/>
    <x v="0"/>
    <x v="1"/>
    <x v="5"/>
    <d v="2025-10-08T18:00:00"/>
    <s v="0006073216_4900"/>
    <s v="Loading"/>
    <n v="451331"/>
    <s v="Primary flows"/>
    <s v="LKW WALTER FOR SN 3PO"/>
    <m/>
    <m/>
    <s v="No"/>
    <s v="NL Haps DC (DSV)"/>
    <s v="CIE2 - ES Ciempozuelos SN"/>
    <n v="33"/>
    <n v="0"/>
    <n v="0"/>
    <n v="0"/>
    <s v="1  01"/>
    <x v="1"/>
    <m/>
    <s v="13/10/2025 09:00-09:00"/>
    <s v="RH051"/>
    <n v="0"/>
    <m/>
    <s v="No"/>
    <s v="Shipped/Received"/>
    <s v="Direct"/>
    <m/>
    <m/>
    <m/>
    <s v="HAPSDCES20251008-01"/>
    <m/>
    <m/>
    <s v="No"/>
    <n v="5019121394"/>
    <s v="MNC486"/>
    <s v="Yauhenii Shaveryn"/>
    <m/>
  </r>
  <r>
    <x v="0"/>
    <x v="0"/>
    <x v="1"/>
    <x v="5"/>
    <d v="2025-10-08T18:00:00"/>
    <s v="0006084559_4900"/>
    <s v="Loading"/>
    <n v="455298"/>
    <s v="Primary flows"/>
    <s v="GIRTEKA FOR SN 3PO"/>
    <m/>
    <m/>
    <s v="No"/>
    <s v="NL Haps DC (DSV)"/>
    <s v="FULD - DE Fulda Zufall"/>
    <n v="8"/>
    <n v="0"/>
    <n v="0"/>
    <n v="0"/>
    <s v="1  01"/>
    <x v="5"/>
    <m/>
    <s v="09/10/2025 13:00-13:00"/>
    <s v="PZ_3V206"/>
    <n v="0"/>
    <m/>
    <s v="No"/>
    <s v="Shipped/Received"/>
    <s v="Direct"/>
    <m/>
    <m/>
    <m/>
    <s v="SPHapsFUL-081025-01"/>
    <m/>
    <m/>
    <s v="No"/>
    <n v="5019096863"/>
    <s v="MTZ_110"/>
    <s v="Viacheslav Kecha"/>
    <m/>
  </r>
  <r>
    <x v="0"/>
    <x v="0"/>
    <x v="1"/>
    <x v="5"/>
    <d v="2025-10-08T18:00:00"/>
    <s v="0006073220_4900"/>
    <s v="Loading"/>
    <n v="451344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9/10/2025 07:30-07:30"/>
    <m/>
    <n v="0"/>
    <m/>
    <s v="No"/>
    <s v="Shipped/Received"/>
    <s v="Direct"/>
    <m/>
    <m/>
    <m/>
    <s v="HAPSDCFR20251008-02"/>
    <m/>
    <m/>
    <s v="No"/>
    <n v="5019116332"/>
    <m/>
    <m/>
    <m/>
  </r>
  <r>
    <x v="0"/>
    <x v="0"/>
    <x v="1"/>
    <x v="5"/>
    <d v="2025-10-08T18:00:00"/>
    <s v="0006073212_4900"/>
    <s v="Loading"/>
    <n v="451350"/>
    <s v="Primary flows"/>
    <s v="GIRTEKA FOR SN 3PO HVO"/>
    <m/>
    <m/>
    <s v="No"/>
    <s v="NL Haps DC (DSV)"/>
    <s v="PUCH - AT Puch"/>
    <n v="33"/>
    <n v="0"/>
    <n v="0"/>
    <n v="0"/>
    <s v="1  01"/>
    <x v="1"/>
    <m/>
    <s v="10/10/2025 07:00-07:00"/>
    <s v="WGM_89379"/>
    <n v="0"/>
    <m/>
    <s v="No"/>
    <s v="Shipped/Received"/>
    <s v="Direct"/>
    <m/>
    <m/>
    <m/>
    <s v="HAPSDCAT20251008-01"/>
    <m/>
    <m/>
    <s v="No"/>
    <n v="5019123288"/>
    <s v="NAP_067"/>
    <s v="Adnan Naveed"/>
    <m/>
  </r>
  <r>
    <x v="0"/>
    <x v="0"/>
    <x v="1"/>
    <x v="5"/>
    <d v="2025-10-08T19:00:00"/>
    <s v="0006084274_4900"/>
    <s v="Loading"/>
    <s v="456472 / 455019"/>
    <s v="Primary flows / Primary flows"/>
    <s v="DSV DK FOR SN 3PO"/>
    <m/>
    <m/>
    <s v="No"/>
    <s v="NL Haps DC (DSV)"/>
    <s v="GLOS - DK Glostrup / GLOS - DK Glostrup"/>
    <n v="66"/>
    <n v="0"/>
    <n v="0"/>
    <n v="0"/>
    <s v="1  01"/>
    <x v="1"/>
    <m/>
    <s v="10/10/2025 09:00-09:00"/>
    <m/>
    <n v="0"/>
    <m/>
    <s v="No"/>
    <s v="Shipped/Received"/>
    <s v="Direct"/>
    <s v=" / "/>
    <s v=" / "/>
    <m/>
    <s v="HAPSDCDK20251008-01 / HAPSDCDK20251008-01"/>
    <m/>
    <m/>
    <s v="No"/>
    <s v="5019081427 / 5019083737"/>
    <m/>
    <m/>
    <m/>
  </r>
  <r>
    <x v="0"/>
    <x v="0"/>
    <x v="1"/>
    <x v="5"/>
    <d v="2025-10-08T19:00:00"/>
    <s v="0006073228_4900"/>
    <s v="Loading"/>
    <s v="456475 / 451342"/>
    <s v="Primary flows / Primary flows"/>
    <s v="PIOMAR FOR SN 3PO"/>
    <m/>
    <m/>
    <s v="No"/>
    <s v="NL Haps DC (DSV)"/>
    <s v="GRAB - PL Grabica / GRAB - PL Grabica"/>
    <n v="66"/>
    <n v="0"/>
    <n v="0"/>
    <n v="0"/>
    <s v="1  01"/>
    <x v="1"/>
    <m/>
    <s v="10/10/2025 18:00-18:00"/>
    <s v="OP6409J"/>
    <n v="0"/>
    <m/>
    <s v="No"/>
    <s v="Shipped/Received"/>
    <s v="Direct"/>
    <s v=" / "/>
    <s v=" / "/>
    <m/>
    <s v="HAPSDCPL20251008-01 / HAPSDCPL20251008-01"/>
    <m/>
    <m/>
    <s v="No"/>
    <s v="5019118128 / 5019111741"/>
    <s v="OKR52V7"/>
    <s v="Bogdanik Krzysztof"/>
    <m/>
  </r>
  <r>
    <x v="0"/>
    <x v="0"/>
    <x v="1"/>
    <x v="5"/>
    <d v="2025-10-08T20:00:00"/>
    <s v="0006073229_4900"/>
    <s v="Loading"/>
    <s v="456470 / 456469 / 451341"/>
    <s v="Primary flows / Primary flows / Primary flows"/>
    <s v="MIERZWA FOR SN 3PO"/>
    <m/>
    <m/>
    <s v="No"/>
    <s v="NL Haps DC (DSV)"/>
    <s v="GRAB - PL Grabica / GRAB - PL Grabica / GRAB - PL Grabica"/>
    <n v="99"/>
    <n v="0"/>
    <n v="0"/>
    <n v="0"/>
    <s v="1  01"/>
    <x v="1"/>
    <m/>
    <s v="10/10/2025 16:00-16:00"/>
    <s v="KN316PC"/>
    <n v="0"/>
    <m/>
    <s v="No"/>
    <s v="Shipped/Received"/>
    <s v="Direct"/>
    <s v=" /  / "/>
    <s v=" /  / "/>
    <m/>
    <s v="HAPSDCPL20251008-02 / HAPSDCPL20251008-02 / HAPSDCPL20251008-02"/>
    <m/>
    <m/>
    <s v="No"/>
    <s v="5019114170 / 5019107830 / 5019093718"/>
    <s v="WPR0414U"/>
    <s v="?uba Damian "/>
    <m/>
  </r>
  <r>
    <x v="0"/>
    <x v="0"/>
    <x v="1"/>
    <x v="6"/>
    <d v="2025-10-09T06:00:00"/>
    <s v="362328_OOS"/>
    <s v="Loading"/>
    <s v="CN-SEA-6058461_OOS"/>
    <s v="Aval non piloté_EN"/>
    <s v="MAERSK - Control Tower"/>
    <m/>
    <m/>
    <s v="No"/>
    <s v="NL Haps DC (DSV)"/>
    <s v="OOS_OUT - Delivery OOS"/>
    <n v="20"/>
    <n v="0"/>
    <n v="0"/>
    <n v="0"/>
    <n v="5019066906"/>
    <x v="0"/>
    <m/>
    <s v="10/10/2025 00:03-00:03"/>
    <m/>
    <n v="0"/>
    <m/>
    <s v="No"/>
    <s v="Shipped/Received"/>
    <s v="Direct"/>
    <m/>
    <m/>
    <s v="3POeuropect@lns.maersk.com"/>
    <m/>
    <m/>
    <m/>
    <s v="No"/>
    <s v="&amp;nbsp"/>
    <m/>
    <m/>
    <n v="259555264"/>
  </r>
  <r>
    <x v="0"/>
    <x v="0"/>
    <x v="1"/>
    <x v="6"/>
    <d v="2025-10-09T06:00:00"/>
    <s v="0006089145_4900"/>
    <s v="Loading"/>
    <s v="457169 / 456763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6/10/2025 15:00-15:00"/>
    <m/>
    <n v="0"/>
    <m/>
    <s v="No"/>
    <s v="Shipped/Received"/>
    <s v="Direct"/>
    <s v=" / "/>
    <s v=" / "/>
    <m/>
    <s v="HAPSDCNO20251009-02 / HAPSDCNO20251009-02"/>
    <m/>
    <m/>
    <s v="No"/>
    <s v="5019124174 / 5019135530"/>
    <m/>
    <m/>
    <m/>
  </r>
  <r>
    <x v="0"/>
    <x v="0"/>
    <x v="1"/>
    <x v="6"/>
    <d v="2025-10-09T07:00:00"/>
    <s v="370874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133950"/>
    <x v="2"/>
    <m/>
    <s v="10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6"/>
    <d v="2025-10-09T07:00:00"/>
    <s v="0006073218_4900"/>
    <s v="Loading"/>
    <s v="456487 / 451334 / 456471"/>
    <s v="Primary flows / Primary flows / Primary flows"/>
    <s v="P AND O FOR SN 3PO"/>
    <m/>
    <m/>
    <s v="No"/>
    <s v="NL Haps DC (DSV)"/>
    <s v="TAMP - FI Tampere / TAMP - FI Tampere / VANT - FI Vantaa (Havi Log)"/>
    <n v="99"/>
    <n v="0"/>
    <n v="0"/>
    <n v="0"/>
    <s v="1  01"/>
    <x v="3"/>
    <m/>
    <s v="15/10/2025 16:00-16:00 / 15/10/2025 11:00-11:00"/>
    <m/>
    <n v="0"/>
    <m/>
    <s v="No"/>
    <s v="Shipped/Received"/>
    <s v="Direct"/>
    <s v=" /  / "/>
    <s v=" /  / "/>
    <m/>
    <s v="HAPSDCFI20251008-01 / HAPSDCFI20251008-01 / HAPSDCFI20251008-01"/>
    <m/>
    <m/>
    <s v="No"/>
    <s v="5019123151 / 5019125125 / 5018433126"/>
    <m/>
    <m/>
    <m/>
  </r>
  <r>
    <x v="0"/>
    <x v="0"/>
    <x v="1"/>
    <x v="6"/>
    <d v="2025-10-09T07:00:00"/>
    <s v="0006089408_4900"/>
    <s v="Loading"/>
    <n v="456912"/>
    <s v="Primary flows"/>
    <s v="SAMSKIP FOR SN 3PO"/>
    <m/>
    <m/>
    <s v="No"/>
    <s v="NL Haps DC (DSV)"/>
    <s v="REDD - GB Redditch"/>
    <n v="33"/>
    <n v="0"/>
    <n v="0"/>
    <n v="0"/>
    <s v="1  01"/>
    <x v="1"/>
    <m/>
    <s v="15/10/2025 18:00-18:00"/>
    <m/>
    <n v="0"/>
    <m/>
    <s v="No"/>
    <s v="Shipped/Received"/>
    <s v="Direct"/>
    <m/>
    <m/>
    <m/>
    <s v="HAPSDCUK20251009-05"/>
    <m/>
    <m/>
    <s v="No"/>
    <n v="5019051756"/>
    <m/>
    <m/>
    <m/>
  </r>
  <r>
    <x v="0"/>
    <x v="0"/>
    <x v="1"/>
    <x v="6"/>
    <d v="2025-10-09T07:00:00"/>
    <s v="0006073243_4900"/>
    <s v="Loading"/>
    <s v="457157 / 451377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6/10/2025 15:00-15:00"/>
    <m/>
    <n v="0"/>
    <m/>
    <s v="No"/>
    <s v="Shipped/Received"/>
    <s v="Direct"/>
    <s v=" / "/>
    <s v=" / "/>
    <m/>
    <s v="HAPSDCNO20251009-01 / HAPSDCNO20251009-01"/>
    <m/>
    <m/>
    <s v="No"/>
    <s v="5019121371 / 5019121372"/>
    <m/>
    <m/>
    <m/>
  </r>
  <r>
    <x v="0"/>
    <x v="0"/>
    <x v="1"/>
    <x v="6"/>
    <d v="2025-10-09T08:00:00"/>
    <s v="368987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84636 LZV"/>
    <x v="1"/>
    <m/>
    <s v="1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6"/>
    <d v="2025-10-09T08:00:00"/>
    <s v="362866_OOS"/>
    <s v="Loading"/>
    <s v="AU-SEA-6061110_OOS"/>
    <s v="Aval non piloté_EN"/>
    <s v="MAERSK - Control Tower"/>
    <m/>
    <m/>
    <s v="No"/>
    <s v="NL Haps DC (DSV)"/>
    <s v="OOS_OUT - Delivery OOS"/>
    <n v="20"/>
    <n v="0"/>
    <n v="0"/>
    <n v="0"/>
    <n v="5019080566"/>
    <x v="0"/>
    <m/>
    <s v="10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610766"/>
  </r>
  <r>
    <x v="0"/>
    <x v="0"/>
    <x v="1"/>
    <x v="6"/>
    <d v="2025-10-09T09:00:00"/>
    <s v="0006073241_4900"/>
    <s v="Loading"/>
    <s v="457236 / 457235"/>
    <s v="Primary flows / Primary flows"/>
    <s v="SAMSKIP FOR SN 3PO"/>
    <m/>
    <m/>
    <s v="No"/>
    <s v="NL Haps DC (DSV)"/>
    <s v="BELF - IE Belfast (Moviento) / BELF - IE Belfast (Moviento)"/>
    <n v="66"/>
    <n v="0"/>
    <n v="0"/>
    <n v="0"/>
    <s v="1  01"/>
    <x v="1"/>
    <m/>
    <s v="16/10/2025 16:00-16:00"/>
    <m/>
    <n v="0"/>
    <m/>
    <s v="No"/>
    <s v="Shipped/Received"/>
    <s v="Direct"/>
    <s v=" / "/>
    <s v=" / "/>
    <m/>
    <s v="HAPSDCIE20251009-01 / HAPSDCIE20251009-01"/>
    <m/>
    <m/>
    <s v="No"/>
    <s v="5019140920 / 5019126429"/>
    <m/>
    <m/>
    <m/>
  </r>
  <r>
    <x v="0"/>
    <x v="0"/>
    <x v="1"/>
    <x v="6"/>
    <d v="2025-10-09T09:00:00"/>
    <s v="0006078819_4900"/>
    <s v="Loading"/>
    <n v="453320"/>
    <s v="Primary flows"/>
    <s v="ECS FOR SN 3PO"/>
    <m/>
    <m/>
    <s v="No"/>
    <s v="NL Haps DC (DSV)"/>
    <s v="OUDA - FR Le Havre (Oudalle)"/>
    <n v="33"/>
    <n v="0"/>
    <n v="0"/>
    <n v="0"/>
    <s v="1  01"/>
    <x v="0"/>
    <m/>
    <s v="10/10/2025 09:30-09:30"/>
    <m/>
    <n v="0"/>
    <m/>
    <s v="No"/>
    <s v="Shipped/Received"/>
    <s v="Direct"/>
    <m/>
    <m/>
    <m/>
    <s v="HAPSDCFR20251003-01"/>
    <m/>
    <m/>
    <s v="No"/>
    <n v="5019116478"/>
    <m/>
    <m/>
    <m/>
  </r>
  <r>
    <x v="0"/>
    <x v="0"/>
    <x v="1"/>
    <x v="6"/>
    <d v="2025-10-09T09:00:00"/>
    <s v="362867_OOS"/>
    <s v="Loading"/>
    <s v="AU-SEA-6061181_OOS"/>
    <s v="Aval non piloté_EN"/>
    <s v="MAERSK - Control Tower"/>
    <m/>
    <m/>
    <s v="No"/>
    <s v="NL Haps DC (DSV)"/>
    <s v="OOS_OUT - Delivery OOS"/>
    <n v="20"/>
    <n v="0"/>
    <n v="0"/>
    <n v="0"/>
    <s v="5019079808 5019080567 "/>
    <x v="0"/>
    <m/>
    <s v="10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610766"/>
  </r>
  <r>
    <x v="0"/>
    <x v="0"/>
    <x v="1"/>
    <x v="6"/>
    <d v="2025-10-09T10:00:00"/>
    <s v="369307_OOS"/>
    <s v="Loading"/>
    <s v="Scrap ZTM PIM - ROAD_OOS"/>
    <s v="Aval non piloté_EN"/>
    <s v="Koopman Cargo B.V."/>
    <m/>
    <m/>
    <s v="No"/>
    <s v="NL Haps DC (DSV)"/>
    <s v="OOS_OUT - Delivery OOS"/>
    <n v="32"/>
    <n v="0"/>
    <n v="0"/>
    <n v="0"/>
    <n v="90021286"/>
    <x v="0"/>
    <m/>
    <s v="10/10/2025 12:00-12:00"/>
    <m/>
    <n v="0"/>
    <m/>
    <s v="No"/>
    <s v="Shipped/Received"/>
    <s v="Direct"/>
    <m/>
    <m/>
    <s v="s.eek@koopman.nl"/>
    <m/>
    <m/>
    <m/>
    <s v="No"/>
    <s v="&amp;nbsp"/>
    <m/>
    <m/>
    <m/>
  </r>
  <r>
    <x v="0"/>
    <x v="0"/>
    <x v="1"/>
    <x v="6"/>
    <d v="2025-10-09T10:00:00"/>
    <s v="362863_OOS"/>
    <s v="Loading"/>
    <s v="AU-SEA-6061109_OOS"/>
    <s v="Aval non piloté_EN"/>
    <s v="MAERSK - Control Tower"/>
    <m/>
    <m/>
    <s v="No"/>
    <s v="NL Haps DC (DSV)"/>
    <s v="OOS_OUT - Delivery OOS"/>
    <n v="20"/>
    <n v="0"/>
    <n v="0"/>
    <n v="0"/>
    <s v="5019056674 5019064571 "/>
    <x v="0"/>
    <m/>
    <s v="10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168459"/>
  </r>
  <r>
    <x v="0"/>
    <x v="0"/>
    <x v="1"/>
    <x v="6"/>
    <d v="2025-10-09T10:00:00"/>
    <s v="0006082537_4900"/>
    <s v="Loading"/>
    <n v="454248"/>
    <s v="Primary flows"/>
    <s v="SAMSKIP FOR SN 3PO"/>
    <m/>
    <m/>
    <s v="No"/>
    <s v="NL Haps DC (DSV)"/>
    <s v="REDD - GB Redditch"/>
    <n v="33"/>
    <n v="0"/>
    <n v="0"/>
    <n v="0"/>
    <s v="1  01"/>
    <x v="1"/>
    <m/>
    <s v="15/10/2025 18:00-18:00"/>
    <m/>
    <n v="0"/>
    <m/>
    <s v="No"/>
    <s v="Shipped/Received"/>
    <s v="Direct"/>
    <m/>
    <m/>
    <m/>
    <s v="HAPSDCUK20251009-02"/>
    <m/>
    <m/>
    <s v="No"/>
    <n v="5019116351"/>
    <m/>
    <m/>
    <m/>
  </r>
  <r>
    <x v="0"/>
    <x v="0"/>
    <x v="1"/>
    <x v="6"/>
    <d v="2025-10-09T10:00:00"/>
    <s v="368230_OOS"/>
    <s v="Loading"/>
    <s v="NWW-ROAD_OOS"/>
    <s v="Aval non piloté_EN"/>
    <s v="Kuehne   Nagel Logistics B.V."/>
    <m/>
    <m/>
    <s v="No"/>
    <s v="NL Haps DC (DSV)"/>
    <s v="OOS_OUT - Delivery OOS"/>
    <n v="33"/>
    <n v="0"/>
    <n v="0"/>
    <n v="0"/>
    <n v="5019075771"/>
    <x v="0"/>
    <m/>
    <s v="10/10/2025 12:00-12:00"/>
    <m/>
    <n v="0"/>
    <m/>
    <s v="No"/>
    <s v="Shipped/Received"/>
    <s v="Direct"/>
    <m/>
    <m/>
    <s v="knmoe.forwarding@kuehne-nagel.com"/>
    <m/>
    <m/>
    <m/>
    <s v="No"/>
    <s v="&amp;nbsp"/>
    <m/>
    <m/>
    <m/>
  </r>
  <r>
    <x v="0"/>
    <x v="0"/>
    <x v="1"/>
    <x v="6"/>
    <d v="2025-10-09T11:00:00"/>
    <s v="368763_OOS"/>
    <s v="Loading"/>
    <s v="DJ-SEA_OOS"/>
    <s v="Aval non piloté_EN"/>
    <s v="Global FF"/>
    <m/>
    <m/>
    <s v="No"/>
    <s v="NL Haps DC (DSV)"/>
    <s v="OOS_OUT - Delivery OOS"/>
    <n v="24"/>
    <n v="0"/>
    <n v="0"/>
    <n v="0"/>
    <n v="5019062487"/>
    <x v="0"/>
    <m/>
    <s v="10/10/2025 12:00-12:00"/>
    <m/>
    <n v="0"/>
    <m/>
    <s v="No"/>
    <s v="Shipped/Received"/>
    <s v="Direct"/>
    <m/>
    <m/>
    <s v="Misba@globalff.co.uk"/>
    <m/>
    <m/>
    <m/>
    <s v="No"/>
    <s v="&amp;nbsp"/>
    <m/>
    <m/>
    <m/>
  </r>
  <r>
    <x v="0"/>
    <x v="0"/>
    <x v="1"/>
    <x v="6"/>
    <d v="2025-10-09T11:00:00"/>
    <s v="367525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14010"/>
    <x v="0"/>
    <m/>
    <s v="1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6"/>
    <d v="2025-10-09T11:00:00"/>
    <s v="370331_OOS"/>
    <s v="Loading"/>
    <s v="DO - SEA_OOS"/>
    <s v="Aval non piloté_EN"/>
    <s v="GEODIS"/>
    <m/>
    <m/>
    <s v="No"/>
    <s v="NL Haps DC (DSV)"/>
    <s v="OOS_OUT - Delivery OOS"/>
    <n v="2"/>
    <n v="0"/>
    <n v="0"/>
    <n v="0"/>
    <s v="DN 5019091322"/>
    <x v="2"/>
    <m/>
    <s v="10/10/2025 09:00-09:00"/>
    <m/>
    <n v="0"/>
    <m/>
    <s v="No"/>
    <s v="Shipped/Received"/>
    <s v="Direct"/>
    <m/>
    <m/>
    <s v="nutricia-booking.ff.nl@geodis.com"/>
    <m/>
    <m/>
    <m/>
    <s v="No"/>
    <s v="&amp;nbsp"/>
    <m/>
    <s v="DOM REP"/>
    <s v="SRTMS"/>
  </r>
  <r>
    <x v="0"/>
    <x v="0"/>
    <x v="1"/>
    <x v="6"/>
    <d v="2025-10-09T11:00:00"/>
    <s v="0006082539_4900"/>
    <s v="Loading"/>
    <n v="454255"/>
    <s v="Primary flows"/>
    <s v="SAMSKIP FOR SN 3PO"/>
    <m/>
    <m/>
    <s v="No"/>
    <s v="NL Haps DC (DSV)"/>
    <s v="REDD - GB Redditch"/>
    <n v="33"/>
    <n v="0"/>
    <n v="0"/>
    <n v="0"/>
    <s v="1  01"/>
    <x v="1"/>
    <m/>
    <s v="15/10/2025 18:00-18:00"/>
    <m/>
    <n v="0"/>
    <m/>
    <s v="No"/>
    <s v="Shipped/Received"/>
    <s v="Direct"/>
    <m/>
    <m/>
    <m/>
    <s v="HAPSDCUK20251009-04"/>
    <m/>
    <m/>
    <s v="No"/>
    <n v="5019115507"/>
    <m/>
    <m/>
    <m/>
  </r>
  <r>
    <x v="0"/>
    <x v="0"/>
    <x v="1"/>
    <x v="6"/>
    <d v="2025-10-09T12:00:00"/>
    <s v="0006082538_4900"/>
    <s v="Loading"/>
    <n v="456803"/>
    <s v="Primary flows"/>
    <s v="SAMSKIP FOR SN 3PO"/>
    <m/>
    <m/>
    <s v="No"/>
    <s v="NL Haps DC (DSV)"/>
    <s v="REDD - GB Redditch"/>
    <n v="33"/>
    <n v="0"/>
    <n v="0"/>
    <n v="0"/>
    <s v="1  01"/>
    <x v="1"/>
    <m/>
    <s v="15/10/2025 18:00-18:00"/>
    <m/>
    <n v="0"/>
    <m/>
    <s v="No"/>
    <s v="Shipped/Received"/>
    <s v="Direct"/>
    <m/>
    <m/>
    <m/>
    <s v="HAPSDCUK20251009-03"/>
    <m/>
    <m/>
    <s v="No"/>
    <n v="5019111838"/>
    <m/>
    <m/>
    <m/>
  </r>
  <r>
    <x v="0"/>
    <x v="0"/>
    <x v="1"/>
    <x v="6"/>
    <d v="2025-10-09T12:00:00"/>
    <s v="366452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120750"/>
    <x v="0"/>
    <m/>
    <s v="10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1"/>
    <x v="6"/>
    <d v="2025-10-09T12:00:00"/>
    <s v="0006073240_4900"/>
    <s v="Loading"/>
    <n v="451373"/>
    <s v="Primary flows"/>
    <s v="ECS FOR SN 3PO"/>
    <m/>
    <m/>
    <s v="No"/>
    <s v="NL Haps DC (DSV)"/>
    <s v="MOUS - FR Moussy-Le-Neuf"/>
    <n v="33"/>
    <n v="0"/>
    <n v="0"/>
    <n v="0"/>
    <s v="1  01"/>
    <x v="1"/>
    <m/>
    <s v="10/10/2025 08:30-08:30"/>
    <m/>
    <n v="0"/>
    <m/>
    <s v="No"/>
    <s v="Shipped/Received"/>
    <s v="Direct"/>
    <m/>
    <m/>
    <m/>
    <s v="HAPSDCFR20251009-03"/>
    <m/>
    <m/>
    <s v="No"/>
    <n v="5019135044"/>
    <m/>
    <m/>
    <m/>
  </r>
  <r>
    <x v="0"/>
    <x v="0"/>
    <x v="1"/>
    <x v="6"/>
    <d v="2025-10-09T12:00:00"/>
    <s v="367529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890677 5018913694 5018949224 "/>
    <x v="0"/>
    <m/>
    <s v="1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6"/>
    <d v="2025-10-09T13:00:00"/>
    <s v="369839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13009"/>
    <x v="0"/>
    <m/>
    <s v="1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6"/>
    <d v="2025-10-09T13:00:00"/>
    <s v="0006073247_4900"/>
    <s v="Loading"/>
    <n v="451368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16/10/2025 16:00-16:00"/>
    <m/>
    <n v="0"/>
    <m/>
    <s v="No"/>
    <s v="Shipped/Received"/>
    <s v="Direct"/>
    <m/>
    <m/>
    <m/>
    <s v="HAPSDCSE20251009-01"/>
    <m/>
    <m/>
    <s v="No"/>
    <n v="5019134369"/>
    <m/>
    <m/>
    <m/>
  </r>
  <r>
    <x v="0"/>
    <x v="0"/>
    <x v="1"/>
    <x v="6"/>
    <d v="2025-10-09T13:00:00"/>
    <s v="0006082536_4900"/>
    <s v="Loading"/>
    <n v="454247"/>
    <s v="Primary flows"/>
    <s v="LKW WALTER FOR SN 3PO"/>
    <m/>
    <m/>
    <s v="No"/>
    <s v="NL Haps DC (DSV)"/>
    <s v="REDD - GB Redditch"/>
    <n v="33"/>
    <n v="0"/>
    <n v="0"/>
    <n v="0"/>
    <s v="1  01"/>
    <x v="1"/>
    <m/>
    <s v="13/10/2025 16:00-16:00"/>
    <m/>
    <n v="0"/>
    <m/>
    <s v="No"/>
    <s v="Shipped/Received"/>
    <s v="Direct"/>
    <m/>
    <m/>
    <m/>
    <s v="HAPSDCUK20251009-01"/>
    <m/>
    <m/>
    <s v="No"/>
    <n v="5019116350"/>
    <m/>
    <m/>
    <m/>
  </r>
  <r>
    <x v="0"/>
    <x v="0"/>
    <x v="1"/>
    <x v="6"/>
    <d v="2025-10-09T14:00:00"/>
    <s v="0006089406_4900"/>
    <s v="Loading"/>
    <n v="456913"/>
    <s v="Primary flows"/>
    <s v="NABUURS FOR SN 3PO"/>
    <m/>
    <m/>
    <s v="No"/>
    <s v="NL Haps DC (DSV)"/>
    <s v="OOST - NL Oosterhout (Nabuurs)"/>
    <n v="33"/>
    <n v="0"/>
    <n v="0"/>
    <n v="0"/>
    <s v="1  01"/>
    <x v="1"/>
    <m/>
    <s v="09/10/2025 21:00-21:00"/>
    <m/>
    <n v="0"/>
    <m/>
    <s v="No"/>
    <s v="Shipped/Received"/>
    <s v="Direct"/>
    <m/>
    <m/>
    <m/>
    <s v="HAPSDCNL20251009-01"/>
    <m/>
    <m/>
    <s v="No"/>
    <n v="5019046370"/>
    <m/>
    <m/>
    <m/>
  </r>
  <r>
    <x v="0"/>
    <x v="0"/>
    <x v="1"/>
    <x v="6"/>
    <d v="2025-10-09T14:00:00"/>
    <s v="0006073238_4900"/>
    <s v="Loading"/>
    <s v="457150 / 451383"/>
    <s v="Primary flows / Primary flows"/>
    <s v="ECS FOR SN 3PO"/>
    <m/>
    <m/>
    <s v="No"/>
    <s v="NL Haps DC (DSV)"/>
    <s v="MOUS - FR Moussy-Le-Neuf / MOUS - FR Moussy-Le-Neuf"/>
    <n v="66"/>
    <n v="0"/>
    <n v="0"/>
    <n v="0"/>
    <s v="1  01"/>
    <x v="1"/>
    <m/>
    <s v="10/10/2025 10:30-10:30"/>
    <m/>
    <n v="0"/>
    <m/>
    <s v="No"/>
    <s v="Shipped/Received"/>
    <s v="Direct"/>
    <s v=" / "/>
    <s v=" / "/>
    <m/>
    <s v="HAPSDCFR20251009-01 / HAPSDCFR20251009-01"/>
    <m/>
    <m/>
    <s v="No"/>
    <s v="5019133621 / 5019126857"/>
    <m/>
    <m/>
    <m/>
  </r>
  <r>
    <x v="0"/>
    <x v="0"/>
    <x v="1"/>
    <x v="6"/>
    <d v="2025-10-09T14:00:00"/>
    <s v="370145_OOS"/>
    <s v="Loading"/>
    <s v="AIR - UY_OOS"/>
    <s v="Aval non piloté_EN"/>
    <s v="Geodis"/>
    <m/>
    <m/>
    <s v="No"/>
    <s v="NL Haps DC (DSV)"/>
    <s v="OOS_OUT - Delivery OOS"/>
    <n v="1"/>
    <n v="0"/>
    <n v="0"/>
    <n v="0"/>
    <n v="5019078654"/>
    <x v="0"/>
    <m/>
    <s v="10/10/2025 12:00-12:00"/>
    <m/>
    <n v="0"/>
    <m/>
    <s v="No"/>
    <s v="Shipped/Received"/>
    <s v="Direct"/>
    <m/>
    <m/>
    <s v="tom.bloos@geodis.com"/>
    <m/>
    <m/>
    <m/>
    <s v="No"/>
    <s v="&amp;nbsp"/>
    <m/>
    <m/>
    <m/>
  </r>
  <r>
    <x v="0"/>
    <x v="0"/>
    <x v="1"/>
    <x v="6"/>
    <d v="2025-10-09T14:00:00"/>
    <s v="370431_OOS"/>
    <s v="Loading"/>
    <s v="RWM006630963_OOS"/>
    <s v="Aval non piloté_EN"/>
    <s v="Kuehne Nagel"/>
    <m/>
    <m/>
    <s v="No"/>
    <s v="NL Haps DC (DSV)"/>
    <s v="OOS_OUT - Delivery OOS"/>
    <n v="1"/>
    <n v="0"/>
    <n v="0"/>
    <n v="0"/>
    <n v="5019101270"/>
    <x v="2"/>
    <m/>
    <s v="10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6"/>
    <d v="2025-10-09T15:00:00"/>
    <s v="370710_OOS"/>
    <s v="Loading"/>
    <s v="MEA-AIR_OOS"/>
    <s v="Aval non piloté_EN"/>
    <s v="KERRY LOGISTICS"/>
    <m/>
    <m/>
    <s v="No"/>
    <s v="NL Haps DC (DSV)"/>
    <s v="OOS_OUT - Delivery OOS"/>
    <n v="2"/>
    <n v="0"/>
    <n v="0"/>
    <n v="0"/>
    <s v="ELN 5019112137"/>
    <x v="2"/>
    <m/>
    <s v="1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6"/>
    <d v="2025-10-09T15:00:00"/>
    <s v="0006073242_4900"/>
    <s v="Loading"/>
    <n v="451380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9/10/2025 16:00-16:00"/>
    <m/>
    <n v="0"/>
    <m/>
    <s v="No"/>
    <s v="Shipped/Received"/>
    <s v="Direct"/>
    <m/>
    <m/>
    <m/>
    <s v="HAPSDCIT20251009-01"/>
    <m/>
    <m/>
    <s v="No"/>
    <n v="5019111836"/>
    <m/>
    <m/>
    <m/>
  </r>
  <r>
    <x v="0"/>
    <x v="0"/>
    <x v="1"/>
    <x v="6"/>
    <d v="2025-10-09T15:00:00"/>
    <s v="0006089407_4900"/>
    <s v="Loading"/>
    <n v="456916"/>
    <s v="Primary flows"/>
    <s v="NABUURS FOR SN 3PO"/>
    <m/>
    <m/>
    <s v="No"/>
    <s v="NL Haps DC (DSV)"/>
    <s v="OOST - NL Oosterhout (Nabuurs)"/>
    <n v="33"/>
    <n v="0"/>
    <n v="0"/>
    <n v="0"/>
    <s v="1  01"/>
    <x v="1"/>
    <m/>
    <s v="09/10/2025 21:00-21:00"/>
    <m/>
    <n v="0"/>
    <m/>
    <s v="No"/>
    <s v="Shipped/Received"/>
    <s v="Direct"/>
    <m/>
    <m/>
    <m/>
    <s v="HAPSDCNL20251009-02"/>
    <m/>
    <m/>
    <s v="No"/>
    <n v="5019110649"/>
    <m/>
    <m/>
    <m/>
  </r>
  <r>
    <x v="0"/>
    <x v="0"/>
    <x v="1"/>
    <x v="6"/>
    <d v="2025-10-09T15:00:00"/>
    <s v="368252_OOS"/>
    <s v="Loading"/>
    <s v="NWW-ROAD_OOS"/>
    <s v="Aval non piloté_EN"/>
    <s v="Kuehne   Nagel Logistics B.V."/>
    <m/>
    <m/>
    <s v="No"/>
    <s v="NL Haps DC (DSV)"/>
    <s v="OOS_OUT - Delivery OOS"/>
    <n v="17"/>
    <n v="0"/>
    <n v="0"/>
    <n v="0"/>
    <n v="5019018144"/>
    <x v="0"/>
    <m/>
    <s v="10/10/2025 12:00-12:00"/>
    <m/>
    <n v="0"/>
    <m/>
    <s v="No"/>
    <s v="Shipped/Received"/>
    <s v="Direct"/>
    <m/>
    <m/>
    <s v="knmoe.forwarding@kuehne-nagel.com"/>
    <m/>
    <m/>
    <m/>
    <s v="No"/>
    <s v="&amp;nbsp"/>
    <m/>
    <m/>
    <m/>
  </r>
  <r>
    <x v="0"/>
    <x v="0"/>
    <x v="1"/>
    <x v="6"/>
    <d v="2025-10-09T16:00:00"/>
    <s v="0006073232_4900"/>
    <s v="Loading"/>
    <n v="451376"/>
    <s v="Primary flows"/>
    <s v="LKW WALTER FOR SN 3PO"/>
    <m/>
    <m/>
    <s v="No"/>
    <s v="NL Haps DC (DSV)"/>
    <s v="ALZE - DE Alzenau"/>
    <n v="33"/>
    <n v="0"/>
    <n v="0"/>
    <n v="0"/>
    <s v="1  01"/>
    <x v="1"/>
    <m/>
    <s v="10/10/2025 09:00-09:00"/>
    <m/>
    <n v="0"/>
    <m/>
    <s v="No"/>
    <s v="Shipped/Received"/>
    <s v="Direct"/>
    <m/>
    <m/>
    <m/>
    <s v="HAPSDCDE20251009-01"/>
    <m/>
    <m/>
    <s v="No"/>
    <n v="5019131935"/>
    <m/>
    <m/>
    <m/>
  </r>
  <r>
    <x v="0"/>
    <x v="0"/>
    <x v="1"/>
    <x v="6"/>
    <d v="2025-10-09T16:00:00"/>
    <s v="0006073235_4900"/>
    <s v="Loading"/>
    <n v="451385"/>
    <s v="Primary flows"/>
    <s v="LKW WALTER FOR SN 3PO"/>
    <m/>
    <m/>
    <s v="No"/>
    <s v="NL Haps DC (DSV)"/>
    <s v="ALZE - DE Alzenau"/>
    <n v="33"/>
    <n v="0"/>
    <n v="0"/>
    <n v="0"/>
    <s v="1  01"/>
    <x v="1"/>
    <m/>
    <s v="10/10/2025 10:00-10:00"/>
    <m/>
    <n v="0"/>
    <m/>
    <s v="No"/>
    <s v="Shipped/Received"/>
    <s v="Direct"/>
    <m/>
    <m/>
    <m/>
    <s v="HAPSDCDE20251009-04"/>
    <m/>
    <m/>
    <s v="No"/>
    <n v="5019136009"/>
    <m/>
    <m/>
    <m/>
  </r>
  <r>
    <x v="0"/>
    <x v="0"/>
    <x v="1"/>
    <x v="6"/>
    <d v="2025-10-09T16:00:00"/>
    <s v="369490_OOS"/>
    <s v="Loading"/>
    <s v="NWW-SEA_OOS"/>
    <s v="Aval non piloté_EN"/>
    <s v="Five Star Global Logistics BV"/>
    <m/>
    <m/>
    <s v="No"/>
    <s v="NL Haps DC (DSV)"/>
    <s v="OOS_OUT - Delivery OOS"/>
    <n v="13"/>
    <n v="0"/>
    <n v="0"/>
    <n v="0"/>
    <s v="5019051527   5018790461   5019069704   5019055798"/>
    <x v="0"/>
    <m/>
    <s v="10/10/2025 12:00-12:00"/>
    <m/>
    <n v="0"/>
    <m/>
    <s v="No"/>
    <s v="Shipped/Received"/>
    <s v="Direct"/>
    <m/>
    <m/>
    <s v="sari.goossens@5star-global.com"/>
    <m/>
    <m/>
    <m/>
    <s v="No"/>
    <s v="&amp;nbsp"/>
    <m/>
    <m/>
    <m/>
  </r>
  <r>
    <x v="0"/>
    <x v="0"/>
    <x v="1"/>
    <x v="6"/>
    <d v="2025-10-09T16:00:00"/>
    <s v="0006089733_4900"/>
    <s v="Loading"/>
    <n v="457064"/>
    <s v="Primary flows"/>
    <s v="GIRTEKA FOR SN 3PO"/>
    <m/>
    <m/>
    <s v="No"/>
    <s v="NL Haps DC (DSV)"/>
    <s v="ALZE - DE Alzenau"/>
    <n v="33"/>
    <n v="0"/>
    <n v="0"/>
    <n v="0"/>
    <s v="1  01"/>
    <x v="1"/>
    <m/>
    <s v="10/10/2025 13:00-13:00"/>
    <m/>
    <n v="0"/>
    <m/>
    <s v="No"/>
    <s v="Shipped/Received"/>
    <s v="Direct"/>
    <m/>
    <m/>
    <m/>
    <s v="HAPSDCDE20251009-05"/>
    <m/>
    <m/>
    <s v="No"/>
    <n v="5019067637"/>
    <m/>
    <m/>
    <m/>
  </r>
  <r>
    <x v="0"/>
    <x v="0"/>
    <x v="1"/>
    <x v="6"/>
    <d v="2025-10-09T17:00:00"/>
    <s v="0006073233_4900"/>
    <s v="Loading"/>
    <n v="451367"/>
    <s v="Primary flows"/>
    <s v="LKW WALTER FOR SN 3PO"/>
    <m/>
    <m/>
    <s v="No"/>
    <s v="NL Haps DC (DSV)"/>
    <s v="ALZE - DE Alzenau"/>
    <n v="33"/>
    <n v="0"/>
    <n v="0"/>
    <n v="0"/>
    <s v="1  01"/>
    <x v="1"/>
    <m/>
    <s v="10/10/2025 11:00-11:00"/>
    <m/>
    <n v="0"/>
    <m/>
    <s v="No"/>
    <s v="Shipped/Received"/>
    <s v="Direct"/>
    <m/>
    <m/>
    <m/>
    <s v="HAPSDCDE20251009-02"/>
    <m/>
    <m/>
    <s v="No"/>
    <n v="5019135248"/>
    <m/>
    <m/>
    <m/>
  </r>
  <r>
    <x v="0"/>
    <x v="0"/>
    <x v="1"/>
    <x v="6"/>
    <d v="2025-10-09T17:00:00"/>
    <s v="0006073246_4900"/>
    <s v="Loading"/>
    <s v="457173 / 457172 / 457171 / 451374"/>
    <s v="Primary flows / Primary flows / Primary flows / Primary flows"/>
    <s v="GIRTEKA FOR SN 3PO"/>
    <m/>
    <m/>
    <s v="No"/>
    <s v="NL Haps DC (DSV)"/>
    <s v="AZA2 - PT Azambuja Ambient / AZA2 - PT Azambuja Ambient / AZA2 - PT Azambuja Ambient / AZA2 - PT Azambuja Ambient"/>
    <n v="132"/>
    <n v="0"/>
    <n v="0"/>
    <n v="0"/>
    <s v="1  01"/>
    <x v="1"/>
    <m/>
    <s v="13/10/2025 14:00-14:00"/>
    <m/>
    <n v="0"/>
    <m/>
    <s v="No"/>
    <s v="Shipped/Received"/>
    <s v="Direct"/>
    <s v=" /  /  / "/>
    <s v=" /  /  / "/>
    <m/>
    <s v="HAPSDCPT20251009-01 / HAPSDCPT20251009-01 / HAPSDCPT20251009-01 / HAPSDCPT20251009-01"/>
    <m/>
    <m/>
    <s v="No"/>
    <s v="5019125199 / 5019133494 / 5019134985 / 5019136202"/>
    <m/>
    <m/>
    <m/>
  </r>
  <r>
    <x v="0"/>
    <x v="0"/>
    <x v="1"/>
    <x v="6"/>
    <d v="2025-10-09T17:00:00"/>
    <s v="0006073239_4900"/>
    <s v="Loading"/>
    <n v="451365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0/10/2025 07:30-07:30"/>
    <m/>
    <n v="0"/>
    <m/>
    <s v="No"/>
    <s v="Shipped/Received"/>
    <s v="Direct"/>
    <m/>
    <m/>
    <m/>
    <s v="HAPSDCFR20251009-02"/>
    <m/>
    <m/>
    <s v="No"/>
    <n v="5019124547"/>
    <m/>
    <m/>
    <m/>
  </r>
  <r>
    <x v="0"/>
    <x v="0"/>
    <x v="1"/>
    <x v="6"/>
    <d v="2025-10-09T18:00:00"/>
    <s v="0006091373_4900"/>
    <s v="Loading"/>
    <n v="457489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6/10/2025 15:00-15:00"/>
    <m/>
    <n v="0"/>
    <m/>
    <s v="No"/>
    <s v="Shipped/Received"/>
    <s v="Direct"/>
    <m/>
    <m/>
    <m/>
    <s v="HAPSDCIT20251009-03"/>
    <m/>
    <m/>
    <s v="No"/>
    <n v="5019124634"/>
    <m/>
    <m/>
    <m/>
  </r>
  <r>
    <x v="0"/>
    <x v="0"/>
    <x v="1"/>
    <x v="6"/>
    <d v="2025-10-09T18:00:00"/>
    <s v="0006073234_4900"/>
    <s v="Loading"/>
    <n v="451375"/>
    <s v="Primary flows"/>
    <s v="GIRTEKA FOR SN 3PO"/>
    <m/>
    <m/>
    <s v="No"/>
    <s v="NL Haps DC (DSV)"/>
    <s v="ALZE - DE Alzenau"/>
    <n v="33"/>
    <n v="0"/>
    <n v="0"/>
    <n v="0"/>
    <s v="1  01"/>
    <x v="1"/>
    <m/>
    <s v="10/10/2025 08:00-08:00"/>
    <m/>
    <n v="0"/>
    <m/>
    <s v="No"/>
    <s v="Shipped/Received"/>
    <s v="Direct"/>
    <m/>
    <m/>
    <m/>
    <s v="HAPSDCDE20251009-03"/>
    <m/>
    <m/>
    <s v="No"/>
    <n v="5019136008"/>
    <m/>
    <m/>
    <m/>
  </r>
  <r>
    <x v="0"/>
    <x v="0"/>
    <x v="1"/>
    <x v="6"/>
    <d v="2025-10-09T19:00:00"/>
    <s v="0006073244_4900"/>
    <s v="Loading"/>
    <n v="451357"/>
    <s v="Primary flows"/>
    <s v="MIERZWA FOR SN 3PO"/>
    <m/>
    <m/>
    <s v="No"/>
    <s v="NL Haps DC (DSV)"/>
    <s v="GRAB - PL Grabica"/>
    <n v="33"/>
    <n v="0"/>
    <n v="0"/>
    <n v="0"/>
    <s v="1  01"/>
    <x v="1"/>
    <m/>
    <s v="10/10/2025 21:00-21:00"/>
    <s v="KRA520PA"/>
    <n v="0"/>
    <m/>
    <s v="No"/>
    <s v="Shipped/Received"/>
    <s v="Direct"/>
    <m/>
    <m/>
    <m/>
    <s v="HAPSDCPL20251009-01"/>
    <m/>
    <m/>
    <s v="No"/>
    <n v="5019134773"/>
    <s v="KRA369CK"/>
    <s v="Przemys?aw Czernik"/>
    <m/>
  </r>
  <r>
    <x v="0"/>
    <x v="0"/>
    <x v="1"/>
    <x v="6"/>
    <d v="2025-10-09T19:00:00"/>
    <s v="0006073245_4900"/>
    <s v="Loading"/>
    <s v="457153 / 451358"/>
    <s v="Primary flows / Primary flows"/>
    <s v="PIOMAR FOR SN 3PO"/>
    <m/>
    <m/>
    <s v="No"/>
    <s v="NL Haps DC (DSV)"/>
    <s v="GRAB - PL Grabica / GRAB - PL Grabica"/>
    <n v="66"/>
    <n v="0"/>
    <n v="0"/>
    <n v="0"/>
    <s v="1  01"/>
    <x v="1"/>
    <m/>
    <s v="15/10/2025 18:00-18:00"/>
    <s v="DSW567AG"/>
    <n v="0"/>
    <m/>
    <s v="No"/>
    <s v="Shipped/Received"/>
    <s v="Direct"/>
    <s v=" / "/>
    <s v=" / "/>
    <m/>
    <s v="HAPSDCPL20251009-02 / HAPSDCPL20251009-02"/>
    <m/>
    <m/>
    <s v="No"/>
    <s v="5019123471 / 5019135093"/>
    <s v="OP8725S"/>
    <s v="Sobolewski Dariusz"/>
    <m/>
  </r>
  <r>
    <x v="0"/>
    <x v="0"/>
    <x v="1"/>
    <x v="6"/>
    <d v="2025-10-09T20:00:00"/>
    <s v="0006073236_4900"/>
    <s v="Loading"/>
    <n v="451359"/>
    <s v="Primary flows"/>
    <s v="KREISS FOR SN 3PO"/>
    <m/>
    <m/>
    <s v="No"/>
    <s v="NL Haps DC (DSV)"/>
    <s v="CIE2 - ES Ciempozuelos SN"/>
    <n v="33"/>
    <n v="0"/>
    <n v="0"/>
    <n v="0"/>
    <s v="1  01"/>
    <x v="1"/>
    <m/>
    <s v="13/10/2025 12:00-12:00"/>
    <m/>
    <n v="0"/>
    <m/>
    <s v="No"/>
    <s v="Shipped/Received"/>
    <s v="Direct"/>
    <m/>
    <m/>
    <m/>
    <s v="HAPSDCES20251009-01"/>
    <m/>
    <m/>
    <s v="No"/>
    <n v="5019129272"/>
    <m/>
    <m/>
    <m/>
  </r>
  <r>
    <x v="0"/>
    <x v="0"/>
    <x v="1"/>
    <x v="7"/>
    <d v="2025-10-10T06:00:00"/>
    <s v="0006082542_4900"/>
    <s v="Loading"/>
    <n v="454258"/>
    <s v="Primary flows"/>
    <s v="SAMSKIP FOR SN 3PO"/>
    <m/>
    <m/>
    <s v="No"/>
    <s v="NL Haps DC (DSV)"/>
    <s v="REDD - GB Redditch"/>
    <n v="33"/>
    <n v="0"/>
    <n v="0"/>
    <n v="0"/>
    <s v="1  01"/>
    <x v="1"/>
    <m/>
    <s v="16/10/2025 18:00-18:00"/>
    <m/>
    <n v="0"/>
    <m/>
    <s v="No"/>
    <s v="Shipped/Received"/>
    <s v="Direct"/>
    <m/>
    <m/>
    <m/>
    <s v="HAPSDCUK20251010-03"/>
    <m/>
    <m/>
    <s v="No"/>
    <n v="5019130076"/>
    <m/>
    <m/>
    <m/>
  </r>
  <r>
    <x v="0"/>
    <x v="0"/>
    <x v="1"/>
    <x v="7"/>
    <d v="2025-10-10T06:00:00"/>
    <s v="359391_OOS"/>
    <s v="Loading"/>
    <s v="US-SEA-6048326_OOS"/>
    <s v="Aval non piloté_EN"/>
    <s v="MAERSK - Control Tower"/>
    <m/>
    <m/>
    <s v="No"/>
    <s v="NL Haps DC (DSV)"/>
    <s v="OOS_OUT - Delivery OOS"/>
    <n v="20"/>
    <n v="0"/>
    <n v="0"/>
    <n v="0"/>
    <s v="5019069634 5019071143 5019081928 "/>
    <x v="0"/>
    <m/>
    <s v="11/10/2025 00:06-00:06"/>
    <m/>
    <n v="0"/>
    <m/>
    <s v="No"/>
    <s v="Shipped/Received"/>
    <s v="Direct"/>
    <m/>
    <m/>
    <s v="3POeuropect@lns.maersk.com"/>
    <m/>
    <m/>
    <m/>
    <s v="No"/>
    <s v="&amp;nbsp"/>
    <m/>
    <m/>
    <n v="259267453"/>
  </r>
  <r>
    <x v="0"/>
    <x v="0"/>
    <x v="1"/>
    <x v="7"/>
    <d v="2025-10-10T07:00:00"/>
    <s v="368988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86661 LZV"/>
    <x v="1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07:00:00"/>
    <s v="0006089976_4900"/>
    <s v="Loading"/>
    <n v="457118"/>
    <s v="Primary flows"/>
    <s v="ECS FOR SN 3PO"/>
    <m/>
    <m/>
    <s v="No"/>
    <s v="NL Haps DC (DSV)"/>
    <s v="GREZ - IT Grezzago (Pozzuolo Martesana)"/>
    <n v="33"/>
    <n v="0"/>
    <n v="0"/>
    <n v="0"/>
    <s v="1  01"/>
    <x v="3"/>
    <m/>
    <s v="15/10/2025 12:00-12:00"/>
    <m/>
    <n v="0"/>
    <m/>
    <s v="No"/>
    <s v="Shipped/Received"/>
    <s v="Direct"/>
    <m/>
    <m/>
    <m/>
    <s v="HAPSDCIT20251009-02"/>
    <m/>
    <m/>
    <s v="No"/>
    <n v="5019099910"/>
    <m/>
    <m/>
    <m/>
  </r>
  <r>
    <x v="0"/>
    <x v="0"/>
    <x v="1"/>
    <x v="7"/>
    <d v="2025-10-10T07:00:00"/>
    <s v="358616_OOS"/>
    <s v="Loading"/>
    <s v="SV - SEA_OOS"/>
    <s v="Aval non piloté_EN"/>
    <s v="GEODIS"/>
    <m/>
    <m/>
    <s v="No"/>
    <s v="NL Haps DC (DSV)"/>
    <s v="OOS_OUT - Delivery OOS"/>
    <n v="11"/>
    <n v="0"/>
    <n v="0"/>
    <n v="0"/>
    <s v="DN 5019070342 / 5019070548 "/>
    <x v="0"/>
    <m/>
    <s v="11/10/2025 12:00-12:00"/>
    <m/>
    <n v="0"/>
    <m/>
    <s v="No"/>
    <s v="Shipped/Received"/>
    <s v="Direct"/>
    <m/>
    <m/>
    <s v="nutricia-booking.ff.nl@geodis.com"/>
    <m/>
    <m/>
    <m/>
    <s v="No"/>
    <s v="&amp;nbsp"/>
    <m/>
    <s v="EL SALVADOR"/>
    <s v="SRTMS182218"/>
  </r>
  <r>
    <x v="0"/>
    <x v="0"/>
    <x v="1"/>
    <x v="7"/>
    <d v="2025-10-10T07:00:00"/>
    <s v="371659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150098"/>
    <x v="2"/>
    <m/>
    <s v="11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08:00:00"/>
    <s v="0006073257_4900"/>
    <s v="Loading"/>
    <n v="451384"/>
    <s v="Primary flows"/>
    <s v="SAMSKIP FOR SN 3PO"/>
    <m/>
    <m/>
    <s v="No"/>
    <s v="NL Haps DC (DSV)"/>
    <s v="GREZ - IT Grezzago (Pozzuolo Martesana)"/>
    <n v="33"/>
    <n v="0"/>
    <n v="0"/>
    <n v="0"/>
    <s v="1  01"/>
    <x v="1"/>
    <m/>
    <s v="11/10/2025 23:00-23:00"/>
    <m/>
    <n v="0"/>
    <m/>
    <s v="No"/>
    <s v="Shipped/Received"/>
    <s v="Direct"/>
    <m/>
    <m/>
    <m/>
    <s v="HAPSDCIT20251010-01"/>
    <m/>
    <m/>
    <s v="No"/>
    <n v="5019135929"/>
    <m/>
    <m/>
    <m/>
  </r>
  <r>
    <x v="0"/>
    <x v="0"/>
    <x v="1"/>
    <x v="7"/>
    <d v="2025-10-10T08:00:00"/>
    <s v="370323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03370"/>
    <x v="0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09:00:00"/>
    <s v="0006073256_4900"/>
    <s v="Loading"/>
    <s v="451362 / 451363"/>
    <s v="Primary flows / Primary flows"/>
    <s v="SAMSKIP FOR SN 3PO"/>
    <m/>
    <m/>
    <s v="No"/>
    <s v="NL Haps DC (DSV)"/>
    <s v="DUBL - IE Dublin (United Drug) / DUB3 - IE Dublin (Pemberton)"/>
    <n v="66"/>
    <n v="0"/>
    <n v="0"/>
    <n v="0"/>
    <s v="1  01"/>
    <x v="1"/>
    <m/>
    <s v="17/10/2025 23:00-23:00 / 17/10/2025 18:00-18:00"/>
    <m/>
    <n v="0"/>
    <m/>
    <s v="No"/>
    <s v="Shipped/Received"/>
    <s v="Direct"/>
    <s v=" / "/>
    <s v=" / "/>
    <m/>
    <s v="HAPSDCIE20251010-01 / HAPSDCIE20251010-01"/>
    <m/>
    <m/>
    <s v="No"/>
    <s v="5019138544 / 5019145327"/>
    <m/>
    <m/>
    <m/>
  </r>
  <r>
    <x v="0"/>
    <x v="0"/>
    <x v="1"/>
    <x v="7"/>
    <d v="2025-10-10T09:00:00"/>
    <s v="37111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12338 5019121494 5019123450 5019098312"/>
    <x v="0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09:00:00"/>
    <s v="370324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091475"/>
    <x v="0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10:00:00"/>
    <s v="370767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8847884"/>
    <x v="0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10:00:00"/>
    <s v="368764_OOS"/>
    <s v="Loading"/>
    <s v="DJ-SEA_OOS"/>
    <s v="Aval non piloté_EN"/>
    <s v="Global FF"/>
    <m/>
    <m/>
    <s v="No"/>
    <s v="NL Haps DC (DSV)"/>
    <s v="OOS_OUT - Delivery OOS"/>
    <n v="24"/>
    <n v="0"/>
    <n v="0"/>
    <n v="0"/>
    <s v="5019059372   5019065184"/>
    <x v="0"/>
    <m/>
    <s v="11/10/2025 12:00-12:00"/>
    <m/>
    <n v="0"/>
    <m/>
    <s v="No"/>
    <s v="Shipped/Received"/>
    <s v="Direct"/>
    <m/>
    <m/>
    <s v="Misba@globalff.co.uk"/>
    <m/>
    <m/>
    <m/>
    <s v="No"/>
    <s v="&amp;nbsp"/>
    <m/>
    <m/>
    <m/>
  </r>
  <r>
    <x v="0"/>
    <x v="0"/>
    <x v="1"/>
    <x v="7"/>
    <d v="2025-10-10T10:00:00"/>
    <s v="369308_OOS"/>
    <s v="Loading"/>
    <s v="Scrap ZTM PIM - ROAD_OOS"/>
    <s v="Aval non piloté_EN"/>
    <s v="Koopman Cargo B.V."/>
    <m/>
    <m/>
    <s v="No"/>
    <s v="NL Haps DC (DSV)"/>
    <s v="OOS_OUT - Delivery OOS"/>
    <n v="33"/>
    <n v="0"/>
    <n v="0"/>
    <n v="0"/>
    <s v="90021083   90023404"/>
    <x v="0"/>
    <m/>
    <s v="11/10/2025 12:00-12:00"/>
    <m/>
    <n v="0"/>
    <m/>
    <s v="No"/>
    <s v="Shipped/Received"/>
    <s v="Direct"/>
    <m/>
    <m/>
    <s v="s.eek@koopman.nl"/>
    <m/>
    <m/>
    <m/>
    <s v="No"/>
    <s v="&amp;nbsp"/>
    <m/>
    <m/>
    <m/>
  </r>
  <r>
    <x v="0"/>
    <x v="0"/>
    <x v="1"/>
    <x v="7"/>
    <d v="2025-10-10T10:00:00"/>
    <s v="0006082543_4900"/>
    <s v="Loading"/>
    <n v="454250"/>
    <s v="Primary flows"/>
    <s v="SAMSKIP FOR SN 3PO"/>
    <m/>
    <m/>
    <s v="No"/>
    <s v="NL Haps DC (DSV)"/>
    <s v="REDD - GB Redditch"/>
    <n v="33"/>
    <n v="0"/>
    <n v="0"/>
    <n v="0"/>
    <s v="1  01"/>
    <x v="1"/>
    <m/>
    <s v="16/10/2025 18:00-18:00"/>
    <m/>
    <n v="0"/>
    <m/>
    <s v="No"/>
    <s v="Shipped/Received"/>
    <s v="Direct"/>
    <m/>
    <m/>
    <m/>
    <s v="HAPSDCUK20251010-04"/>
    <m/>
    <m/>
    <s v="No"/>
    <n v="5019112139"/>
    <m/>
    <m/>
    <m/>
  </r>
  <r>
    <x v="0"/>
    <x v="0"/>
    <x v="1"/>
    <x v="7"/>
    <d v="2025-10-10T11:00:00"/>
    <s v="366446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111678 + 5019120871 + 5019129620"/>
    <x v="0"/>
    <m/>
    <s v="11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1"/>
    <x v="7"/>
    <d v="2025-10-10T11:00:00"/>
    <s v="0006082541_4900"/>
    <s v="Loading"/>
    <n v="454263"/>
    <s v="Primary flows"/>
    <s v="SAMSKIP FOR SN 3PO"/>
    <m/>
    <m/>
    <s v="No"/>
    <s v="NL Haps DC (DSV)"/>
    <s v="REDD - GB Redditch"/>
    <n v="33"/>
    <n v="0"/>
    <n v="0"/>
    <n v="0"/>
    <s v="1  01"/>
    <x v="1"/>
    <m/>
    <s v="16/10/2025 18:00-18:00"/>
    <m/>
    <n v="0"/>
    <m/>
    <s v="No"/>
    <s v="Shipped/Received"/>
    <s v="Direct"/>
    <m/>
    <m/>
    <m/>
    <s v="HAPSDCUK20251010-02"/>
    <m/>
    <m/>
    <s v="No"/>
    <n v="5019130075"/>
    <m/>
    <m/>
    <m/>
  </r>
  <r>
    <x v="0"/>
    <x v="0"/>
    <x v="1"/>
    <x v="7"/>
    <d v="2025-10-10T11:00:00"/>
    <s v="366453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114199"/>
    <x v="0"/>
    <m/>
    <s v="11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1"/>
    <x v="7"/>
    <d v="2025-10-10T11:00:00"/>
    <s v="0006082544_4900"/>
    <s v="Loading"/>
    <s v="457977 / 454246"/>
    <s v="Primary flows / Primary flows"/>
    <s v="SAMSKIP FOR SN 3PO"/>
    <m/>
    <s v="slot checked out  but driver came back with container due to fact that COKZ documents were missing"/>
    <s v="No"/>
    <s v="NL Haps DC (DSV)"/>
    <s v="REDD - GB Redditch / REDD - GB Redditch"/>
    <n v="66"/>
    <n v="0"/>
    <n v="0"/>
    <n v="0"/>
    <s v="1  01"/>
    <x v="1"/>
    <m/>
    <s v="16/10/2025 18:00-18:00"/>
    <m/>
    <n v="0"/>
    <m/>
    <s v="No"/>
    <s v="Shipped/Received"/>
    <s v="Direct"/>
    <s v=" / "/>
    <s v=" / "/>
    <m/>
    <s v="HAPSDCUK20251010-05 / HAPSDCUK20251010-05"/>
    <m/>
    <m/>
    <s v="No"/>
    <s v="5019080632 / 5019071030"/>
    <m/>
    <m/>
    <m/>
  </r>
  <r>
    <x v="0"/>
    <x v="0"/>
    <x v="1"/>
    <x v="7"/>
    <d v="2025-10-10T11:00:00"/>
    <s v="369806_OOS"/>
    <s v="Loading"/>
    <s v="0090009466_OOS"/>
    <s v="Aval non piloté_EN"/>
    <s v="Transportbedrijf Gerwin van Beek"/>
    <m/>
    <m/>
    <s v="No"/>
    <s v="NL Haps DC (DSV)"/>
    <s v="OOS_OUT - Delivery OOS"/>
    <n v="27"/>
    <n v="0"/>
    <n v="0"/>
    <n v="0"/>
    <s v="Scraporders to Denkavit: 0090009466 ? 0090030734 ? 0090012990 ? 0090014708 ? 0090024932 - 0090024475 Loading number 0090009466 Special instructions added: M20004 M11138 NBB"/>
    <x v="5"/>
    <m/>
    <s v="11/10/2025 00:00-00:00"/>
    <m/>
    <n v="0"/>
    <m/>
    <s v="No"/>
    <s v="Shipped/Received"/>
    <s v="Direct"/>
    <m/>
    <m/>
    <s v="logistic.support.haps@danone.com"/>
    <m/>
    <m/>
    <m/>
    <s v="No"/>
    <s v="&amp;nbsp"/>
    <m/>
    <m/>
    <m/>
  </r>
  <r>
    <x v="0"/>
    <x v="0"/>
    <x v="1"/>
    <x v="7"/>
    <d v="2025-10-10T12:00:00"/>
    <s v="0006073249_4900"/>
    <s v="Loading"/>
    <n v="451372"/>
    <s v="Primary flows"/>
    <s v="LKW WALTER FOR SN 3PO"/>
    <m/>
    <m/>
    <s v="No"/>
    <s v="NL Haps DC (DSV)"/>
    <s v="ALZE - DE Alzenau"/>
    <n v="33"/>
    <n v="0"/>
    <n v="0"/>
    <n v="0"/>
    <s v="1  01"/>
    <x v="1"/>
    <m/>
    <s v="12/10/2025 23:30-23:30"/>
    <m/>
    <n v="0"/>
    <m/>
    <s v="No"/>
    <s v="Shipped/Received"/>
    <s v="Direct"/>
    <m/>
    <m/>
    <m/>
    <s v="HAPSDCDE20251010-01"/>
    <m/>
    <m/>
    <s v="No"/>
    <n v="5019116552"/>
    <m/>
    <m/>
    <m/>
  </r>
  <r>
    <x v="0"/>
    <x v="0"/>
    <x v="1"/>
    <x v="7"/>
    <d v="2025-10-10T12:00:00"/>
    <s v="366447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134888"/>
    <x v="0"/>
    <m/>
    <s v="11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1"/>
    <x v="7"/>
    <d v="2025-10-10T12:00:00"/>
    <s v="370794_OOS"/>
    <s v="Loading"/>
    <s v="US-AIR_OOS"/>
    <s v="Aval non piloté_EN"/>
    <s v="JAS"/>
    <m/>
    <m/>
    <s v="No"/>
    <s v="NL Haps DC (DSV)"/>
    <s v="OOS_OUT - Delivery OOS"/>
    <n v="19"/>
    <n v="0"/>
    <n v="0"/>
    <n v="0"/>
    <s v="US 5019091474"/>
    <x v="0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12:00:00"/>
    <s v="0006092976_4900"/>
    <s v="Loading"/>
    <n v="458100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17/10/2025 12:00-12:00"/>
    <m/>
    <n v="0"/>
    <m/>
    <s v="No"/>
    <s v="Shipped/Received"/>
    <s v="Direct"/>
    <m/>
    <m/>
    <m/>
    <s v="HAPSDCSE20251010-02"/>
    <m/>
    <m/>
    <s v="No"/>
    <n v="5019140789"/>
    <m/>
    <m/>
    <m/>
  </r>
  <r>
    <x v="0"/>
    <x v="0"/>
    <x v="1"/>
    <x v="7"/>
    <d v="2025-10-10T13:00:00"/>
    <s v="0006073251_4900"/>
    <s v="Loading"/>
    <n v="451388"/>
    <s v="Primary flows"/>
    <s v="LKW WALTER FOR SN 3PO"/>
    <m/>
    <m/>
    <s v="No"/>
    <s v="NL Haps DC (DSV)"/>
    <s v="ALZE - DE Alzenau"/>
    <n v="33"/>
    <n v="0"/>
    <n v="0"/>
    <n v="0"/>
    <s v="1  01"/>
    <x v="1"/>
    <m/>
    <s v="12/10/2025 23:30-23:30"/>
    <m/>
    <n v="0"/>
    <m/>
    <s v="No"/>
    <s v="Shipped/Received"/>
    <s v="Direct"/>
    <m/>
    <m/>
    <m/>
    <s v="HAPSDCDE20251010-03"/>
    <m/>
    <m/>
    <s v="No"/>
    <n v="5019070148"/>
    <m/>
    <m/>
    <m/>
  </r>
  <r>
    <x v="0"/>
    <x v="0"/>
    <x v="1"/>
    <x v="7"/>
    <d v="2025-10-10T13:00:00"/>
    <s v="366451_OOS"/>
    <s v="Loading"/>
    <s v="TR-ROAD_OOS"/>
    <s v="Aval non piloté_EN"/>
    <s v="Intercombi"/>
    <m/>
    <m/>
    <s v="No"/>
    <s v="NL Haps DC (DSV)"/>
    <s v="OOS_OUT - Delivery OOS"/>
    <n v="33"/>
    <n v="0"/>
    <n v="0"/>
    <n v="0"/>
    <s v="5019135212 + 5019111835 - NO SHOW"/>
    <x v="0"/>
    <m/>
    <s v="11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1"/>
    <x v="7"/>
    <d v="2025-10-10T13:00:00"/>
    <s v="371117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00737 5019121528 5019118176"/>
    <x v="0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13:00:00"/>
    <s v="368813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081264 - NO SHOW"/>
    <x v="0"/>
    <m/>
    <s v="11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1"/>
    <x v="7"/>
    <d v="2025-10-10T14:00:00"/>
    <s v="370315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01729"/>
    <x v="0"/>
    <m/>
    <s v="11/10/2025 10:00-10:00"/>
    <m/>
    <n v="0"/>
    <m/>
    <s v="No"/>
    <s v="Save"/>
    <s v="Direct"/>
    <m/>
    <m/>
    <s v="mdc.transport@danone.com"/>
    <m/>
    <m/>
    <m/>
    <s v="No"/>
    <s v="&amp;nbsp"/>
    <m/>
    <m/>
    <m/>
  </r>
  <r>
    <x v="0"/>
    <x v="0"/>
    <x v="1"/>
    <x v="7"/>
    <d v="2025-10-10T14:00:00"/>
    <s v="370766_OOS"/>
    <s v="Loading"/>
    <s v="HK-AIR_OOS"/>
    <s v="Aval non piloté_EN"/>
    <s v="GEODIS"/>
    <m/>
    <m/>
    <s v="No"/>
    <s v="NL Haps DC (DSV)"/>
    <s v="OOS_OUT - Delivery OOS"/>
    <n v="5"/>
    <n v="0"/>
    <n v="0"/>
    <n v="0"/>
    <s v="HK 5019078657 5019067597"/>
    <x v="2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14:00:00"/>
    <s v="369461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084611 - NO SHOW"/>
    <x v="0"/>
    <m/>
    <s v="11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1"/>
    <x v="7"/>
    <d v="2025-10-10T14:00:00"/>
    <s v="0006073213_4900"/>
    <s v="Loading"/>
    <s v="457234 / 458474 / 451332"/>
    <s v="Primary flows / Primary flows / Primary flows"/>
    <s v="INTERKONTAKT FOR SN 3PO"/>
    <m/>
    <m/>
    <s v="No"/>
    <s v="NL Haps DC (DSV)"/>
    <s v="PRAH - CZ Praha (PHOENIX) / RICA - CZ Ricany DC2 Ambient WH / RICA - CZ Ricany DC2 Ambient WH"/>
    <n v="99"/>
    <n v="0"/>
    <n v="0"/>
    <n v="0"/>
    <s v="1 01"/>
    <x v="1"/>
    <m/>
    <s v="13/10/2025 13:00-13:00 / 13/10/2025 08:00-08:00"/>
    <s v="6SY2686"/>
    <n v="0"/>
    <m/>
    <s v="No"/>
    <s v="Shipped/Received"/>
    <s v="Direct"/>
    <s v=" /  / "/>
    <s v=" /  / "/>
    <m/>
    <s v="HAPSDCCZ20251008-01 / HAPSDCCZ20251008-01 / HAPSDCCZ20251008-01"/>
    <m/>
    <m/>
    <s v="No"/>
    <s v="5019147563 / 5019153928 / 5019144211"/>
    <s v="4SV0039"/>
    <m/>
    <m/>
  </r>
  <r>
    <x v="0"/>
    <x v="0"/>
    <x v="1"/>
    <x v="7"/>
    <d v="2025-10-10T15:00:00"/>
    <s v="370322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093278"/>
    <x v="0"/>
    <m/>
    <s v="1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1"/>
    <x v="7"/>
    <d v="2025-10-10T15:00:00"/>
    <s v="0006073222_4900"/>
    <s v="Loading"/>
    <s v="451348 / 451347"/>
    <s v="Primary flows / Primary flows"/>
    <s v="KREISS FOR SN 3PO"/>
    <m/>
    <m/>
    <s v="No"/>
    <s v="NL Haps DC (DSV)"/>
    <s v="BRAT - SK Bratislava / BUDA - HU Budapest (BILK Logisztikai)"/>
    <n v="66"/>
    <n v="0"/>
    <n v="0"/>
    <n v="0"/>
    <s v="1  01"/>
    <x v="1"/>
    <m/>
    <s v="13/10/2025 15:00-15:00 / 13/10/2025 08:00-08:00"/>
    <s v="P7094"/>
    <n v="0"/>
    <m/>
    <s v="No"/>
    <s v="Shipped/Received"/>
    <s v="Direct"/>
    <s v=" / "/>
    <s v=" / "/>
    <m/>
    <s v="HAPSDCHU20251008-01 / HAPSDCHU20251008-01"/>
    <m/>
    <m/>
    <s v="No"/>
    <s v="5019128945 / 5019140738"/>
    <s v="KT9767"/>
    <m/>
    <m/>
  </r>
  <r>
    <x v="0"/>
    <x v="0"/>
    <x v="1"/>
    <x v="7"/>
    <d v="2025-10-10T15:00:00"/>
    <s v="0006092897_4900"/>
    <s v="Loading"/>
    <n v="458146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7/10/2025 12:00-12:00"/>
    <m/>
    <n v="0"/>
    <m/>
    <s v="No"/>
    <s v="Shipped/Received"/>
    <s v="Direct"/>
    <m/>
    <m/>
    <m/>
    <s v="HAPSDCIT20251010-03"/>
    <m/>
    <m/>
    <s v="No"/>
    <n v="5019143716"/>
    <m/>
    <m/>
    <m/>
  </r>
  <r>
    <x v="0"/>
    <x v="0"/>
    <x v="1"/>
    <x v="7"/>
    <d v="2025-10-10T16:00:00"/>
    <s v="0006078820_4900"/>
    <s v="Loading"/>
    <s v="456115 / 453336"/>
    <s v="Primary flows / Primary flows"/>
    <s v="LKW WALTER FOR SN 3PO"/>
    <m/>
    <m/>
    <s v="No"/>
    <s v="NL Haps DC (DSV)"/>
    <s v="PETR - RO Petresti / PET2 - RO Dragomiresti (Petresti)"/>
    <n v="66"/>
    <n v="0"/>
    <n v="0"/>
    <n v="0"/>
    <s v="1  01"/>
    <x v="1"/>
    <m/>
    <s v="17/10/2025 14:00-14:00 / 17/10/2025 11:00-11:00"/>
    <m/>
    <n v="0"/>
    <m/>
    <s v="No"/>
    <s v="Shipped/Received"/>
    <s v="Direct"/>
    <s v=" / "/>
    <s v=" / "/>
    <m/>
    <s v="UIT: 7V0Y941603430189 / UIT: 6H2H872809430170"/>
    <m/>
    <m/>
    <s v="No"/>
    <s v="5019133903 / 5019121532"/>
    <m/>
    <m/>
    <m/>
  </r>
  <r>
    <x v="0"/>
    <x v="0"/>
    <x v="1"/>
    <x v="7"/>
    <d v="2025-10-10T16:00:00"/>
    <s v="0006073250_4900"/>
    <s v="Loading"/>
    <n v="451379"/>
    <s v="Primary flows"/>
    <s v="LKW WALTER FOR SN 3PO"/>
    <m/>
    <m/>
    <s v="No"/>
    <s v="NL Haps DC (DSV)"/>
    <s v="ALZE - DE Alzenau"/>
    <n v="33"/>
    <n v="0"/>
    <n v="0"/>
    <n v="0"/>
    <s v="1  01"/>
    <x v="1"/>
    <m/>
    <s v="12/10/2025 23:30-23:30"/>
    <m/>
    <n v="0"/>
    <m/>
    <s v="No"/>
    <s v="Shipped/Received"/>
    <s v="Direct"/>
    <m/>
    <m/>
    <m/>
    <s v="HAPSDCDE20251010-02"/>
    <m/>
    <m/>
    <s v="No"/>
    <n v="5019123953"/>
    <m/>
    <m/>
    <m/>
  </r>
  <r>
    <x v="0"/>
    <x v="0"/>
    <x v="1"/>
    <x v="7"/>
    <d v="2025-10-10T16:00:00"/>
    <s v="0006082540_4900"/>
    <s v="Loading"/>
    <s v="457980 / 454245"/>
    <s v="Primary flows / Primary flows"/>
    <s v="GIRTEKA FOR SN 3PO"/>
    <m/>
    <m/>
    <s v="No"/>
    <s v="NL Haps DC (DSV)"/>
    <s v="REDD - GB Redditch / REDD - GB Redditch"/>
    <n v="66"/>
    <n v="0"/>
    <n v="0"/>
    <n v="0"/>
    <s v="1  01"/>
    <x v="1"/>
    <m/>
    <s v="13/10/2025 12:00-12:00"/>
    <s v="PZ_3C256"/>
    <n v="0"/>
    <m/>
    <s v="No"/>
    <s v="Shipped/Received"/>
    <s v="Direct"/>
    <s v=" / "/>
    <s v=" / "/>
    <m/>
    <s v="HAPSDCUK20251010-01 / HAPSDCUK20251010-01"/>
    <m/>
    <m/>
    <s v="No"/>
    <s v="5019135901 / 5019125152"/>
    <s v="PZ_5A944"/>
    <s v="Sergey Ulyanov"/>
    <m/>
  </r>
  <r>
    <x v="0"/>
    <x v="0"/>
    <x v="1"/>
    <x v="7"/>
    <d v="2025-10-10T16:00:00"/>
    <s v="368866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080704 - NO SHOW"/>
    <x v="0"/>
    <m/>
    <s v="11/10/2025 12:00-12:00"/>
    <m/>
    <n v="0"/>
    <m/>
    <s v="No"/>
    <s v="Save"/>
    <s v="Direct"/>
    <m/>
    <m/>
    <s v="kazimierz.tomas@fortaplus.com"/>
    <m/>
    <m/>
    <m/>
    <s v="No"/>
    <s v="&amp;nbsp"/>
    <m/>
    <m/>
    <m/>
  </r>
  <r>
    <x v="0"/>
    <x v="0"/>
    <x v="1"/>
    <x v="7"/>
    <d v="2025-10-10T17:00:00"/>
    <s v="0006073261_4900"/>
    <s v="Loading"/>
    <n v="451361"/>
    <s v="Primary flows"/>
    <s v="GIRTEKA FOR SN 3PO"/>
    <m/>
    <m/>
    <s v="No"/>
    <s v="NL Haps DC (DSV)"/>
    <s v="GRAB - PL Grabica"/>
    <n v="33"/>
    <n v="0"/>
    <n v="0"/>
    <n v="0"/>
    <s v="1  01"/>
    <x v="1"/>
    <m/>
    <s v="13/10/2025 22:00-22:00"/>
    <s v="PZ_3N596"/>
    <n v="0"/>
    <m/>
    <s v="No"/>
    <s v="Shipped/Received"/>
    <s v="Direct"/>
    <m/>
    <m/>
    <m/>
    <s v="HAPSDCPL20251010-02"/>
    <m/>
    <m/>
    <s v="No"/>
    <n v="5019146555"/>
    <s v="PZ_4C978"/>
    <s v="Dzmitry Yuryeu"/>
    <m/>
  </r>
  <r>
    <x v="0"/>
    <x v="0"/>
    <x v="1"/>
    <x v="7"/>
    <d v="2025-10-10T17:00:00"/>
    <s v="0006073252_4900"/>
    <s v="Loading"/>
    <s v="457982 / 457981 / 451370"/>
    <s v="Primary flows / Primary flows / Primary flows"/>
    <s v="DSV DK FOR SN 3PO"/>
    <m/>
    <m/>
    <s v="No"/>
    <s v="NL Haps DC (DSV)"/>
    <s v="GLOS - DK Glostrup / GLOS - DK Glostrup / GLOS - DK Glostrup"/>
    <n v="99"/>
    <n v="0"/>
    <n v="0"/>
    <n v="0"/>
    <s v="1  01"/>
    <x v="1"/>
    <m/>
    <s v="13/10/2025 09:00-09:00"/>
    <m/>
    <n v="0"/>
    <m/>
    <s v="No"/>
    <s v="Shipped/Received"/>
    <s v="Direct"/>
    <s v=" /  / "/>
    <s v=" /  / "/>
    <m/>
    <s v="HAPSDCDK20251010-01 / HAPSDCDK20251010-01 / HAPSDCDK20251010-01"/>
    <m/>
    <m/>
    <s v="No"/>
    <s v="5019145442 / 5019135899 / 5019128032"/>
    <m/>
    <m/>
    <m/>
  </r>
  <r>
    <x v="0"/>
    <x v="0"/>
    <x v="1"/>
    <x v="7"/>
    <d v="2025-10-10T18:00:00"/>
    <s v="0006073254_4900"/>
    <s v="Loading"/>
    <n v="451378"/>
    <s v="Primary flows"/>
    <s v="KREISS FOR SN 3PO"/>
    <m/>
    <m/>
    <s v="No"/>
    <s v="NL Haps DC (DSV)"/>
    <s v="CIE2 - ES Ciempozuelos SN"/>
    <n v="33"/>
    <n v="0"/>
    <n v="0"/>
    <n v="0"/>
    <s v="1  01"/>
    <x v="1"/>
    <m/>
    <s v="13/10/2025 23:30-23:30"/>
    <m/>
    <n v="0"/>
    <m/>
    <s v="No"/>
    <s v="Shipped/Received"/>
    <s v="Direct"/>
    <m/>
    <m/>
    <m/>
    <s v="HAPSDCES20251010-02"/>
    <m/>
    <m/>
    <s v="No"/>
    <n v="5019134749"/>
    <m/>
    <m/>
    <m/>
  </r>
  <r>
    <x v="0"/>
    <x v="0"/>
    <x v="1"/>
    <x v="7"/>
    <d v="2025-10-10T18:00:00"/>
    <s v="0006073260_4900"/>
    <s v="Loading"/>
    <s v="457979 / 457978 / 451371"/>
    <s v="Primary flows / Primary flows / Primary flows"/>
    <s v="GIRTEKA FOR SN 3PO"/>
    <m/>
    <m/>
    <s v="No"/>
    <s v="NL Haps DC (DSV)"/>
    <s v="GRAB - PL Grabica / GRAB - PL Grabica / GRAB - PL Grabica"/>
    <n v="99"/>
    <n v="0"/>
    <n v="0"/>
    <n v="0"/>
    <s v="1  01"/>
    <x v="1"/>
    <m/>
    <s v="13/10/2025 13:00-13:00"/>
    <m/>
    <n v="0"/>
    <m/>
    <s v="No"/>
    <s v="Shipped/Received"/>
    <s v="Direct"/>
    <s v=" /  / "/>
    <s v=" /  / "/>
    <m/>
    <s v="HAPSDCPL20251010-01 / HAPSDCPL20251010-01 / HAPSDCPL20251010-01"/>
    <m/>
    <m/>
    <s v="No"/>
    <s v="5019133992 / 5019129631 / 5019123825"/>
    <m/>
    <m/>
    <m/>
  </r>
  <r>
    <x v="0"/>
    <x v="0"/>
    <x v="1"/>
    <x v="7"/>
    <d v="2025-10-10T19:00:00"/>
    <s v="0006073263_4900"/>
    <s v="Loading"/>
    <n v="458125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17/10/2025 16:00-16:00"/>
    <m/>
    <n v="0"/>
    <m/>
    <s v="No"/>
    <s v="Shipped/Received"/>
    <s v="Direct"/>
    <m/>
    <m/>
    <m/>
    <s v="HAPSDCSE20251010-01"/>
    <m/>
    <m/>
    <s v="No"/>
    <n v="5019145643"/>
    <m/>
    <m/>
    <m/>
  </r>
  <r>
    <x v="0"/>
    <x v="0"/>
    <x v="1"/>
    <x v="7"/>
    <d v="2025-10-10T19:00:00"/>
    <s v="0006073258_4900"/>
    <s v="Loading"/>
    <n v="451382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1/10/2025 20:00-20:00"/>
    <m/>
    <n v="0"/>
    <m/>
    <s v="No"/>
    <s v="Shipped/Received"/>
    <s v="Direct"/>
    <m/>
    <m/>
    <m/>
    <s v="HAPSDCIT20251010-02"/>
    <m/>
    <m/>
    <s v="No"/>
    <n v="5019126556"/>
    <m/>
    <m/>
    <m/>
  </r>
  <r>
    <x v="0"/>
    <x v="0"/>
    <x v="1"/>
    <x v="7"/>
    <d v="2025-10-10T19:00:00"/>
    <s v="0006073262_4900"/>
    <s v="Loading"/>
    <n v="451381"/>
    <s v="Primary flows"/>
    <s v="GIRTEKA FOR SN 3PO"/>
    <m/>
    <m/>
    <s v="No"/>
    <s v="NL Haps DC (DSV)"/>
    <s v="GRAB - PL Grabica"/>
    <n v="33"/>
    <n v="0"/>
    <n v="0"/>
    <n v="0"/>
    <s v="1  01"/>
    <x v="1"/>
    <m/>
    <s v="13/10/2025 14:00-14:00"/>
    <s v="PZ_4N661"/>
    <n v="0"/>
    <m/>
    <s v="No"/>
    <s v="Shipped/Received"/>
    <s v="Direct"/>
    <m/>
    <m/>
    <m/>
    <s v="HAPSDCPL20251010-03"/>
    <m/>
    <m/>
    <s v="No"/>
    <n v="5019135473"/>
    <s v="PZ_5K919"/>
    <s v="Dzianis Pauliuchenka"/>
    <m/>
  </r>
  <r>
    <x v="0"/>
    <x v="0"/>
    <x v="1"/>
    <x v="7"/>
    <d v="2025-10-10T22:00:00"/>
    <s v="372295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169880"/>
    <x v="2"/>
    <m/>
    <s v="11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8"/>
    <d v="2025-10-13T06:00:00"/>
    <s v="0006093958_4900"/>
    <s v="Loading"/>
    <n v="458634"/>
    <s v="Primary flows"/>
    <s v="SAMSKIP FOR SN 3PO"/>
    <m/>
    <m/>
    <s v="No"/>
    <s v="NL Haps DC (DSV)"/>
    <s v="REDD - GB Redditch"/>
    <n v="33"/>
    <n v="0"/>
    <n v="0"/>
    <n v="0"/>
    <s v="1  01"/>
    <x v="1"/>
    <m/>
    <s v="17/10/2025 18:00-18:00"/>
    <m/>
    <n v="0"/>
    <m/>
    <s v="No"/>
    <s v="Shipped/Received"/>
    <s v="Direct"/>
    <m/>
    <m/>
    <m/>
    <s v="HAPSDCUK20251013-06"/>
    <m/>
    <m/>
    <s v="No"/>
    <n v="5019112775"/>
    <m/>
    <m/>
    <m/>
  </r>
  <r>
    <x v="0"/>
    <x v="0"/>
    <x v="2"/>
    <x v="8"/>
    <d v="2025-10-13T06:00:00"/>
    <s v="364663_OOS"/>
    <s v="Loading"/>
    <s v="CN-SEA-6068780_OOS"/>
    <s v="Aval non piloté_EN"/>
    <s v="MAERSK - Control Tower"/>
    <m/>
    <m/>
    <s v="No"/>
    <s v="NL Haps DC (DSV)"/>
    <s v="OOS_OUT - Delivery OOS"/>
    <n v="20"/>
    <n v="0"/>
    <n v="0"/>
    <n v="0"/>
    <s v="5019016343 5019051645 "/>
    <x v="0"/>
    <m/>
    <s v="14/10/2025 00:02-00:02"/>
    <m/>
    <n v="0"/>
    <m/>
    <s v="No"/>
    <s v="Shipped/Received"/>
    <s v="Direct"/>
    <m/>
    <m/>
    <s v="3POeuropect@lns.maersk.com"/>
    <m/>
    <m/>
    <m/>
    <s v="No"/>
    <s v="&amp;nbsp"/>
    <m/>
    <m/>
    <n v="259809883"/>
  </r>
  <r>
    <x v="0"/>
    <x v="0"/>
    <x v="2"/>
    <x v="8"/>
    <d v="2025-10-13T06:00:00"/>
    <s v="0006073253_4900"/>
    <s v="Loading"/>
    <n v="451364"/>
    <s v="Primary flows"/>
    <s v="CH ROBINSON FOR SN 3PO HVO"/>
    <m/>
    <m/>
    <s v="No"/>
    <s v="NL Haps DC (DSV)"/>
    <s v="CIE2 - ES Ciempozuelos SN"/>
    <n v="33"/>
    <n v="0"/>
    <n v="0"/>
    <n v="0"/>
    <s v="1  01"/>
    <x v="3"/>
    <m/>
    <s v="14/10/2025 08:00-08:00"/>
    <s v="R1392BDG "/>
    <n v="0"/>
    <m/>
    <s v="No"/>
    <s v="Shipped/Received"/>
    <s v="Direct"/>
    <m/>
    <m/>
    <m/>
    <s v="HAPSDCES20251010-01"/>
    <m/>
    <m/>
    <s v="No"/>
    <n v="5019134827"/>
    <s v="1378MCD"/>
    <m/>
    <m/>
  </r>
  <r>
    <x v="0"/>
    <x v="0"/>
    <x v="2"/>
    <x v="8"/>
    <d v="2025-10-13T07:00:00"/>
    <s v="0006088382_4900"/>
    <s v="Loading"/>
    <n v="456579"/>
    <s v="Primary flows"/>
    <s v="SAMSKIP FOR SN 3PO"/>
    <m/>
    <m/>
    <s v="No"/>
    <s v="NL Haps DC (DSV)"/>
    <s v="REDD - GB Redditch"/>
    <n v="33"/>
    <n v="0"/>
    <n v="0"/>
    <n v="0"/>
    <s v="1  01"/>
    <x v="1"/>
    <m/>
    <s v="17/10/2025 18:00-18:00"/>
    <m/>
    <n v="0"/>
    <m/>
    <s v="No"/>
    <s v="Shipped/Received"/>
    <s v="Direct"/>
    <m/>
    <m/>
    <m/>
    <s v="HAPSDCUK20251013-04"/>
    <m/>
    <m/>
    <s v="No"/>
    <n v="5019143717"/>
    <m/>
    <m/>
    <m/>
  </r>
  <r>
    <x v="0"/>
    <x v="0"/>
    <x v="2"/>
    <x v="8"/>
    <d v="2025-10-13T07:00:00"/>
    <s v="372163_OOS"/>
    <s v="Loading"/>
    <s v="ARG-SEA (NO-SHOW)_OOS"/>
    <s v="Aval non piloté_EN"/>
    <s v="MAERSK"/>
    <m/>
    <m/>
    <s v="No"/>
    <s v="NL Haps DC (DSV)"/>
    <s v="OOS_OUT - Delivery OOS"/>
    <n v="23"/>
    <n v="0"/>
    <n v="0"/>
    <n v="0"/>
    <s v="ARG 5019101729"/>
    <x v="3"/>
    <m/>
    <s v="1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8"/>
    <d v="2025-10-13T07:00:00"/>
    <s v="364664_OOS"/>
    <s v="Loading"/>
    <s v="CN-SEA-6068781_OOS"/>
    <s v="Aval non piloté_EN"/>
    <s v="MAERSK - Control Tower"/>
    <m/>
    <m/>
    <s v="No"/>
    <s v="NL Haps DC (DSV)"/>
    <s v="OOS_OUT - Delivery OOS"/>
    <n v="20"/>
    <n v="0"/>
    <n v="0"/>
    <n v="0"/>
    <n v="5019084574"/>
    <x v="0"/>
    <m/>
    <s v="14/10/2025 00:02-00:02"/>
    <m/>
    <n v="0"/>
    <m/>
    <s v="No"/>
    <s v="Shipped/Received"/>
    <s v="Direct"/>
    <m/>
    <m/>
    <s v="3POeuropect@lns.maersk.com"/>
    <m/>
    <m/>
    <m/>
    <s v="No"/>
    <s v="&amp;nbsp"/>
    <m/>
    <m/>
    <n v="259809883"/>
  </r>
  <r>
    <x v="0"/>
    <x v="0"/>
    <x v="2"/>
    <x v="8"/>
    <d v="2025-10-13T08:00:00"/>
    <s v="0006080894_4900"/>
    <s v="Loading"/>
    <n v="453813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9/10/2025 21:00-21:00"/>
    <m/>
    <n v="0"/>
    <m/>
    <s v="No"/>
    <s v="Shipped/Received"/>
    <s v="Direct"/>
    <m/>
    <m/>
    <m/>
    <s v="HAPSDCIE20251013-01"/>
    <m/>
    <m/>
    <s v="No"/>
    <n v="5019135799"/>
    <m/>
    <m/>
    <m/>
  </r>
  <r>
    <x v="0"/>
    <x v="0"/>
    <x v="2"/>
    <x v="8"/>
    <d v="2025-10-13T08:00:00"/>
    <s v="0006094749_4900"/>
    <s v="Loading"/>
    <n v="458904"/>
    <s v="Primary flows"/>
    <s v="GIRTEKA FOR SN 3PO"/>
    <m/>
    <m/>
    <s v="No"/>
    <s v="NL Haps DC (DSV)"/>
    <s v="REDD - GB Redditch"/>
    <n v="33"/>
    <n v="0"/>
    <n v="0"/>
    <n v="0"/>
    <s v="1  01"/>
    <x v="1"/>
    <m/>
    <s v="14/10/2025 16:00-16:00"/>
    <s v="PZ_2S256"/>
    <n v="0"/>
    <m/>
    <s v="No"/>
    <s v="Shipped/Received"/>
    <s v="Direct"/>
    <m/>
    <m/>
    <m/>
    <s v="HAPSDCUK20251013-08"/>
    <m/>
    <m/>
    <s v="No"/>
    <n v="5019115506"/>
    <s v="PZ_7F816"/>
    <s v="Hryhorii Vilihurskyi"/>
    <m/>
  </r>
  <r>
    <x v="0"/>
    <x v="0"/>
    <x v="2"/>
    <x v="8"/>
    <d v="2025-10-13T08:00:00"/>
    <s v="0006093959_4900"/>
    <s v="Loading"/>
    <n v="458635"/>
    <s v="Primary flows"/>
    <s v="SAMSKIP FOR SN 3PO"/>
    <m/>
    <m/>
    <s v="No"/>
    <s v="NL Haps DC (DSV)"/>
    <s v="REDD - GB Redditch"/>
    <n v="33"/>
    <n v="0"/>
    <n v="0"/>
    <n v="0"/>
    <s v="1  01"/>
    <x v="1"/>
    <m/>
    <s v="17/10/2025 17:00-17:00"/>
    <m/>
    <n v="0"/>
    <m/>
    <s v="No"/>
    <s v="Shipped/Received"/>
    <s v="Direct"/>
    <m/>
    <m/>
    <m/>
    <s v="HAPSDCUK20251013-07"/>
    <m/>
    <m/>
    <s v="No"/>
    <n v="5019124252"/>
    <m/>
    <m/>
    <m/>
  </r>
  <r>
    <x v="0"/>
    <x v="0"/>
    <x v="2"/>
    <x v="8"/>
    <d v="2025-10-13T09:00:00"/>
    <s v="371577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88486 Regular "/>
    <x v="1"/>
    <m/>
    <s v="1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8"/>
    <d v="2025-10-13T09:00:00"/>
    <s v="364764_OOS"/>
    <s v="Loading"/>
    <s v="NZ-SEA-6068785_OOS"/>
    <s v="Aval non piloté_EN"/>
    <s v="Maersk - Control Tower"/>
    <m/>
    <m/>
    <s v="No"/>
    <s v="NL Haps DC (DSV)"/>
    <s v="OOS_OUT - Delivery OOS"/>
    <n v="20"/>
    <n v="0"/>
    <n v="0"/>
    <n v="0"/>
    <n v="5019124543"/>
    <x v="0"/>
    <m/>
    <s v="14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816313"/>
  </r>
  <r>
    <x v="0"/>
    <x v="0"/>
    <x v="2"/>
    <x v="8"/>
    <d v="2025-10-13T10:00:00"/>
    <s v="0006088381_4900"/>
    <s v="Loading"/>
    <n v="456576"/>
    <s v="Primary flows"/>
    <s v="SAMSKIP FOR SN 3PO"/>
    <m/>
    <m/>
    <s v="No"/>
    <s v="NL Haps DC (DSV)"/>
    <s v="REDD - GB Redditch"/>
    <n v="33"/>
    <n v="0"/>
    <n v="0"/>
    <n v="0"/>
    <s v="1  01"/>
    <x v="1"/>
    <m/>
    <s v="17/10/2025 18:00-18:00"/>
    <m/>
    <n v="0"/>
    <m/>
    <s v="No"/>
    <s v="Shipped/Received"/>
    <s v="Direct"/>
    <m/>
    <m/>
    <m/>
    <s v="HAPSDCUK20251013-03"/>
    <m/>
    <m/>
    <s v="No"/>
    <n v="5019141954"/>
    <m/>
    <m/>
    <m/>
  </r>
  <r>
    <x v="0"/>
    <x v="0"/>
    <x v="2"/>
    <x v="8"/>
    <d v="2025-10-13T10:00:00"/>
    <s v="0006094746_4900"/>
    <s v="Loading"/>
    <n v="458849"/>
    <s v="Primary flows"/>
    <s v="P AND O FOR SN 3PO"/>
    <m/>
    <m/>
    <s v="No"/>
    <s v="NL Haps DC (DSV)"/>
    <s v="TAMP - FI Tampere"/>
    <n v="33"/>
    <n v="0"/>
    <n v="0"/>
    <n v="0"/>
    <s v="1  01"/>
    <x v="1"/>
    <m/>
    <s v="20/10/2025 16:00-16:00"/>
    <m/>
    <n v="0"/>
    <m/>
    <s v="No"/>
    <s v="Shipped/Received"/>
    <s v="Direct"/>
    <m/>
    <m/>
    <m/>
    <s v="HAPSDCFI20251013-01"/>
    <m/>
    <m/>
    <s v="No"/>
    <n v="5019067353"/>
    <m/>
    <m/>
    <m/>
  </r>
  <r>
    <x v="0"/>
    <x v="0"/>
    <x v="2"/>
    <x v="8"/>
    <d v="2025-10-13T10:00:00"/>
    <s v="0006094750_4900"/>
    <s v="Loading"/>
    <n v="458903"/>
    <s v="Primary flows"/>
    <s v="GIRTEKA FOR SN 3PO"/>
    <m/>
    <m/>
    <s v="No"/>
    <s v="NL Haps DC (DSV)"/>
    <s v="REDD - GB Redditch"/>
    <n v="33"/>
    <n v="0"/>
    <n v="0"/>
    <n v="0"/>
    <s v="1  01"/>
    <x v="1"/>
    <m/>
    <s v="14/10/2025 17:00-17:00"/>
    <s v="PZ_2S255"/>
    <n v="0"/>
    <m/>
    <s v="No"/>
    <s v="Shipped/Received"/>
    <s v="Direct"/>
    <m/>
    <m/>
    <m/>
    <s v="HAPSDCUK20251013-09"/>
    <m/>
    <m/>
    <s v="No"/>
    <n v="5019139571"/>
    <s v="PZ_5Y248"/>
    <s v="Vitali Sidarovich"/>
    <m/>
  </r>
  <r>
    <x v="0"/>
    <x v="0"/>
    <x v="2"/>
    <x v="8"/>
    <d v="2025-10-13T11:00:00"/>
    <s v="370325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01848"/>
    <x v="0"/>
    <m/>
    <s v="1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8"/>
    <d v="2025-10-13T11:00:00"/>
    <s v="371027_OOS"/>
    <s v="Loading"/>
    <s v="IL - AIR_OOS"/>
    <s v="Aval non piloté_EN"/>
    <s v="GEODIS"/>
    <m/>
    <m/>
    <m/>
    <s v="NL Haps DC (DSV)"/>
    <s v="OOS_OUT - Delivery OOS"/>
    <n v="8"/>
    <n v="0"/>
    <n v="0"/>
    <n v="0"/>
    <s v="DN 5019057270 (8 PLT)"/>
    <x v="2"/>
    <m/>
    <s v="14/10/2025 09:00-09:00"/>
    <m/>
    <n v="0"/>
    <m/>
    <s v="No"/>
    <m/>
    <s v="Direct"/>
    <m/>
    <m/>
    <s v="export.ams.ff.nl@geodis.com"/>
    <m/>
    <m/>
    <m/>
    <s v="No"/>
    <s v="&amp;nbsp"/>
    <m/>
    <m/>
    <m/>
  </r>
  <r>
    <x v="0"/>
    <x v="0"/>
    <x v="2"/>
    <x v="8"/>
    <d v="2025-10-13T11:00:00"/>
    <s v="0006088360_4900"/>
    <s v="Loading"/>
    <n v="456562"/>
    <s v="Primary flows"/>
    <s v="SAMSKIP FOR SN 3PO"/>
    <m/>
    <m/>
    <s v="No"/>
    <s v="NL Haps DC (DSV)"/>
    <s v="REDD - GB Redditch"/>
    <n v="33"/>
    <n v="0"/>
    <n v="0"/>
    <n v="0"/>
    <s v="1  01"/>
    <x v="1"/>
    <m/>
    <s v="17/10/2025 18:00-18:00"/>
    <m/>
    <n v="0"/>
    <m/>
    <s v="No"/>
    <s v="Shipped/Received"/>
    <s v="Direct"/>
    <m/>
    <m/>
    <m/>
    <s v="HAPSDCUK20251013-02"/>
    <m/>
    <m/>
    <s v="No"/>
    <n v="5019141953"/>
    <m/>
    <m/>
    <m/>
  </r>
  <r>
    <x v="0"/>
    <x v="0"/>
    <x v="2"/>
    <x v="8"/>
    <d v="2025-10-13T12:00:00"/>
    <s v="0006088383_4900"/>
    <s v="Loading"/>
    <n v="456572"/>
    <s v="Primary flows"/>
    <s v="SAMSKIP FOR SN 3PO"/>
    <m/>
    <m/>
    <s v="No"/>
    <s v="NL Haps DC (DSV)"/>
    <s v="REDD - GB Redditch"/>
    <n v="33"/>
    <n v="0"/>
    <n v="0"/>
    <n v="0"/>
    <s v="1  01"/>
    <x v="1"/>
    <m/>
    <s v="17/10/2025 18:00-18:00"/>
    <m/>
    <n v="0"/>
    <m/>
    <s v="No"/>
    <s v="Shipped/Received"/>
    <s v="Direct"/>
    <m/>
    <m/>
    <m/>
    <s v="HAPSDCUK20251013-05"/>
    <m/>
    <m/>
    <s v="No"/>
    <n v="5019145352"/>
    <m/>
    <m/>
    <m/>
  </r>
  <r>
    <x v="0"/>
    <x v="0"/>
    <x v="2"/>
    <x v="8"/>
    <d v="2025-10-13T12:00:00"/>
    <s v="368971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120891 5019164736 "/>
    <x v="0"/>
    <m/>
    <s v="1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8"/>
    <d v="2025-10-13T12:00:00"/>
    <s v="0006088359_4900"/>
    <s v="Loading"/>
    <n v="456581"/>
    <s v="Primary flows"/>
    <s v="GIRTEKA FOR SN 3PO"/>
    <m/>
    <m/>
    <s v="No"/>
    <s v="NL Haps DC (DSV)"/>
    <s v="REDD - GB Redditch"/>
    <n v="33"/>
    <n v="0"/>
    <n v="0"/>
    <n v="0"/>
    <s v="1  01"/>
    <x v="1"/>
    <m/>
    <s v="14/10/2025 18:00-18:00"/>
    <s v="PZ_211WP"/>
    <n v="0"/>
    <m/>
    <s v="No"/>
    <s v="Shipped/Received"/>
    <s v="Direct"/>
    <m/>
    <m/>
    <m/>
    <s v="HAPSDCUK20251013-01"/>
    <m/>
    <m/>
    <s v="No"/>
    <n v="5019151614"/>
    <s v="PZ_5W067"/>
    <s v="Serhii Dmitrov"/>
    <m/>
  </r>
  <r>
    <x v="0"/>
    <x v="0"/>
    <x v="2"/>
    <x v="8"/>
    <d v="2025-10-13T13:00:00"/>
    <s v="369462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081049"/>
    <x v="0"/>
    <m/>
    <s v="14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2"/>
    <x v="8"/>
    <d v="2025-10-13T13:00:00"/>
    <s v="0006080892_4900"/>
    <s v="Loading"/>
    <n v="453802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4/10/2025 08:00-08:00"/>
    <m/>
    <n v="0"/>
    <m/>
    <s v="No"/>
    <s v="Shipped/Received"/>
    <s v="Direct"/>
    <m/>
    <m/>
    <m/>
    <s v="HAPSDCFR20251013-03"/>
    <m/>
    <m/>
    <s v="No"/>
    <n v="5019154698"/>
    <m/>
    <m/>
    <m/>
  </r>
  <r>
    <x v="0"/>
    <x v="0"/>
    <x v="2"/>
    <x v="8"/>
    <d v="2025-10-13T13:00:00"/>
    <s v="370326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01849"/>
    <x v="0"/>
    <m/>
    <s v="1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8"/>
    <d v="2025-10-13T13:00:00"/>
    <s v="0006080809_4900"/>
    <s v="Loading"/>
    <n v="453804"/>
    <s v="Primary flows"/>
    <s v="KREISS FOR SN 3PO"/>
    <m/>
    <m/>
    <s v="No"/>
    <s v="NL Haps DC (DSV)"/>
    <s v="CIE2 - ES Ciempozuelos SN"/>
    <n v="33"/>
    <n v="0"/>
    <n v="0"/>
    <n v="0"/>
    <s v="1  01"/>
    <x v="1"/>
    <m/>
    <s v="16/10/2025 14:00-14:00"/>
    <m/>
    <n v="0"/>
    <m/>
    <s v="No"/>
    <s v="Shipped/Received"/>
    <s v="Direct"/>
    <m/>
    <m/>
    <m/>
    <s v="HAPSDCES20251013-01"/>
    <m/>
    <m/>
    <s v="No"/>
    <n v="5019147893"/>
    <m/>
    <m/>
    <m/>
  </r>
  <r>
    <x v="0"/>
    <x v="0"/>
    <x v="2"/>
    <x v="8"/>
    <d v="2025-10-13T14:00:00"/>
    <s v="370328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05444"/>
    <x v="0"/>
    <m/>
    <s v="1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8"/>
    <d v="2025-10-13T14:00:00"/>
    <s v="0006080808_4900"/>
    <s v="Loading"/>
    <n v="453805"/>
    <s v="Primary flows"/>
    <s v="LKW WALTER FOR SN 3PO"/>
    <m/>
    <m/>
    <s v="No"/>
    <s v="NL Haps DC (DSV)"/>
    <s v="ALZE - DE Alzenau"/>
    <n v="33"/>
    <n v="0"/>
    <n v="0"/>
    <n v="0"/>
    <s v="1  01"/>
    <x v="1"/>
    <m/>
    <s v="14/10/2025 10:00-10:00"/>
    <m/>
    <n v="0"/>
    <m/>
    <s v="No"/>
    <s v="Shipped/Received"/>
    <s v="Direct"/>
    <m/>
    <m/>
    <m/>
    <s v="HAPSDCDE20251013-03"/>
    <m/>
    <m/>
    <s v="No"/>
    <n v="5019153808"/>
    <m/>
    <m/>
    <m/>
  </r>
  <r>
    <x v="0"/>
    <x v="0"/>
    <x v="2"/>
    <x v="8"/>
    <d v="2025-10-13T15:00:00"/>
    <s v="0006080806_4900"/>
    <s v="Loading"/>
    <n v="453800"/>
    <s v="Primary flows"/>
    <s v="LKW WALTER FOR SN 3PO"/>
    <m/>
    <m/>
    <s v="No"/>
    <s v="NL Haps DC (DSV)"/>
    <s v="ALZE - DE Alzenau"/>
    <n v="33"/>
    <n v="0"/>
    <n v="0"/>
    <n v="0"/>
    <s v="1  01"/>
    <x v="1"/>
    <m/>
    <s v="14/10/2025 10:00-10:00"/>
    <m/>
    <n v="0"/>
    <m/>
    <s v="No"/>
    <s v="Shipped/Received"/>
    <s v="Direct"/>
    <m/>
    <m/>
    <m/>
    <s v="HAPSDCDE20251013-01"/>
    <m/>
    <m/>
    <s v="No"/>
    <n v="5019154970"/>
    <m/>
    <m/>
    <m/>
  </r>
  <r>
    <x v="0"/>
    <x v="0"/>
    <x v="2"/>
    <x v="8"/>
    <d v="2025-10-13T16:00:00"/>
    <s v="0006080807_4900"/>
    <s v="Loading"/>
    <n v="453808"/>
    <s v="Primary flows"/>
    <s v="LKW WALTER FOR SN 3PO"/>
    <m/>
    <m/>
    <s v="No"/>
    <s v="NL Haps DC (DSV)"/>
    <s v="ALZE - DE Alzenau"/>
    <n v="33"/>
    <n v="0"/>
    <n v="0"/>
    <n v="0"/>
    <s v="1  01"/>
    <x v="1"/>
    <m/>
    <s v="14/10/2025 10:00-10:00"/>
    <m/>
    <n v="0"/>
    <m/>
    <s v="No"/>
    <s v="Shipped/Received"/>
    <s v="Direct"/>
    <m/>
    <m/>
    <m/>
    <s v="HAPSDCDE20251013-02"/>
    <m/>
    <m/>
    <s v="No"/>
    <n v="5019145094"/>
    <m/>
    <m/>
    <m/>
  </r>
  <r>
    <x v="0"/>
    <x v="0"/>
    <x v="2"/>
    <x v="8"/>
    <d v="2025-10-13T16:00:00"/>
    <s v="366454_OOS"/>
    <s v="Loading"/>
    <s v="UA-ROAD_OOS"/>
    <s v="Aval non piloté_EN"/>
    <s v="EXW"/>
    <m/>
    <s v="shipped and sealed  but not picked up by driver due to missing documents"/>
    <s v="No"/>
    <s v="NL Haps DC (DSV)"/>
    <s v="OOS_OUT - Delivery OOS"/>
    <n v="20"/>
    <n v="0"/>
    <n v="0"/>
    <n v="0"/>
    <s v="5018903508 + 5018970318 + 5019022092 + 5019030442 + 5019019934 + 5019023250 + 5019025738 + 5019043780 + 5019041508"/>
    <x v="1"/>
    <m/>
    <s v="14/10/2025 12:00-12:00"/>
    <m/>
    <n v="0"/>
    <m/>
    <s v="No"/>
    <s v="Shipped/Received"/>
    <s v="Direct"/>
    <m/>
    <m/>
    <s v="olha.pakon@danone.com"/>
    <m/>
    <m/>
    <m/>
    <s v="No"/>
    <s v="&amp;nbsp"/>
    <m/>
    <m/>
    <m/>
  </r>
  <r>
    <x v="0"/>
    <x v="0"/>
    <x v="2"/>
    <x v="8"/>
    <d v="2025-10-13T17:00:00"/>
    <s v="0006080900_4900"/>
    <s v="Loading"/>
    <n v="453809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20/10/2025 16:00-16:00"/>
    <m/>
    <n v="0"/>
    <m/>
    <s v="No"/>
    <s v="Shipped/Received"/>
    <s v="Direct"/>
    <m/>
    <m/>
    <m/>
    <s v="HAPSDCSE20251013-01"/>
    <m/>
    <m/>
    <s v="No"/>
    <n v="5019144677"/>
    <m/>
    <m/>
    <m/>
  </r>
  <r>
    <x v="0"/>
    <x v="0"/>
    <x v="2"/>
    <x v="8"/>
    <d v="2025-10-13T17:00:00"/>
    <s v="0006080804_4900"/>
    <s v="Loading"/>
    <n v="453812"/>
    <s v="Primary flows"/>
    <s v="GIRTEKA FOR SN 3PO HVO"/>
    <m/>
    <m/>
    <s v="No"/>
    <s v="NL Haps DC (DSV)"/>
    <s v="PUCH - AT Puch"/>
    <n v="33"/>
    <n v="0"/>
    <n v="0"/>
    <n v="0"/>
    <s v="1  01"/>
    <x v="1"/>
    <m/>
    <s v="15/10/2025 11:00-11:00"/>
    <s v="PZ_7T346"/>
    <n v="0"/>
    <m/>
    <s v="No"/>
    <s v="Shipped/Received"/>
    <s v="Direct"/>
    <m/>
    <m/>
    <m/>
    <s v="HAPSDCAT20251013-01"/>
    <m/>
    <m/>
    <s v="No"/>
    <n v="5019160160"/>
    <s v="NIK_460"/>
    <s v="Tarun Kumar"/>
    <m/>
  </r>
  <r>
    <x v="0"/>
    <x v="0"/>
    <x v="2"/>
    <x v="8"/>
    <d v="2025-10-13T17:00:00"/>
    <s v="0006080810_4900"/>
    <s v="Loading"/>
    <n v="453799"/>
    <s v="Primary flows"/>
    <s v="ECS FOR SN 3PO"/>
    <m/>
    <m/>
    <s v="No"/>
    <s v="NL Haps DC (DSV)"/>
    <s v="MOUS - FR Moussy-Le-Neuf"/>
    <n v="33"/>
    <n v="0"/>
    <n v="0"/>
    <n v="0"/>
    <s v="1  01"/>
    <x v="1"/>
    <m/>
    <s v="14/10/2025 13:00-13:00"/>
    <m/>
    <n v="0"/>
    <m/>
    <s v="No"/>
    <s v="Shipped/Received"/>
    <s v="Direct"/>
    <m/>
    <m/>
    <m/>
    <s v="HAPSDCFR20251013-01"/>
    <m/>
    <m/>
    <s v="No"/>
    <n v="5019154022"/>
    <m/>
    <m/>
    <m/>
  </r>
  <r>
    <x v="0"/>
    <x v="0"/>
    <x v="2"/>
    <x v="8"/>
    <d v="2025-10-13T18:00:00"/>
    <s v="0006091976_4900"/>
    <s v="Loading"/>
    <n v="457727"/>
    <s v="Primary flows"/>
    <s v="GIRTEKA FOR SN 3PO"/>
    <m/>
    <m/>
    <s v="No"/>
    <s v="NL Haps DC (DSV)"/>
    <s v="ALZE - DE Alzenau"/>
    <n v="33"/>
    <n v="0"/>
    <n v="0"/>
    <n v="0"/>
    <s v="1  01"/>
    <x v="1"/>
    <m/>
    <s v="15/10/2025 06:00-06:00"/>
    <m/>
    <n v="0"/>
    <m/>
    <s v="No"/>
    <s v="Shipped/Received"/>
    <s v="Direct"/>
    <m/>
    <m/>
    <m/>
    <s v="HAPSDCDE20251013-04"/>
    <m/>
    <m/>
    <s v="No"/>
    <n v="5019145095"/>
    <m/>
    <m/>
    <m/>
  </r>
  <r>
    <x v="0"/>
    <x v="0"/>
    <x v="2"/>
    <x v="8"/>
    <d v="2025-10-13T18:00:00"/>
    <s v="0006080891_4900"/>
    <s v="Loading"/>
    <n v="453798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4/10/2025 13:30-13:30"/>
    <m/>
    <n v="0"/>
    <m/>
    <s v="No"/>
    <s v="Shipped/Received"/>
    <s v="Direct"/>
    <m/>
    <m/>
    <m/>
    <s v="HAPSDCFR20251013-02"/>
    <m/>
    <m/>
    <s v="No"/>
    <n v="5019145048"/>
    <m/>
    <m/>
    <m/>
  </r>
  <r>
    <x v="0"/>
    <x v="0"/>
    <x v="2"/>
    <x v="8"/>
    <d v="2025-10-13T18:00:00"/>
    <s v="0006080895_4900"/>
    <s v="Loading"/>
    <n v="453814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15/10/2025 22:00-22:00"/>
    <m/>
    <n v="0"/>
    <m/>
    <s v="No"/>
    <s v="Shipped/Received"/>
    <s v="Direct"/>
    <m/>
    <m/>
    <m/>
    <s v="HAPSDCIT20251013-01"/>
    <m/>
    <m/>
    <s v="No"/>
    <n v="5019145350"/>
    <m/>
    <m/>
    <m/>
  </r>
  <r>
    <x v="0"/>
    <x v="0"/>
    <x v="2"/>
    <x v="8"/>
    <d v="2025-10-13T19:00:00"/>
    <s v="0006080896_4900"/>
    <s v="Loading"/>
    <n v="453810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7/10/2025 12:00-12:00"/>
    <m/>
    <n v="0"/>
    <m/>
    <s v="No"/>
    <s v="Shipped/Received"/>
    <s v="Direct"/>
    <m/>
    <m/>
    <m/>
    <s v="HAPSDCIT20251013-02"/>
    <m/>
    <m/>
    <s v="No"/>
    <n v="5019145351"/>
    <m/>
    <m/>
    <m/>
  </r>
  <r>
    <x v="0"/>
    <x v="0"/>
    <x v="2"/>
    <x v="8"/>
    <d v="2025-10-13T19:00:00"/>
    <s v="0006094748_4900"/>
    <s v="Loading"/>
    <n v="458905"/>
    <s v="Primary flows"/>
    <s v="GIRTEKA FOR SN 3PO"/>
    <m/>
    <m/>
    <s v="No"/>
    <s v="NL Haps DC (DSV)"/>
    <s v="AZA2 - PT Azambuja Ambient"/>
    <n v="33"/>
    <n v="0"/>
    <n v="0"/>
    <n v="0"/>
    <s v="1  01"/>
    <x v="1"/>
    <m/>
    <s v="17/10/2025 08:00-08:00"/>
    <s v="MZ_327"/>
    <n v="0"/>
    <m/>
    <s v="No"/>
    <s v="Shipped/Received"/>
    <s v="Direct"/>
    <m/>
    <m/>
    <m/>
    <s v="HAPSDCPT20251013-01"/>
    <m/>
    <m/>
    <s v="No"/>
    <n v="5019136006"/>
    <s v="NLA_159"/>
    <s v="Akmal Vatanshoev"/>
    <m/>
  </r>
  <r>
    <x v="0"/>
    <x v="0"/>
    <x v="2"/>
    <x v="8"/>
    <d v="2025-10-13T19:00:00"/>
    <s v="0006080897_4900"/>
    <s v="Loading"/>
    <s v="458534 / 453803"/>
    <s v="Primary flows / Primary flows"/>
    <s v="MIERZWA FOR SN 3PO"/>
    <m/>
    <m/>
    <s v="No"/>
    <s v="NL Haps DC (DSV)"/>
    <s v="GRAB - PL Grabica / GRAB - PL Grabica"/>
    <n v="66"/>
    <n v="0"/>
    <n v="0"/>
    <n v="0"/>
    <s v="1  01"/>
    <x v="1"/>
    <m/>
    <s v="20/10/2025 22:00-22:00"/>
    <s v="KRA442PA"/>
    <n v="0"/>
    <m/>
    <s v="No"/>
    <s v="Shipped/Received"/>
    <s v="Direct"/>
    <s v=" / "/>
    <s v=" / "/>
    <m/>
    <s v="HAPSDCPL20251013-01 / HAPSDCPL20251013-01"/>
    <m/>
    <m/>
    <s v="No"/>
    <s v="5019155161 / 5019135796"/>
    <s v="KRA139CK"/>
    <s v="Wies?aw Surman"/>
    <m/>
  </r>
  <r>
    <x v="0"/>
    <x v="0"/>
    <x v="2"/>
    <x v="8"/>
    <d v="2025-10-13T20:00:00"/>
    <s v="0006080898_4900"/>
    <s v="Loading"/>
    <n v="453806"/>
    <s v="Primary flows"/>
    <s v="PIOMAR FOR SN 3PO"/>
    <m/>
    <m/>
    <s v="No"/>
    <s v="NL Haps DC (DSV)"/>
    <s v="GRAB - PL Grabica"/>
    <n v="33"/>
    <n v="0"/>
    <n v="0"/>
    <n v="0"/>
    <s v="1  01"/>
    <x v="1"/>
    <m/>
    <s v="15/10/2025 23:00-23:00"/>
    <m/>
    <n v="0"/>
    <m/>
    <s v="No"/>
    <s v="Shipped/Received"/>
    <s v="Direct"/>
    <m/>
    <m/>
    <m/>
    <s v="HAPSDCPL20251013-02"/>
    <m/>
    <m/>
    <s v="No"/>
    <n v="5019156763"/>
    <m/>
    <m/>
    <m/>
  </r>
  <r>
    <x v="0"/>
    <x v="0"/>
    <x v="2"/>
    <x v="9"/>
    <d v="2025-10-14T06:00:00"/>
    <s v="0006088387_4900"/>
    <s v="Loading"/>
    <n v="459502"/>
    <s v="Primary flows"/>
    <s v="SAMSKIP FOR SN 3PO"/>
    <m/>
    <m/>
    <s v="No"/>
    <s v="NL Haps DC (DSV)"/>
    <s v="REDD - GB Redditch"/>
    <n v="33"/>
    <n v="0"/>
    <n v="0"/>
    <n v="0"/>
    <s v="1  01"/>
    <x v="1"/>
    <m/>
    <s v="20/10/2025 18:00-18:00"/>
    <m/>
    <n v="0"/>
    <m/>
    <s v="No"/>
    <s v="Shipped/Received"/>
    <s v="Direct"/>
    <m/>
    <m/>
    <m/>
    <s v="HAPSDCUK20251014-04"/>
    <m/>
    <m/>
    <s v="No"/>
    <n v="5019135585"/>
    <m/>
    <m/>
    <m/>
  </r>
  <r>
    <x v="0"/>
    <x v="0"/>
    <x v="2"/>
    <x v="9"/>
    <d v="2025-10-14T06:00:00"/>
    <s v="0006095146_4900"/>
    <s v="Loading"/>
    <n v="459109"/>
    <s v="Primary flows"/>
    <s v="SAMSKIP FOR SN 3PO"/>
    <m/>
    <m/>
    <s v="No"/>
    <s v="NL Haps DC (DSV)"/>
    <s v="REDD - GB Redditch"/>
    <n v="33"/>
    <n v="0"/>
    <n v="0"/>
    <n v="0"/>
    <s v="1  01"/>
    <x v="1"/>
    <m/>
    <s v="20/10/2025 23:00-23:00"/>
    <m/>
    <n v="0"/>
    <m/>
    <s v="No"/>
    <s v="Shipped/Received"/>
    <s v="Direct"/>
    <m/>
    <m/>
    <m/>
    <s v="HAPSDCUK20251014-07"/>
    <m/>
    <m/>
    <s v="No"/>
    <n v="5019151751"/>
    <m/>
    <m/>
    <m/>
  </r>
  <r>
    <x v="0"/>
    <x v="0"/>
    <x v="2"/>
    <x v="9"/>
    <d v="2025-10-14T07:00:00"/>
    <s v="0006088386_4900"/>
    <s v="Loading"/>
    <n v="456577"/>
    <s v="Primary flows"/>
    <s v="SAMSKIP FOR SN 3PO"/>
    <m/>
    <m/>
    <s v="No"/>
    <s v="NL Haps DC (DSV)"/>
    <s v="REDD - GB Redditch"/>
    <n v="33"/>
    <n v="0"/>
    <n v="0"/>
    <n v="0"/>
    <s v="1  01"/>
    <x v="1"/>
    <m/>
    <s v="20/10/2025 23:00-23:00"/>
    <m/>
    <n v="0"/>
    <m/>
    <s v="No"/>
    <s v="Shipped/Received"/>
    <s v="Direct"/>
    <m/>
    <m/>
    <m/>
    <s v="HAPSDCUK20251014-03"/>
    <m/>
    <m/>
    <s v="No"/>
    <n v="5019151749"/>
    <m/>
    <m/>
    <m/>
  </r>
  <r>
    <x v="0"/>
    <x v="0"/>
    <x v="2"/>
    <x v="9"/>
    <d v="2025-10-14T08:00:00"/>
    <s v="368970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111739 5019091442  "/>
    <x v="0"/>
    <m/>
    <s v="1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08:00:00"/>
    <s v="371578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90497 LZV"/>
    <x v="1"/>
    <m/>
    <s v="1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08:00:00"/>
    <s v="372156_OOS"/>
    <s v="Loading"/>
    <s v="5019058483_OOS"/>
    <s v="Aval non piloté_EN"/>
    <s v="Eucon"/>
    <m/>
    <m/>
    <s v="No"/>
    <s v="NL Haps DC (DSV)"/>
    <s v="OOS_OUT - Delivery OOS"/>
    <n v="24"/>
    <n v="0"/>
    <n v="0"/>
    <n v="0"/>
    <s v="Wrong delivery to Haps. Should have been to Opole."/>
    <x v="5"/>
    <m/>
    <s v="15/10/2025 14:00-14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2"/>
    <x v="9"/>
    <d v="2025-10-14T09:00:00"/>
    <s v="0006080942_4900"/>
    <s v="Loading"/>
    <n v="459328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9/10/2025 22:00-22:00"/>
    <m/>
    <n v="0"/>
    <m/>
    <s v="No"/>
    <s v="Shipped/Received"/>
    <s v="Direct"/>
    <m/>
    <m/>
    <m/>
    <s v="HAPSDCIE20251014-01"/>
    <m/>
    <m/>
    <s v="No"/>
    <n v="5019153861"/>
    <m/>
    <m/>
    <m/>
  </r>
  <r>
    <x v="0"/>
    <x v="0"/>
    <x v="2"/>
    <x v="9"/>
    <d v="2025-10-14T09:00:00"/>
    <s v="367243_OOS"/>
    <s v="Loading"/>
    <s v="BR-SEA-6078292_OOS"/>
    <s v="Aval non piloté_EN"/>
    <s v="MAERSK - Control Tower"/>
    <m/>
    <m/>
    <s v="No"/>
    <s v="NL Haps DC (DSV)"/>
    <s v="OOS_OUT - Delivery OOS"/>
    <n v="20"/>
    <n v="0"/>
    <n v="0"/>
    <n v="0"/>
    <n v="5019111528"/>
    <x v="0"/>
    <m/>
    <s v="15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110692"/>
  </r>
  <r>
    <x v="0"/>
    <x v="0"/>
    <x v="2"/>
    <x v="9"/>
    <d v="2025-10-14T10:00:00"/>
    <s v="0006080944_4900"/>
    <s v="Loading"/>
    <n v="453857"/>
    <s v="Primary flows"/>
    <s v="SAMSKIP FOR SN 3PO"/>
    <m/>
    <m/>
    <s v="No"/>
    <s v="NL Haps DC (DSV)"/>
    <s v="GREZ - IT Grezzago (Pozzuolo Martesana)"/>
    <n v="33"/>
    <n v="0"/>
    <n v="0"/>
    <n v="0"/>
    <s v="1  01"/>
    <x v="1"/>
    <m/>
    <s v="21/10/2025 23:00-23:00"/>
    <m/>
    <n v="0"/>
    <m/>
    <s v="No"/>
    <s v="Shipped/Received"/>
    <s v="Direct"/>
    <m/>
    <m/>
    <m/>
    <s v="HAPSDCIT20251014-02"/>
    <m/>
    <m/>
    <s v="No"/>
    <n v="5019166921"/>
    <m/>
    <m/>
    <m/>
  </r>
  <r>
    <x v="0"/>
    <x v="0"/>
    <x v="2"/>
    <x v="9"/>
    <d v="2025-10-14T10:00:00"/>
    <s v="372389_OOS"/>
    <s v="Loading"/>
    <s v="Kivits Elshout - Road_OOS"/>
    <s v="Aval non piloté_EN"/>
    <s v="Koopman"/>
    <m/>
    <m/>
    <s v="No"/>
    <s v="NL Haps DC (DSV)"/>
    <s v="OOS_OUT - Delivery OOS"/>
    <n v="33"/>
    <n v="0"/>
    <n v="0"/>
    <n v="0"/>
    <n v="4505790272"/>
    <x v="0"/>
    <m/>
    <s v="15/10/2025 00:00-0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10:00:00"/>
    <s v="367244_OOS"/>
    <s v="Loading"/>
    <s v="BR-SEA-6078293_OOS"/>
    <s v="Aval non piloté_EN"/>
    <s v="MAERSK - Control Tower"/>
    <m/>
    <m/>
    <s v="No"/>
    <s v="NL Haps DC (DSV)"/>
    <s v="OOS_OUT - Delivery OOS"/>
    <n v="20"/>
    <n v="0"/>
    <n v="0"/>
    <n v="0"/>
    <n v="5019114240"/>
    <x v="0"/>
    <m/>
    <s v="15/10/2025 00:02-00:02"/>
    <m/>
    <n v="0"/>
    <m/>
    <s v="No"/>
    <s v="Shipped/Received"/>
    <s v="Direct"/>
    <m/>
    <m/>
    <s v="nutricia.ct.eu@lns.maersk.com"/>
    <m/>
    <m/>
    <m/>
    <s v="No"/>
    <s v="&amp;nbsp"/>
    <m/>
    <m/>
    <n v="260110694"/>
  </r>
  <r>
    <x v="0"/>
    <x v="0"/>
    <x v="2"/>
    <x v="9"/>
    <d v="2025-10-14T11:00:00"/>
    <s v="367245_OOS"/>
    <s v="Loading"/>
    <s v="BR-SEA-6078294_OOS"/>
    <s v="Aval non piloté_EN"/>
    <s v="MAERSK - Control Tower"/>
    <m/>
    <m/>
    <s v="No"/>
    <s v="NL Haps DC (DSV)"/>
    <s v="OOS_OUT - Delivery OOS"/>
    <n v="20"/>
    <n v="0"/>
    <n v="0"/>
    <n v="0"/>
    <n v="5019114241"/>
    <x v="0"/>
    <m/>
    <s v="15/10/2025 00:02-00:02"/>
    <m/>
    <n v="0"/>
    <m/>
    <s v="No"/>
    <s v="Shipped/Received"/>
    <s v="Direct"/>
    <m/>
    <m/>
    <s v="nutricia.ct.eu@lns.maersk.com"/>
    <m/>
    <m/>
    <m/>
    <s v="No"/>
    <s v="&amp;nbsp"/>
    <m/>
    <m/>
    <n v="260110696"/>
  </r>
  <r>
    <x v="0"/>
    <x v="0"/>
    <x v="2"/>
    <x v="9"/>
    <d v="2025-10-14T11:00:00"/>
    <s v="369277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176164"/>
    <x v="0"/>
    <m/>
    <s v="15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2"/>
    <x v="9"/>
    <d v="2025-10-14T11:00:00"/>
    <s v="0006088388_4900"/>
    <s v="Loading"/>
    <n v="459498"/>
    <s v="Primary flows"/>
    <s v="SAMSKIP FOR SN 3PO"/>
    <m/>
    <m/>
    <s v="No"/>
    <s v="NL Haps DC (DSV)"/>
    <s v="REDD - GB Redditch"/>
    <n v="33"/>
    <n v="0"/>
    <n v="0"/>
    <n v="0"/>
    <s v="1  01"/>
    <x v="1"/>
    <m/>
    <s v="20/10/2025 18:00-18:00"/>
    <m/>
    <n v="0"/>
    <m/>
    <s v="No"/>
    <s v="Shipped/Received"/>
    <s v="Direct"/>
    <m/>
    <m/>
    <m/>
    <s v="HAPSDCUK20251014-05"/>
    <m/>
    <m/>
    <s v="No"/>
    <n v="5019169881"/>
    <m/>
    <m/>
    <m/>
  </r>
  <r>
    <x v="0"/>
    <x v="0"/>
    <x v="2"/>
    <x v="9"/>
    <d v="2025-10-14T12:00:00"/>
    <s v="368980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111740 5019095837"/>
    <x v="0"/>
    <m/>
    <s v="1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12:00:00"/>
    <s v="0006095145_4900"/>
    <s v="Loading"/>
    <n v="459108"/>
    <s v="Primary flows"/>
    <s v="SAMSKIP FOR SN 3PO"/>
    <m/>
    <m/>
    <s v="No"/>
    <s v="NL Haps DC (DSV)"/>
    <s v="REDD - GB Redditch"/>
    <n v="33"/>
    <n v="0"/>
    <n v="0"/>
    <n v="0"/>
    <s v="1  01"/>
    <x v="1"/>
    <m/>
    <s v="20/10/2025 23:00-23:00"/>
    <m/>
    <n v="0"/>
    <m/>
    <s v="No"/>
    <s v="Shipped/Received"/>
    <s v="Direct"/>
    <m/>
    <m/>
    <m/>
    <s v="HAPSDCUK20251014-06"/>
    <m/>
    <m/>
    <s v="No"/>
    <n v="5019150110"/>
    <m/>
    <m/>
    <m/>
  </r>
  <r>
    <x v="0"/>
    <x v="0"/>
    <x v="2"/>
    <x v="9"/>
    <d v="2025-10-14T12:00:00"/>
    <s v="0006088385_4900"/>
    <s v="Loading"/>
    <n v="456568"/>
    <s v="Primary flows"/>
    <s v="SAMSKIP FOR SN 3PO"/>
    <m/>
    <m/>
    <s v="No"/>
    <s v="NL Haps DC (DSV)"/>
    <s v="REDD - GB Redditch"/>
    <n v="33"/>
    <n v="0"/>
    <n v="0"/>
    <n v="0"/>
    <s v="1  01"/>
    <x v="1"/>
    <m/>
    <s v="20/10/2025 23:00-23:00"/>
    <m/>
    <n v="0"/>
    <m/>
    <s v="No"/>
    <s v="Shipped/Received"/>
    <s v="Direct"/>
    <m/>
    <m/>
    <m/>
    <s v="HAPSDCUK20251014-02"/>
    <m/>
    <m/>
    <s v="No"/>
    <n v="5019154072"/>
    <m/>
    <m/>
    <m/>
  </r>
  <r>
    <x v="0"/>
    <x v="0"/>
    <x v="2"/>
    <x v="9"/>
    <d v="2025-10-14T13:00:00"/>
    <s v="368981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90248 5018963081 5019018361 5019011622 5018996950 5019083219"/>
    <x v="0"/>
    <m/>
    <s v="1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13:00:00"/>
    <s v="0006088384_4900"/>
    <s v="Loading"/>
    <n v="456583"/>
    <s v="Primary flows"/>
    <s v="LKW WALTER FOR SN 3PO"/>
    <m/>
    <m/>
    <s v="No"/>
    <s v="NL Haps DC (DSV)"/>
    <s v="REDD - GB Redditch"/>
    <n v="33"/>
    <n v="0"/>
    <n v="0"/>
    <n v="0"/>
    <s v="1  01"/>
    <x v="1"/>
    <m/>
    <s v="16/10/2025 13:00-13:00"/>
    <m/>
    <n v="0"/>
    <m/>
    <s v="No"/>
    <s v="Shipped/Received"/>
    <s v="Direct"/>
    <m/>
    <m/>
    <m/>
    <s v="HAPSDCUK20251014-01"/>
    <m/>
    <m/>
    <s v="No"/>
    <n v="5019150594"/>
    <m/>
    <m/>
    <m/>
  </r>
  <r>
    <x v="0"/>
    <x v="0"/>
    <x v="2"/>
    <x v="9"/>
    <d v="2025-10-14T13:00:00"/>
    <s v="370329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01214"/>
    <x v="0"/>
    <m/>
    <s v="1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14:00:00"/>
    <s v="368982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096427 5019111016 5019093306"/>
    <x v="0"/>
    <m/>
    <s v="1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14:00:00"/>
    <s v="0006080910_4900"/>
    <s v="Loading"/>
    <n v="453823"/>
    <s v="Primary flows"/>
    <s v="ECS FOR SN 3PO"/>
    <m/>
    <m/>
    <s v="No"/>
    <s v="NL Haps DC (DSV)"/>
    <s v="MOUS - FR Moussy-Le-Neuf"/>
    <n v="33"/>
    <n v="0"/>
    <n v="0"/>
    <n v="0"/>
    <s v="1  01"/>
    <x v="1"/>
    <m/>
    <s v="15/10/2025 10:30-10:30"/>
    <m/>
    <n v="0"/>
    <m/>
    <s v="No"/>
    <s v="Shipped/Received"/>
    <s v="Direct"/>
    <m/>
    <m/>
    <m/>
    <s v="HAPSDCFR20251014-02"/>
    <m/>
    <m/>
    <s v="No"/>
    <n v="5019151941"/>
    <m/>
    <m/>
    <m/>
  </r>
  <r>
    <x v="0"/>
    <x v="0"/>
    <x v="2"/>
    <x v="9"/>
    <d v="2025-10-14T14:00:00"/>
    <s v="370758_OOS"/>
    <s v="Loading"/>
    <s v="AU-AIR_OOS"/>
    <s v="Aval non piloté_EN"/>
    <s v="HELLMANN"/>
    <m/>
    <m/>
    <s v="No"/>
    <s v="NL Haps DC (DSV)"/>
    <s v="OOS_OUT - Delivery OOS"/>
    <n v="4"/>
    <n v="0"/>
    <n v="0"/>
    <n v="0"/>
    <s v="AU 5019095590 5019070763"/>
    <x v="2"/>
    <m/>
    <s v="1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14:00:00"/>
    <s v="370330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093356"/>
    <x v="0"/>
    <m/>
    <s v="1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9"/>
    <d v="2025-10-14T15:00:00"/>
    <s v="0006080905_4900"/>
    <s v="Loading"/>
    <n v="453885"/>
    <s v="Primary flows"/>
    <s v="LKW WALTER FOR SN 3PO"/>
    <m/>
    <m/>
    <s v="No"/>
    <s v="NL Haps DC (DSV)"/>
    <s v="ALZE - DE Alzenau"/>
    <n v="33"/>
    <n v="0"/>
    <n v="0"/>
    <n v="0"/>
    <s v="1  01"/>
    <x v="1"/>
    <m/>
    <s v="15/10/2025 10:00-10:00"/>
    <m/>
    <n v="0"/>
    <m/>
    <s v="No"/>
    <s v="Shipped/Received"/>
    <s v="Direct"/>
    <m/>
    <m/>
    <m/>
    <s v="HAPSDCDE20251014-02"/>
    <m/>
    <m/>
    <s v="No"/>
    <n v="5019166965"/>
    <m/>
    <m/>
    <m/>
  </r>
  <r>
    <x v="0"/>
    <x v="0"/>
    <x v="2"/>
    <x v="9"/>
    <d v="2025-10-14T16:00:00"/>
    <s v="0006080906_4900"/>
    <s v="Loading"/>
    <n v="453883"/>
    <s v="Primary flows"/>
    <s v="LKW WALTER FOR SN 3PO"/>
    <m/>
    <m/>
    <s v="No"/>
    <s v="NL Haps DC (DSV)"/>
    <s v="ALZE - DE Alzenau"/>
    <n v="33"/>
    <n v="0"/>
    <n v="0"/>
    <n v="0"/>
    <s v="1  01"/>
    <x v="1"/>
    <m/>
    <s v="15/10/2025 10:00-10:00"/>
    <m/>
    <n v="0"/>
    <m/>
    <s v="No"/>
    <s v="Shipped/Received"/>
    <s v="Direct"/>
    <m/>
    <m/>
    <m/>
    <s v="HAPSDCDE20251014-03"/>
    <m/>
    <m/>
    <s v="No"/>
    <n v="5019169120"/>
    <m/>
    <m/>
    <m/>
  </r>
  <r>
    <x v="0"/>
    <x v="0"/>
    <x v="2"/>
    <x v="9"/>
    <d v="2025-10-14T16:00:00"/>
    <s v="0006080908_4900"/>
    <s v="Loading"/>
    <s v="459300 / 453841"/>
    <s v="Primary flows / Primary flows"/>
    <s v="P AND O FOR SN 3PO"/>
    <m/>
    <m/>
    <s v="No"/>
    <s v="NL Haps DC (DSV)"/>
    <s v="TAMP - FI Tampere / TAMP - FI Tampere"/>
    <n v="66"/>
    <n v="0"/>
    <n v="0"/>
    <n v="0"/>
    <s v="1  01"/>
    <x v="1"/>
    <m/>
    <s v="21/10/2025 13:00-13:00"/>
    <m/>
    <n v="0"/>
    <m/>
    <s v="No"/>
    <s v="Shipped/Received"/>
    <s v="Direct"/>
    <s v=" / "/>
    <s v=" / "/>
    <m/>
    <s v="HAPSDCFI20251014-01 / HAPSDCFI20251014-01"/>
    <m/>
    <m/>
    <s v="No"/>
    <s v="5019161084 / 5019148588"/>
    <m/>
    <m/>
    <m/>
  </r>
  <r>
    <x v="0"/>
    <x v="0"/>
    <x v="2"/>
    <x v="9"/>
    <d v="2025-10-14T17:00:00"/>
    <s v="0006080907_4900"/>
    <s v="Loading"/>
    <n v="453847"/>
    <s v="Primary flows"/>
    <s v="KREISS FOR SN 3PO"/>
    <m/>
    <m/>
    <s v="No"/>
    <s v="NL Haps DC (DSV)"/>
    <s v="CIE2 - ES Ciempozuelos SN"/>
    <n v="33"/>
    <n v="0"/>
    <n v="0"/>
    <n v="0"/>
    <s v="1  01"/>
    <x v="1"/>
    <m/>
    <s v="17/10/2025 14:00-14:00"/>
    <m/>
    <n v="0"/>
    <m/>
    <s v="No"/>
    <s v="Shipped/Received"/>
    <s v="Direct"/>
    <m/>
    <m/>
    <m/>
    <s v="HAPSDCES20251014-01"/>
    <m/>
    <m/>
    <s v="No"/>
    <n v="5019158034"/>
    <m/>
    <m/>
    <m/>
  </r>
  <r>
    <x v="0"/>
    <x v="0"/>
    <x v="2"/>
    <x v="9"/>
    <d v="2025-10-14T17:00:00"/>
    <s v="0006080948_4900"/>
    <s v="Loading"/>
    <s v="459302 / 453879"/>
    <s v="Primary flows / Primary flows"/>
    <s v="LKW WALTER FOR SN 3PO HVO"/>
    <m/>
    <m/>
    <s v="No"/>
    <s v="NL Haps DC (DSV)"/>
    <s v="HELS - SE Helsingborg / HELS - SE Helsingborg"/>
    <n v="66"/>
    <n v="0"/>
    <n v="0"/>
    <n v="0"/>
    <s v="1  01"/>
    <x v="1"/>
    <m/>
    <s v="21/10/2025 16:00-16:00"/>
    <m/>
    <n v="0"/>
    <m/>
    <s v="No"/>
    <s v="Shipped/Received"/>
    <s v="Direct"/>
    <s v=" / "/>
    <s v=" / "/>
    <m/>
    <s v="HAPSDCSE20251014-01 / HAPSDCSE20251014-01"/>
    <m/>
    <m/>
    <s v="No"/>
    <s v="5019167480 / 5019162535"/>
    <m/>
    <m/>
    <m/>
  </r>
  <r>
    <x v="0"/>
    <x v="0"/>
    <x v="2"/>
    <x v="9"/>
    <d v="2025-10-14T17:00:00"/>
    <s v="0006080909_4900"/>
    <s v="Loading"/>
    <n v="453832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5/10/2025 11:00-11:00"/>
    <m/>
    <n v="0"/>
    <m/>
    <s v="No"/>
    <s v="Shipped/Received"/>
    <s v="Direct"/>
    <m/>
    <m/>
    <m/>
    <s v="HAPSDCFR20251014-01"/>
    <m/>
    <m/>
    <s v="No"/>
    <n v="5019145049"/>
    <m/>
    <m/>
    <m/>
  </r>
  <r>
    <x v="0"/>
    <x v="0"/>
    <x v="2"/>
    <x v="9"/>
    <d v="2025-10-14T18:00:00"/>
    <s v="0006080904_4900"/>
    <s v="Loading"/>
    <n v="453826"/>
    <s v="Primary flows"/>
    <s v="LKW WALTER FOR SN 3PO"/>
    <m/>
    <m/>
    <s v="No"/>
    <s v="NL Haps DC (DSV)"/>
    <s v="ALZE - DE Alzenau"/>
    <n v="33"/>
    <n v="0"/>
    <n v="0"/>
    <n v="0"/>
    <s v="1  01"/>
    <x v="1"/>
    <m/>
    <s v="15/10/2025 10:00-10:00"/>
    <m/>
    <n v="0"/>
    <m/>
    <s v="No"/>
    <s v="Shipped/Received"/>
    <s v="Direct"/>
    <m/>
    <m/>
    <m/>
    <s v="HAPSDCDE20251014-01"/>
    <m/>
    <m/>
    <s v="No"/>
    <n v="5019167964"/>
    <m/>
    <m/>
    <m/>
  </r>
  <r>
    <x v="0"/>
    <x v="0"/>
    <x v="2"/>
    <x v="9"/>
    <d v="2025-10-14T18:00:00"/>
    <s v="0006080945_4900"/>
    <s v="Loading"/>
    <s v="459305 / 453869"/>
    <s v="Primary flows / Primary flows"/>
    <s v="VLANTANA FOR SN 3PO"/>
    <m/>
    <m/>
    <s v="No"/>
    <s v="NL Haps DC (DSV)"/>
    <s v="RIGA - LV Riga (EUGESTA SIA) / RIGA - LV Riga (EUGESTA SIA)"/>
    <n v="66"/>
    <n v="0"/>
    <n v="0"/>
    <n v="0"/>
    <s v="1  01"/>
    <x v="1"/>
    <m/>
    <s v="17/10/2025 14:30-14:30"/>
    <m/>
    <n v="0"/>
    <m/>
    <s v="No"/>
    <s v="Shipped/Received"/>
    <s v="Direct"/>
    <s v=" / "/>
    <s v=" / "/>
    <m/>
    <s v="HAPSDCLV20251014-01 / HAPSDCLV20251014-01"/>
    <m/>
    <m/>
    <s v="No"/>
    <s v="5019157011 / 5019149909"/>
    <m/>
    <m/>
    <m/>
  </r>
  <r>
    <x v="0"/>
    <x v="0"/>
    <x v="2"/>
    <x v="9"/>
    <d v="2025-10-14T18:00:00"/>
    <s v="0006080941_4900"/>
    <s v="Loading"/>
    <s v="459304 / 453889"/>
    <s v="Primary flows / Primary flows"/>
    <s v="ECS FOR SN 3PO"/>
    <m/>
    <m/>
    <s v="No"/>
    <s v="NL Haps DC (DSV)"/>
    <s v="MOUS - FR Moussy-Le-Neuf / MOUS - FR Moussy-Le-Neuf"/>
    <n v="66"/>
    <n v="0"/>
    <n v="0"/>
    <n v="0"/>
    <s v="1  01"/>
    <x v="1"/>
    <m/>
    <s v="15/10/2025 13:00-13:00"/>
    <m/>
    <n v="0"/>
    <m/>
    <s v="No"/>
    <s v="Shipped/Received"/>
    <s v="Direct"/>
    <s v=" / "/>
    <s v=" / "/>
    <m/>
    <s v="HAPSDCFR20251014-03 / HAPSDCFR20251014-03"/>
    <m/>
    <m/>
    <s v="No"/>
    <s v="5019153892 / 5019144150"/>
    <m/>
    <m/>
    <m/>
  </r>
  <r>
    <x v="0"/>
    <x v="0"/>
    <x v="2"/>
    <x v="9"/>
    <d v="2025-10-14T19:00:00"/>
    <s v="0006080947_4900"/>
    <s v="Loading"/>
    <n v="453830"/>
    <s v="Primary flows"/>
    <s v="MIERZWA FOR SN 3PO"/>
    <m/>
    <m/>
    <s v="No"/>
    <s v="NL Haps DC (DSV)"/>
    <s v="GRAB - PL Grabica"/>
    <n v="33"/>
    <n v="0"/>
    <n v="0"/>
    <n v="0"/>
    <s v="1  01"/>
    <x v="1"/>
    <m/>
    <s v="21/10/2025 21:00-21:00"/>
    <s v="KRA8183P"/>
    <n v="0"/>
    <m/>
    <s v="No"/>
    <s v="Shipped/Received"/>
    <s v="Direct"/>
    <m/>
    <m/>
    <m/>
    <s v="HAPSDCPL20251014-02"/>
    <m/>
    <m/>
    <s v="No"/>
    <n v="5019148031"/>
    <s v="WPR6284T"/>
    <s v="Janik Pawe? "/>
    <m/>
  </r>
  <r>
    <x v="0"/>
    <x v="0"/>
    <x v="2"/>
    <x v="9"/>
    <d v="2025-10-14T19:00:00"/>
    <s v="0006080943_4900"/>
    <s v="Loading"/>
    <s v="453874 / 458902"/>
    <s v="Primary flows / Primary flows"/>
    <s v="ECS FOR SN 3PO"/>
    <m/>
    <m/>
    <s v="No"/>
    <s v="NL Haps DC (DSV)"/>
    <s v="GREZ - IT Grezzago (Pozzuolo Martesana) / CODO - IT Codogno"/>
    <n v="66"/>
    <n v="0"/>
    <n v="0"/>
    <n v="0"/>
    <s v="1 01"/>
    <x v="1"/>
    <m/>
    <s v="21/10/2025 21:00-21:00 / 21/10/2025 18:00-18:00"/>
    <s v="QATH491"/>
    <n v="0"/>
    <m/>
    <s v="No"/>
    <s v="Shipped/Received"/>
    <s v="Direct"/>
    <s v=" / "/>
    <s v=" / "/>
    <m/>
    <s v="HAPSDCIT20251014-01 / HAPSDCIT20251014-01"/>
    <m/>
    <m/>
    <s v="No"/>
    <s v="5019151990 / 5019163337"/>
    <s v="MDN736             "/>
    <s v="Aliaksei Mezurnishvil"/>
    <m/>
  </r>
  <r>
    <x v="0"/>
    <x v="0"/>
    <x v="2"/>
    <x v="9"/>
    <d v="2025-10-14T19:00:00"/>
    <s v="0006091977_4900"/>
    <s v="Loading"/>
    <n v="457739"/>
    <s v="Primary flows"/>
    <s v="GIRTEKA FOR SN 3PO"/>
    <m/>
    <m/>
    <s v="No"/>
    <s v="NL Haps DC (DSV)"/>
    <s v="ALZE - DE Alzenau"/>
    <n v="33"/>
    <n v="0"/>
    <n v="0"/>
    <n v="0"/>
    <s v="1  01"/>
    <x v="1"/>
    <m/>
    <s v="15/10/2025 14:00-14:00"/>
    <m/>
    <n v="0"/>
    <m/>
    <s v="No"/>
    <s v="Shipped/Received"/>
    <s v="Direct"/>
    <m/>
    <m/>
    <m/>
    <s v="HAPSDCDE20251014-04"/>
    <m/>
    <m/>
    <s v="No"/>
    <n v="5019167965"/>
    <m/>
    <m/>
    <m/>
  </r>
  <r>
    <x v="0"/>
    <x v="0"/>
    <x v="2"/>
    <x v="9"/>
    <d v="2025-10-14T20:00:00"/>
    <s v="0006080946_4900"/>
    <s v="Loading"/>
    <n v="453854"/>
    <s v="Primary flows"/>
    <s v="PIOMAR FOR SN 3PO"/>
    <m/>
    <m/>
    <s v="No"/>
    <s v="NL Haps DC (DSV)"/>
    <s v="GRAB - PL Grabica"/>
    <n v="33"/>
    <n v="0"/>
    <n v="0"/>
    <n v="0"/>
    <s v="1  01"/>
    <x v="1"/>
    <m/>
    <s v="17/10/2025 21:00-21:00"/>
    <s v="OP1621T"/>
    <n v="0"/>
    <m/>
    <s v="No"/>
    <s v="Shipped/Received"/>
    <s v="Direct"/>
    <m/>
    <m/>
    <m/>
    <s v="HAPSDCPL20251014-01"/>
    <m/>
    <m/>
    <s v="No"/>
    <n v="5019159431"/>
    <s v="OKR56V7"/>
    <s v="BURDZINSKI JAN"/>
    <m/>
  </r>
  <r>
    <x v="0"/>
    <x v="0"/>
    <x v="2"/>
    <x v="10"/>
    <d v="2025-10-15T06:00:00"/>
    <s v="0006088391_4900"/>
    <s v="Loading"/>
    <n v="459499"/>
    <s v="Primary flows"/>
    <s v="SAMSKIP FOR SN 3PO"/>
    <m/>
    <m/>
    <s v="No"/>
    <s v="NL Haps DC (DSV)"/>
    <s v="REDD - GB Redditch"/>
    <n v="33"/>
    <n v="0"/>
    <n v="0"/>
    <n v="0"/>
    <s v="1  01"/>
    <x v="1"/>
    <m/>
    <s v="21/10/2025 23:00-23:00"/>
    <m/>
    <n v="0"/>
    <m/>
    <s v="No"/>
    <s v="Shipped/Received"/>
    <s v="Direct"/>
    <m/>
    <m/>
    <m/>
    <s v="HAPSDCUK20251015-03"/>
    <m/>
    <m/>
    <s v="No"/>
    <n v="5019130075"/>
    <m/>
    <m/>
    <m/>
  </r>
  <r>
    <x v="0"/>
    <x v="0"/>
    <x v="2"/>
    <x v="10"/>
    <d v="2025-10-15T06:00:00"/>
    <s v="0006095320_4900"/>
    <s v="Loading"/>
    <n v="459303"/>
    <s v="Primary flows"/>
    <s v="SAMSKIP FOR SN 3PO"/>
    <m/>
    <m/>
    <s v="No"/>
    <s v="NL Haps DC (DSV)"/>
    <s v="REDD - GB Redditch"/>
    <n v="33"/>
    <n v="0"/>
    <n v="0"/>
    <n v="0"/>
    <s v="1  01"/>
    <x v="1"/>
    <m/>
    <s v="21/10/2025 23:00-23:00"/>
    <m/>
    <n v="0"/>
    <m/>
    <s v="No"/>
    <s v="Shipped/Received"/>
    <s v="Direct"/>
    <m/>
    <m/>
    <m/>
    <s v="HAPSDCUK20251015-05"/>
    <m/>
    <m/>
    <s v="No"/>
    <n v="5019135809"/>
    <m/>
    <m/>
    <m/>
  </r>
  <r>
    <x v="0"/>
    <x v="0"/>
    <x v="2"/>
    <x v="10"/>
    <d v="2025-10-15T07:00:00"/>
    <s v="373031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190410"/>
    <x v="2"/>
    <m/>
    <s v="16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07:00:00"/>
    <s v="371579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92157 &amp; 5019176115 LZV"/>
    <x v="1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07:00:00"/>
    <s v="0006088392_4900"/>
    <s v="Loading"/>
    <s v="459505 / 459504"/>
    <s v="Primary flows / Primary flows"/>
    <s v="SAMSKIP FOR SN 3PO"/>
    <m/>
    <m/>
    <s v="No"/>
    <s v="NL Haps DC (DSV)"/>
    <s v="REDD - GB Redditch / REDD - GB Redditch"/>
    <n v="66"/>
    <n v="0"/>
    <n v="0"/>
    <n v="0"/>
    <s v="1  01"/>
    <x v="1"/>
    <m/>
    <s v="21/10/2025 23:00-23:00"/>
    <m/>
    <n v="0"/>
    <m/>
    <s v="No"/>
    <s v="Shipped/Received"/>
    <s v="Direct"/>
    <s v=" / "/>
    <s v=" / "/>
    <m/>
    <s v="HAPSDCUK20251015-04 / HAPSDCUK20251015-04"/>
    <m/>
    <m/>
    <s v="No"/>
    <s v="5019071030 / 5019080632"/>
    <m/>
    <m/>
    <m/>
  </r>
  <r>
    <x v="0"/>
    <x v="0"/>
    <x v="2"/>
    <x v="10"/>
    <d v="2025-10-15T08:00:00"/>
    <s v="370572_OOS"/>
    <s v="Loading"/>
    <s v="CI - SEA_OOS"/>
    <s v="Aval non piloté_EN"/>
    <s v="GEODIS"/>
    <m/>
    <m/>
    <s v="No"/>
    <s v="NL Haps DC (DSV)"/>
    <s v="OOS_OUT - Delivery OOS"/>
    <n v="20"/>
    <n v="0"/>
    <n v="0"/>
    <n v="0"/>
    <s v="DN 5019131340"/>
    <x v="0"/>
    <m/>
    <s v="16/10/2025 09:00-09:00"/>
    <m/>
    <n v="0"/>
    <m/>
    <s v="No"/>
    <s v="Shipped/Received"/>
    <s v="Direct"/>
    <m/>
    <m/>
    <s v="nutricia-booking.ff.nl@geodis.com"/>
    <m/>
    <m/>
    <m/>
    <s v="No"/>
    <s v="&amp;nbsp"/>
    <m/>
    <s v="IVORY COAST"/>
    <s v="SRTMS"/>
  </r>
  <r>
    <x v="0"/>
    <x v="0"/>
    <x v="2"/>
    <x v="10"/>
    <d v="2025-10-15T08:00:00"/>
    <s v="0006080964_4900"/>
    <s v="Loading"/>
    <n v="453877"/>
    <s v="Primary flows"/>
    <s v="SAMSKIP FOR SN 3PO"/>
    <m/>
    <m/>
    <s v="No"/>
    <s v="NL Haps DC (DSV)"/>
    <s v="VEST - NO Vestby Leman"/>
    <n v="33"/>
    <n v="0"/>
    <n v="0"/>
    <n v="0"/>
    <s v="1  01"/>
    <x v="1"/>
    <m/>
    <s v="17/10/2025 15:00-15:00"/>
    <m/>
    <n v="0"/>
    <m/>
    <s v="No"/>
    <s v="Shipped/Received"/>
    <s v="Direct"/>
    <m/>
    <m/>
    <m/>
    <s v="HAPSDCNO20251015-02"/>
    <m/>
    <m/>
    <s v="No"/>
    <n v="5019166113"/>
    <m/>
    <m/>
    <m/>
  </r>
  <r>
    <x v="0"/>
    <x v="0"/>
    <x v="2"/>
    <x v="10"/>
    <d v="2025-10-15T08:00:00"/>
    <s v="354103_OOS"/>
    <s v="Loading"/>
    <s v="HK-SEA-6029859_OOS"/>
    <s v="Aval non piloté_EN"/>
    <s v="MAERSK - Control Tower"/>
    <m/>
    <m/>
    <s v="No"/>
    <s v="NL Haps DC (DSV)"/>
    <s v="OOS_OUT - Delivery OOS"/>
    <n v="20"/>
    <n v="0"/>
    <n v="0"/>
    <n v="0"/>
    <n v="5019124962"/>
    <x v="0"/>
    <m/>
    <s v="16/10/2025 00:01-00:01"/>
    <m/>
    <n v="0"/>
    <m/>
    <s v="No"/>
    <s v="Shipped/Received"/>
    <s v="Direct"/>
    <m/>
    <m/>
    <s v="3POeuropect@lns.maersk.com"/>
    <m/>
    <m/>
    <m/>
    <s v="No"/>
    <s v="&amp;nbsp"/>
    <m/>
    <m/>
    <n v="258771769"/>
  </r>
  <r>
    <x v="0"/>
    <x v="0"/>
    <x v="2"/>
    <x v="10"/>
    <d v="2025-10-15T09:00:00"/>
    <s v="0006080963_4900"/>
    <s v="Loading"/>
    <s v="460307 / 453866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7/10/2025 14:00-14:00"/>
    <m/>
    <n v="0"/>
    <m/>
    <s v="No"/>
    <s v="Shipped/Received"/>
    <s v="Direct"/>
    <s v=" / "/>
    <s v=" / "/>
    <m/>
    <s v="HAPSDCNO20251015-01 / HAPSDCNO20251015-01"/>
    <m/>
    <m/>
    <s v="No"/>
    <s v="5019190129 / 5019180087"/>
    <m/>
    <m/>
    <m/>
  </r>
  <r>
    <x v="0"/>
    <x v="0"/>
    <x v="2"/>
    <x v="10"/>
    <d v="2025-10-15T09:00:00"/>
    <s v="371204_OOS"/>
    <s v="Loading"/>
    <s v="HK-AIR_OOS"/>
    <s v="Aval non piloté_EN"/>
    <s v="HELLMANN"/>
    <m/>
    <m/>
    <s v="No"/>
    <s v="NL Haps DC (DSV)"/>
    <s v="OOS_OUT - Delivery OOS"/>
    <n v="32"/>
    <n v="0"/>
    <n v="0"/>
    <n v="0"/>
    <s v="HK 5019096580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09:00:00"/>
    <s v="367246_OOS"/>
    <s v="Loading"/>
    <s v="BR-SEA-6078295_OOS"/>
    <s v="Aval non piloté_EN"/>
    <s v="MAERSK - Control Tower"/>
    <m/>
    <m/>
    <s v="No"/>
    <s v="NL Haps DC (DSV)"/>
    <s v="OOS_OUT - Delivery OOS"/>
    <n v="20"/>
    <n v="0"/>
    <n v="0"/>
    <n v="0"/>
    <n v="5019111529"/>
    <x v="0"/>
    <m/>
    <s v="16/10/2025 00:02-00:02"/>
    <m/>
    <n v="0"/>
    <m/>
    <s v="No"/>
    <s v="Shipped/Received"/>
    <s v="Direct"/>
    <m/>
    <m/>
    <s v="nutricia.ct.eu@lns.maersk.com"/>
    <m/>
    <m/>
    <m/>
    <s v="No"/>
    <s v="&amp;nbsp"/>
    <m/>
    <m/>
    <n v="260110699"/>
  </r>
  <r>
    <x v="0"/>
    <x v="0"/>
    <x v="2"/>
    <x v="10"/>
    <d v="2025-10-15T10:00:00"/>
    <s v="371205_OOS"/>
    <s v="Loading"/>
    <s v="HK-AIR_OOS"/>
    <s v="Aval non piloté_EN"/>
    <s v="HELLMANN"/>
    <m/>
    <m/>
    <s v="No"/>
    <s v="NL Haps DC (DSV)"/>
    <s v="OOS_OUT - Delivery OOS"/>
    <n v="31"/>
    <n v="0"/>
    <n v="0"/>
    <n v="0"/>
    <s v="HK 5019087998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0:00:00"/>
    <s v="367247_OOS"/>
    <s v="Loading"/>
    <s v="BR-SEA-6078296_OOS"/>
    <s v="Aval non piloté_EN"/>
    <s v="MAERSK - Control Tower"/>
    <m/>
    <m/>
    <s v="No"/>
    <s v="NL Haps DC (DSV)"/>
    <s v="OOS_OUT - Delivery OOS"/>
    <n v="20"/>
    <n v="0"/>
    <n v="0"/>
    <n v="0"/>
    <n v="5019100335"/>
    <x v="0"/>
    <m/>
    <s v="16/10/2025 00:02-00:02"/>
    <m/>
    <n v="0"/>
    <m/>
    <s v="No"/>
    <s v="Shipped/Received"/>
    <s v="Direct"/>
    <m/>
    <m/>
    <s v="nutricia.ct.eu@lns.maersk.com"/>
    <m/>
    <m/>
    <m/>
    <s v="No"/>
    <s v="&amp;nbsp"/>
    <m/>
    <m/>
    <n v="260110704"/>
  </r>
  <r>
    <x v="0"/>
    <x v="0"/>
    <x v="2"/>
    <x v="10"/>
    <d v="2025-10-15T10:00:00"/>
    <s v="0006080961_4900"/>
    <s v="Loading"/>
    <n v="453849"/>
    <s v="Primary flows"/>
    <s v="SAMSKIP FOR SN 3PO"/>
    <m/>
    <m/>
    <s v="No"/>
    <s v="NL Haps DC (DSV)"/>
    <s v="BELF - IE Belfast (Moviento)"/>
    <n v="33"/>
    <n v="0"/>
    <n v="0"/>
    <n v="0"/>
    <s v="1  01"/>
    <x v="1"/>
    <m/>
    <s v="17/10/2025 16:00-16:00"/>
    <m/>
    <n v="0"/>
    <m/>
    <s v="No"/>
    <s v="Shipped/Received"/>
    <s v="Direct"/>
    <m/>
    <m/>
    <m/>
    <s v="HAPSDCIE20251015-01"/>
    <m/>
    <m/>
    <s v="No"/>
    <n v="5019180209"/>
    <m/>
    <m/>
    <m/>
  </r>
  <r>
    <x v="0"/>
    <x v="0"/>
    <x v="2"/>
    <x v="10"/>
    <d v="2025-10-15T10:00:00"/>
    <s v="364710_OOS"/>
    <s v="Loading"/>
    <s v="AU-SEA-6068699_OOS"/>
    <s v="Aval non piloté_EN"/>
    <s v="MAERSK - Control Tower"/>
    <m/>
    <m/>
    <s v="No"/>
    <s v="NL Haps DC (DSV)"/>
    <s v="OOS_OUT - Delivery OOS"/>
    <n v="20"/>
    <n v="0"/>
    <n v="0"/>
    <n v="0"/>
    <n v="5019113319"/>
    <x v="0"/>
    <m/>
    <s v="16/10/2025 00:02-00:02"/>
    <m/>
    <n v="0"/>
    <m/>
    <s v="No"/>
    <s v="Shipped/Received"/>
    <s v="Direct"/>
    <m/>
    <m/>
    <s v="nutricia.ct.eu@lns.maersk.com"/>
    <m/>
    <m/>
    <m/>
    <s v="No"/>
    <s v="&amp;nbsp"/>
    <m/>
    <m/>
    <n v="259813646"/>
  </r>
  <r>
    <x v="0"/>
    <x v="0"/>
    <x v="2"/>
    <x v="10"/>
    <d v="2025-10-15T11:00:00"/>
    <s v="370757_OOS"/>
    <s v="Loading"/>
    <s v="NWW-ROAD_OOS"/>
    <s v="Aval non piloté_EN"/>
    <s v="Kuehne   Nagel Logistics B.V."/>
    <m/>
    <m/>
    <s v="No"/>
    <s v="NL Haps DC (DSV)"/>
    <s v="OOS_OUT - Delivery OOS"/>
    <n v="3"/>
    <n v="0"/>
    <n v="0"/>
    <n v="0"/>
    <n v="5019091751"/>
    <x v="2"/>
    <m/>
    <s v="16/10/2025 12:00-12:00"/>
    <m/>
    <n v="0"/>
    <m/>
    <s v="No"/>
    <s v="Shipped/Received"/>
    <s v="Direct"/>
    <m/>
    <m/>
    <s v="knmoe.forwarding@kuehne-nagel.com"/>
    <m/>
    <m/>
    <m/>
    <s v="No"/>
    <s v="&amp;nbsp"/>
    <m/>
    <m/>
    <m/>
  </r>
  <r>
    <x v="0"/>
    <x v="0"/>
    <x v="2"/>
    <x v="10"/>
    <d v="2025-10-15T11:00:00"/>
    <s v="0006096615_4900"/>
    <s v="Loading"/>
    <n v="459545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9/10/2025 19:00-19:00"/>
    <m/>
    <n v="0"/>
    <m/>
    <s v="No"/>
    <s v="Shipped/Received"/>
    <s v="Direct"/>
    <m/>
    <m/>
    <m/>
    <s v="HAPSDCIE20251015-02"/>
    <m/>
    <m/>
    <s v="No"/>
    <n v="5019143824"/>
    <m/>
    <m/>
    <m/>
  </r>
  <r>
    <x v="0"/>
    <x v="0"/>
    <x v="2"/>
    <x v="10"/>
    <d v="2025-10-15T11:00:00"/>
    <s v="370805_OOS"/>
    <s v="Loading"/>
    <s v="CN-AIR_OOS"/>
    <s v="Aval non piloté_EN"/>
    <s v="GEODIS"/>
    <m/>
    <m/>
    <s v="No"/>
    <s v="NL Haps DC (DSV)"/>
    <s v="OOS_OUT - Delivery OOS"/>
    <n v="9"/>
    <n v="0"/>
    <n v="0"/>
    <n v="0"/>
    <s v="CN 5019135065 (9 PLT) UZ 5019069831 (2 PLT)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1:00:00"/>
    <s v="0006096612_4900"/>
    <s v="Loading"/>
    <n v="459523"/>
    <s v="Primary flows"/>
    <s v="SAMSKIP FOR SN 3PO"/>
    <m/>
    <m/>
    <s v="No"/>
    <s v="NL Haps DC (DSV)"/>
    <s v="REDD - GB Redditch"/>
    <n v="33"/>
    <n v="0"/>
    <n v="0"/>
    <n v="0"/>
    <s v="1  01"/>
    <x v="1"/>
    <m/>
    <s v="21/10/2025 18:00-18:00"/>
    <m/>
    <n v="0"/>
    <m/>
    <s v="No"/>
    <s v="Shipped/Received"/>
    <s v="Direct"/>
    <m/>
    <m/>
    <m/>
    <s v="HAPSDCUK20251015-07"/>
    <m/>
    <m/>
    <s v="No"/>
    <n v="5019166922"/>
    <m/>
    <m/>
    <m/>
  </r>
  <r>
    <x v="0"/>
    <x v="0"/>
    <x v="2"/>
    <x v="10"/>
    <d v="2025-10-15T11:00:00"/>
    <s v="364742_OOS"/>
    <s v="Loading"/>
    <s v="CO-SEA-6068783_OOS"/>
    <s v="Aval non piloté_EN"/>
    <s v="Maersk - Control Tower"/>
    <m/>
    <m/>
    <s v="No"/>
    <s v="NL Haps DC (DSV)"/>
    <s v="OOS_OUT - Delivery OOS"/>
    <n v="20"/>
    <n v="0"/>
    <n v="0"/>
    <n v="0"/>
    <s v="5019053529 5019082023 5019093367"/>
    <x v="0"/>
    <m/>
    <s v="16/10/2025 00:01-00:01"/>
    <m/>
    <n v="0"/>
    <m/>
    <s v="No"/>
    <s v="Shipped/Received"/>
    <s v="Direct"/>
    <m/>
    <m/>
    <s v="nutricia.ct.eu@lns.maersk.com"/>
    <m/>
    <m/>
    <m/>
    <s v="No"/>
    <s v="&amp;nbsp"/>
    <m/>
    <m/>
    <n v="35221136"/>
  </r>
  <r>
    <x v="0"/>
    <x v="0"/>
    <x v="2"/>
    <x v="10"/>
    <d v="2025-10-15T12:00:00"/>
    <s v="0006080805_4900"/>
    <s v="Loading"/>
    <s v="460308 / 453801"/>
    <s v="Primary flows / Primary flows"/>
    <s v="PIOMAR FOR SN 3PO"/>
    <m/>
    <m/>
    <s v="No"/>
    <s v="NL Haps DC (DSV)"/>
    <s v="RICA - CZ Ricany DC2 Ambient WH / RICA - CZ Ricany DC2 Ambient WH"/>
    <n v="66"/>
    <n v="0"/>
    <n v="0"/>
    <n v="0"/>
    <s v="1  01"/>
    <x v="1"/>
    <m/>
    <s v="17/10/2025 10:00-10:00"/>
    <m/>
    <n v="0"/>
    <m/>
    <s v="No"/>
    <s v="Shipped/Received"/>
    <s v="Direct"/>
    <s v=" / "/>
    <s v=" / "/>
    <m/>
    <s v="HAPSDCCZ20251013-01 / HAPSDCCZ20251013-01"/>
    <m/>
    <m/>
    <s v="No"/>
    <s v="5019176750 / 5019180777"/>
    <m/>
    <m/>
    <m/>
  </r>
  <r>
    <x v="0"/>
    <x v="0"/>
    <x v="2"/>
    <x v="10"/>
    <d v="2025-10-15T12:00:00"/>
    <s v="0006088390_4900"/>
    <s v="Loading"/>
    <n v="456567"/>
    <s v="Primary flows"/>
    <s v="SAMSKIP FOR SN 3PO"/>
    <m/>
    <m/>
    <s v="No"/>
    <s v="NL Haps DC (DSV)"/>
    <s v="REDD - GB Redditch"/>
    <n v="33"/>
    <n v="0"/>
    <n v="0"/>
    <n v="0"/>
    <s v="1  01"/>
    <x v="1"/>
    <m/>
    <s v="21/10/2025 23:00-23:00"/>
    <m/>
    <n v="0"/>
    <m/>
    <s v="No"/>
    <s v="Shipped/Received"/>
    <s v="Direct"/>
    <m/>
    <m/>
    <m/>
    <s v="HAPSDCUK20251015-02"/>
    <m/>
    <m/>
    <s v="No"/>
    <n v="5019154239"/>
    <m/>
    <m/>
    <m/>
  </r>
  <r>
    <x v="0"/>
    <x v="0"/>
    <x v="2"/>
    <x v="10"/>
    <d v="2025-10-15T12:00:00"/>
    <s v="369278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166373"/>
    <x v="0"/>
    <m/>
    <s v="16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2"/>
    <x v="10"/>
    <d v="2025-10-15T12:00:00"/>
    <s v="0006088389_4900"/>
    <s v="Loading"/>
    <n v="456580"/>
    <s v="Primary flows"/>
    <s v="GIRTEKA FOR SN 3PO"/>
    <m/>
    <m/>
    <s v="No"/>
    <s v="NL Haps DC (DSV)"/>
    <s v="REDD - GB Redditch"/>
    <n v="33"/>
    <n v="0"/>
    <n v="0"/>
    <n v="0"/>
    <s v="1  01"/>
    <x v="1"/>
    <m/>
    <s v="16/10/2025 17:00-17:00"/>
    <s v="PZ_6V099"/>
    <n v="0"/>
    <m/>
    <s v="No"/>
    <s v="Shipped/Received"/>
    <s v="Direct"/>
    <m/>
    <m/>
    <m/>
    <s v="HAPSDCUK20251015-01"/>
    <m/>
    <m/>
    <s v="No"/>
    <n v="5019165591"/>
    <s v="PZ_5Y347"/>
    <s v="Pavel Lissyanskiy"/>
    <m/>
  </r>
  <r>
    <x v="0"/>
    <x v="0"/>
    <x v="2"/>
    <x v="10"/>
    <d v="2025-10-15T13:00:00"/>
    <s v="370620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144885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3:00:00"/>
    <s v="370584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024876 5019101982 5019108230 5019014810 5019000984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3:00:00"/>
    <s v="0006095411_4900"/>
    <s v="Loading"/>
    <n v="459301"/>
    <s v="Primary flows"/>
    <s v="SAMSKIP FOR SN 3PO"/>
    <m/>
    <m/>
    <s v="No"/>
    <s v="NL Haps DC (DSV)"/>
    <s v="REDD - GB Redditch"/>
    <n v="33"/>
    <n v="0"/>
    <n v="0"/>
    <n v="0"/>
    <s v="1  01"/>
    <x v="1"/>
    <m/>
    <s v="21/10/2025 23:00-23:00"/>
    <m/>
    <n v="0"/>
    <m/>
    <s v="No"/>
    <s v="Shipped/Received"/>
    <s v="Direct"/>
    <m/>
    <m/>
    <m/>
    <s v="HAPSDCUK20251015-06"/>
    <m/>
    <m/>
    <s v="No"/>
    <n v="5019141165"/>
    <m/>
    <m/>
    <m/>
  </r>
  <r>
    <x v="0"/>
    <x v="0"/>
    <x v="2"/>
    <x v="10"/>
    <d v="2025-10-15T13:00:00"/>
    <s v="370796_OOS"/>
    <s v="Loading"/>
    <s v="US-AIR_OOS"/>
    <s v="Aval non piloté_EN"/>
    <s v="JAS"/>
    <m/>
    <m/>
    <s v="No"/>
    <s v="NL Haps DC (DSV)"/>
    <s v="OOS_OUT - Delivery OOS"/>
    <n v="17"/>
    <n v="0"/>
    <n v="0"/>
    <n v="0"/>
    <s v="US 5019105493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4:00:00"/>
    <s v="370605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14552 5019112232 5019108228 5019108229 5019112233 5019112234 5019064300 5019134536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4:00:00"/>
    <s v="364874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143805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4:00:00"/>
    <s v="0006080952_4900"/>
    <s v="Loading"/>
    <n v="453880"/>
    <s v="Primary flows"/>
    <s v="LKW WALTER FOR SN 3PO"/>
    <m/>
    <m/>
    <s v="No"/>
    <s v="NL Haps DC (DSV)"/>
    <s v="ALZE - DE Alzenau"/>
    <n v="33"/>
    <n v="0"/>
    <n v="0"/>
    <n v="0"/>
    <s v="1  01"/>
    <x v="1"/>
    <m/>
    <s v="16/10/2025 10:00-10:00"/>
    <m/>
    <n v="0"/>
    <m/>
    <s v="No"/>
    <s v="Shipped/Received"/>
    <s v="Direct"/>
    <m/>
    <m/>
    <m/>
    <s v="HAPSDCDE20251015-02"/>
    <m/>
    <m/>
    <s v="No"/>
    <n v="5019165023"/>
    <m/>
    <m/>
    <m/>
  </r>
  <r>
    <x v="0"/>
    <x v="0"/>
    <x v="2"/>
    <x v="10"/>
    <d v="2025-10-15T15:00:00"/>
    <s v="364889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138536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5:00:00"/>
    <s v="0006080960_4900"/>
    <s v="Loading"/>
    <s v="453887 / 460198 / 453886"/>
    <s v="Primary flows / Primary flows / Primary flows"/>
    <s v="KREISS FOR SN 3PO"/>
    <m/>
    <m/>
    <s v="No"/>
    <s v="NL Haps DC (DSV)"/>
    <s v="BRAT - SK Bratislava / BUDA - HU Budapest (BILK Logisztikai) / BUDA - HU Budapest (BILK Logisztikai)"/>
    <n v="99"/>
    <n v="0"/>
    <n v="0"/>
    <n v="0"/>
    <s v="1  01"/>
    <x v="1"/>
    <m/>
    <s v="20/10/2025 08:00-08:00 / 17/10/2025 11:00-11:00"/>
    <m/>
    <n v="0"/>
    <m/>
    <s v="No"/>
    <s v="Shipped/Received"/>
    <s v="Direct"/>
    <s v=" /  / "/>
    <s v=" /  / "/>
    <m/>
    <s v="HAPSDCHU20251015-01 / HAPSDCHU20251015-01 / HAPSDCHU20251015-01"/>
    <m/>
    <m/>
    <s v="No"/>
    <s v="5019180124 / 5019172117 / 5019170834"/>
    <m/>
    <m/>
    <m/>
  </r>
  <r>
    <x v="0"/>
    <x v="0"/>
    <x v="2"/>
    <x v="10"/>
    <d v="2025-10-15T15:00:00"/>
    <s v="370621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134719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6:00:00"/>
    <s v="370800_OOS"/>
    <s v="Loading"/>
    <s v="US-AIR_OOS"/>
    <s v="Aval non piloté_EN"/>
    <s v="JAS"/>
    <m/>
    <m/>
    <s v="No"/>
    <s v="NL Haps DC (DSV)"/>
    <s v="OOS_OUT - Delivery OOS"/>
    <n v="23"/>
    <n v="0"/>
    <n v="0"/>
    <n v="0"/>
    <s v="US 5019101555"/>
    <x v="0"/>
    <m/>
    <s v="1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6:00:00"/>
    <s v="0006091978_4900"/>
    <s v="Loading"/>
    <n v="457742"/>
    <s v="Primary flows"/>
    <s v="LKW WALTER FOR SN 3PO"/>
    <m/>
    <m/>
    <s v="No"/>
    <s v="NL Haps DC (DSV)"/>
    <s v="ALZE - DE Alzenau"/>
    <n v="33"/>
    <n v="0"/>
    <n v="0"/>
    <n v="0"/>
    <s v="1  01"/>
    <x v="1"/>
    <m/>
    <s v="16/10/2025 10:00-10:00"/>
    <m/>
    <n v="0"/>
    <m/>
    <s v="No"/>
    <s v="Shipped/Received"/>
    <s v="Direct"/>
    <m/>
    <m/>
    <m/>
    <s v="HAPSDCDE20251015-04"/>
    <m/>
    <m/>
    <s v="No"/>
    <n v="5019170350"/>
    <m/>
    <m/>
    <m/>
  </r>
  <r>
    <x v="0"/>
    <x v="0"/>
    <x v="2"/>
    <x v="10"/>
    <d v="2025-10-15T16:00:00"/>
    <s v="370795_OOS"/>
    <s v="Loading"/>
    <s v="US-AIR_OOS"/>
    <s v="Aval non piloté_EN"/>
    <s v="JAS"/>
    <m/>
    <m/>
    <s v="No"/>
    <s v="NL Haps DC (DSV)"/>
    <s v="OOS_OUT - Delivery OOS"/>
    <n v="23"/>
    <n v="0"/>
    <n v="0"/>
    <n v="0"/>
    <s v="US 5019107257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6:00:00"/>
    <s v="364880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141809"/>
    <x v="0"/>
    <m/>
    <s v="16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0"/>
    <d v="2025-10-15T17:00:00"/>
    <s v="0006080957_4900"/>
    <s v="Loading"/>
    <n v="453835"/>
    <s v="Primary flows"/>
    <s v="ECS FOR SN 3PO"/>
    <m/>
    <m/>
    <s v="No"/>
    <s v="NL Haps DC (DSV)"/>
    <s v="MOUS - FR Moussy-Le-Neuf"/>
    <n v="33"/>
    <n v="0"/>
    <n v="0"/>
    <n v="0"/>
    <s v="1  01"/>
    <x v="1"/>
    <m/>
    <s v="16/10/2025 13:00-13:00"/>
    <m/>
    <n v="0"/>
    <m/>
    <s v="No"/>
    <s v="Shipped/Received"/>
    <s v="Direct"/>
    <m/>
    <m/>
    <m/>
    <s v="HAPSDCFR20251015-01"/>
    <m/>
    <m/>
    <s v="No"/>
    <n v="5019169536"/>
    <m/>
    <m/>
    <m/>
  </r>
  <r>
    <x v="0"/>
    <x v="0"/>
    <x v="2"/>
    <x v="10"/>
    <d v="2025-10-15T17:00:00"/>
    <s v="0006080951_4900"/>
    <s v="Loading"/>
    <n v="453828"/>
    <s v="Primary flows"/>
    <s v="LKW WALTER FOR SN 3PO"/>
    <m/>
    <m/>
    <s v="No"/>
    <s v="NL Haps DC (DSV)"/>
    <s v="ALZE - DE Alzenau"/>
    <n v="33"/>
    <n v="0"/>
    <n v="0"/>
    <n v="0"/>
    <s v="1  01"/>
    <x v="1"/>
    <m/>
    <s v="16/10/2025 09:00-09:00"/>
    <m/>
    <n v="0"/>
    <m/>
    <s v="No"/>
    <s v="Shipped/Received"/>
    <s v="Direct"/>
    <m/>
    <m/>
    <m/>
    <s v="HAPSDCDE20251015-01"/>
    <m/>
    <m/>
    <s v="No"/>
    <n v="5019156798"/>
    <m/>
    <m/>
    <m/>
  </r>
  <r>
    <x v="0"/>
    <x v="0"/>
    <x v="2"/>
    <x v="10"/>
    <d v="2025-10-15T17:00:00"/>
    <s v="0006080955_4900"/>
    <s v="Loading"/>
    <n v="453833"/>
    <s v="Primary flows"/>
    <s v="LKW WALTER FOR SN 3PO"/>
    <m/>
    <m/>
    <s v="No"/>
    <s v="NL Haps DC (DSV)"/>
    <s v="CIE2 - ES Ciempozuelos SN"/>
    <n v="33"/>
    <n v="0"/>
    <n v="0"/>
    <n v="0"/>
    <s v="1  01"/>
    <x v="1"/>
    <m/>
    <s v="20/10/2025 11:00-11:00"/>
    <m/>
    <n v="0"/>
    <m/>
    <s v="No"/>
    <s v="Shipped/Received"/>
    <s v="Direct"/>
    <m/>
    <m/>
    <m/>
    <s v="HAPSDCES20251015-02"/>
    <m/>
    <m/>
    <s v="No"/>
    <n v="5019173516"/>
    <m/>
    <m/>
    <m/>
  </r>
  <r>
    <x v="0"/>
    <x v="0"/>
    <x v="2"/>
    <x v="10"/>
    <d v="2025-10-15T18:00:00"/>
    <s v="0006080893_4900"/>
    <s v="Loading"/>
    <s v="460016 / 460015 / 458581 / 453811"/>
    <s v="Primary flows / Primary flows / Primary flows / Primary flows"/>
    <s v="HART LOGISTICS FOR SN 3PO"/>
    <m/>
    <m/>
    <s v="No"/>
    <s v="NL Haps DC (DSV)"/>
    <s v="THIV - GR Thiva-Boetia / THIV - GR Thiva-Boetia / THIV - GR Thiva-Boetia / THIV - GR Thiva-Boetia"/>
    <n v="132"/>
    <n v="0"/>
    <n v="0"/>
    <n v="0"/>
    <s v="1  01"/>
    <x v="1"/>
    <m/>
    <s v="21/10/2025 14:00-14:00"/>
    <m/>
    <n v="0"/>
    <m/>
    <s v="No"/>
    <s v="Shipped/Received"/>
    <s v="Direct"/>
    <s v=" /  /  / "/>
    <s v=" /  /  / "/>
    <m/>
    <s v="HAPSDCGR20251013-01 / HAPSDCGR20251013-01 / HAPSDCGR20251013-01 / HAPSDCGR20251013-01"/>
    <m/>
    <m/>
    <s v="No"/>
    <s v="5019179245 / 5019175789 / 5019154968 / 5019145591"/>
    <m/>
    <m/>
    <m/>
  </r>
  <r>
    <x v="0"/>
    <x v="0"/>
    <x v="2"/>
    <x v="10"/>
    <d v="2025-10-15T18:00:00"/>
    <s v="0006080965_4900"/>
    <s v="Loading"/>
    <n v="453851"/>
    <s v="Primary flows"/>
    <s v="MIERZWA FOR SN 3PO"/>
    <m/>
    <m/>
    <s v="No"/>
    <s v="NL Haps DC (DSV)"/>
    <s v="GRAB - PL Grabica"/>
    <n v="33"/>
    <n v="0"/>
    <n v="0"/>
    <n v="0"/>
    <s v="1  01"/>
    <x v="1"/>
    <m/>
    <s v="22/10/2025 18:00-18:00"/>
    <s v="WPR146AE"/>
    <n v="0"/>
    <m/>
    <s v="No"/>
    <s v="Shipped/Received"/>
    <s v="Direct"/>
    <m/>
    <m/>
    <m/>
    <s v="HAPSDCPL20251015-01"/>
    <m/>
    <m/>
    <s v="No"/>
    <n v="5019165997"/>
    <s v="WPR9715T"/>
    <s v="Wróbel Grzegorz "/>
    <m/>
  </r>
  <r>
    <x v="0"/>
    <x v="0"/>
    <x v="2"/>
    <x v="10"/>
    <d v="2025-10-15T19:00:00"/>
    <s v="0006081001_4900"/>
    <s v="Loading"/>
    <s v="459977 / 453876"/>
    <s v="Primary flows / Primary flows"/>
    <s v="DSV DK FOR SN 3PO"/>
    <m/>
    <m/>
    <s v="No"/>
    <s v="NL Haps DC (DSV)"/>
    <s v="GLOS - DK Glostrup / GLOS - DK Glostrup"/>
    <n v="66"/>
    <n v="0"/>
    <n v="0"/>
    <n v="0"/>
    <s v="1  01"/>
    <x v="1"/>
    <m/>
    <s v="17/10/2025 09:00-09:00"/>
    <m/>
    <n v="0"/>
    <m/>
    <s v="No"/>
    <s v="Shipped/Received"/>
    <s v="Direct"/>
    <s v=" / "/>
    <s v=" / "/>
    <m/>
    <s v="HAPSDCDK20251017-01 / HAPSDCDK20251017-01"/>
    <m/>
    <m/>
    <s v="No"/>
    <s v="5019181602 / 5019179166"/>
    <m/>
    <m/>
    <m/>
  </r>
  <r>
    <x v="0"/>
    <x v="0"/>
    <x v="2"/>
    <x v="10"/>
    <d v="2025-10-15T19:00:00"/>
    <s v="0006080953_4900"/>
    <s v="Loading"/>
    <n v="453859"/>
    <s v="Primary flows"/>
    <s v="GIRTEKA FOR SN 3PO"/>
    <m/>
    <m/>
    <s v="No"/>
    <s v="NL Haps DC (DSV)"/>
    <s v="ALZE - DE Alzenau"/>
    <n v="33"/>
    <n v="0"/>
    <n v="0"/>
    <n v="0"/>
    <s v="1  01"/>
    <x v="1"/>
    <m/>
    <s v="16/10/2025 14:00-14:00"/>
    <m/>
    <n v="0"/>
    <m/>
    <s v="No"/>
    <s v="Shipped/Received"/>
    <s v="Direct"/>
    <m/>
    <m/>
    <m/>
    <s v="HAPSDCDE20251015-03"/>
    <m/>
    <m/>
    <s v="No"/>
    <n v="5019180243"/>
    <m/>
    <m/>
    <m/>
  </r>
  <r>
    <x v="0"/>
    <x v="0"/>
    <x v="2"/>
    <x v="10"/>
    <d v="2025-10-15T19:00:00"/>
    <s v="0006080958_4900"/>
    <s v="Loading"/>
    <n v="453842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6/10/2025 10:30-10:30"/>
    <m/>
    <n v="0"/>
    <m/>
    <s v="No"/>
    <s v="Shipped/Received"/>
    <s v="Direct"/>
    <m/>
    <m/>
    <m/>
    <s v="HAPSDCFR20251015-02"/>
    <m/>
    <m/>
    <s v="No"/>
    <n v="5019163858"/>
    <m/>
    <m/>
    <m/>
  </r>
  <r>
    <x v="0"/>
    <x v="0"/>
    <x v="2"/>
    <x v="10"/>
    <d v="2025-10-15T20:00:00"/>
    <s v="371198_OOS"/>
    <s v="Loading"/>
    <s v="AN - SEA_OOS / MT - SEA_OOS / CW - SEA_OOS"/>
    <s v="Aval non piloté_EN / Aval non piloté_EN / Aval non piloté_EN"/>
    <s v="GEODIS"/>
    <m/>
    <m/>
    <s v="No"/>
    <s v="NL Haps DC (DSV)"/>
    <s v="OOS_OUT - Delivery OOS / OOS_OUT - Delivery OOS / OOS_OUT - Delivery OOS"/>
    <n v="16"/>
    <n v="0"/>
    <n v="0"/>
    <n v="0"/>
    <s v="DN 5019079843 / 5019112589 - 5 PALLETS - CURACAO DN 5019140421 / 5019135151 - 9 PALLETS - MALTA DN TO FOLLOW - 2 PALLETS - ARUBA NO-SHOW"/>
    <x v="0"/>
    <m/>
    <s v="16/10/2025 09:00-09:00"/>
    <m/>
    <n v="0"/>
    <m/>
    <s v="No"/>
    <s v="Shipped/Received"/>
    <s v="Direct"/>
    <s v=" /  / "/>
    <s v=" /  / "/>
    <s v="nutricia-booking.ff.nl@geodis.com"/>
    <s v=" /  / "/>
    <m/>
    <m/>
    <s v="No"/>
    <s v="&amp;nbsp"/>
    <s v=" / &amp;nbsp"/>
    <s v=" / &amp;nbsp"/>
    <m/>
  </r>
  <r>
    <x v="0"/>
    <x v="0"/>
    <x v="2"/>
    <x v="10"/>
    <d v="2025-10-15T20:00:00"/>
    <s v="0006080962_4900"/>
    <s v="Loading"/>
    <s v="460150 / 453853"/>
    <s v="Primary flows / Primary flows"/>
    <s v="GIRTEKA FOR SN 3PO"/>
    <m/>
    <m/>
    <s v="No"/>
    <s v="NL Haps DC (DSV)"/>
    <s v="GREZ - IT Grezzago (Pozzuolo Martesana) / GREZ - IT Grezzago (Pozzuolo Martesana)"/>
    <n v="66"/>
    <n v="0"/>
    <n v="0"/>
    <n v="0"/>
    <s v="1  01"/>
    <x v="1"/>
    <m/>
    <s v="17/10/2025 15:00-15:00"/>
    <m/>
    <n v="0"/>
    <m/>
    <s v="No"/>
    <s v="Shipped/Received"/>
    <s v="Direct"/>
    <s v=" / "/>
    <s v=" / "/>
    <m/>
    <s v="HAPSDCIT20251015-01 / HAPSDCIT20251015-01"/>
    <m/>
    <m/>
    <s v="No"/>
    <s v="5019179779 / 5019165349"/>
    <m/>
    <m/>
    <m/>
  </r>
  <r>
    <x v="0"/>
    <x v="0"/>
    <x v="2"/>
    <x v="11"/>
    <d v="2025-10-16T06:00:00"/>
    <s v="0006080988_4900"/>
    <s v="Loading"/>
    <n v="460221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23/10/2025 23:00-23:00"/>
    <m/>
    <n v="0"/>
    <m/>
    <s v="No"/>
    <s v="Shipped/Received"/>
    <s v="Direct"/>
    <m/>
    <m/>
    <m/>
    <s v="HAPSDCIE20251016-01"/>
    <m/>
    <m/>
    <s v="No"/>
    <n v="5019194280"/>
    <m/>
    <m/>
    <m/>
  </r>
  <r>
    <x v="0"/>
    <x v="0"/>
    <x v="2"/>
    <x v="11"/>
    <d v="2025-10-16T06:00:00"/>
    <s v="0006088395_4900"/>
    <s v="Loading"/>
    <n v="456585"/>
    <s v="Primary flows"/>
    <s v="SAMSKIP FOR SN 3PO"/>
    <m/>
    <m/>
    <s v="No"/>
    <s v="NL Haps DC (DSV)"/>
    <s v="REDD - GB Redditch"/>
    <n v="33"/>
    <n v="0"/>
    <n v="0"/>
    <n v="0"/>
    <s v="1  01"/>
    <x v="1"/>
    <m/>
    <s v="22/10/2025 18:00-18:00"/>
    <m/>
    <n v="0"/>
    <m/>
    <s v="No"/>
    <s v="Shipped/Received"/>
    <s v="Direct"/>
    <m/>
    <m/>
    <m/>
    <s v="HAPSDCUK20251016-03"/>
    <m/>
    <m/>
    <s v="No"/>
    <n v="5019194920"/>
    <m/>
    <m/>
    <m/>
  </r>
  <r>
    <x v="0"/>
    <x v="0"/>
    <x v="2"/>
    <x v="11"/>
    <d v="2025-10-16T07:00:00"/>
    <s v="373439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197070"/>
    <x v="2"/>
    <m/>
    <s v="17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07:00:00"/>
    <s v="370914_OOS"/>
    <s v="Loading"/>
    <s v="UY - SEA_OOS"/>
    <s v="Aval non piloté_EN"/>
    <s v="GEODIS"/>
    <m/>
    <m/>
    <s v="No"/>
    <s v="NL Haps DC (DSV)"/>
    <s v="OOS_OUT - Delivery OOS"/>
    <n v="11"/>
    <n v="0"/>
    <n v="0"/>
    <n v="0"/>
    <s v="DN 5019165975"/>
    <x v="0"/>
    <m/>
    <s v="17/10/2025 09:00-09:00"/>
    <m/>
    <n v="0"/>
    <m/>
    <s v="No"/>
    <s v="Shipped/Received"/>
    <s v="Direct"/>
    <m/>
    <m/>
    <s v="nutricia-booking.ff.nl@geodis.com"/>
    <m/>
    <m/>
    <m/>
    <s v="No"/>
    <s v="&amp;nbsp"/>
    <m/>
    <s v="URUGUAY"/>
    <s v="SRTMS181032"/>
  </r>
  <r>
    <x v="0"/>
    <x v="0"/>
    <x v="2"/>
    <x v="11"/>
    <d v="2025-10-16T07:00:00"/>
    <s v="0006088396_4900"/>
    <s v="Loading"/>
    <n v="460084"/>
    <s v="Primary flows"/>
    <s v="SAMSKIP FOR SN 3PO"/>
    <m/>
    <m/>
    <s v="No"/>
    <s v="NL Haps DC (DSV)"/>
    <s v="REDD - GB Redditch"/>
    <n v="33"/>
    <n v="0"/>
    <n v="0"/>
    <n v="0"/>
    <s v="1  01"/>
    <x v="1"/>
    <m/>
    <s v="22/10/2025 18:00-18:00"/>
    <m/>
    <n v="0"/>
    <m/>
    <s v="No"/>
    <s v="Shipped/Received"/>
    <s v="Direct"/>
    <m/>
    <m/>
    <m/>
    <s v="HAPSDCUK20251016-04"/>
    <m/>
    <m/>
    <s v="No"/>
    <n v="5019165669"/>
    <m/>
    <m/>
    <m/>
  </r>
  <r>
    <x v="0"/>
    <x v="0"/>
    <x v="2"/>
    <x v="11"/>
    <d v="2025-10-16T08:00:00"/>
    <s v="0006098942_4900"/>
    <s v="Loading"/>
    <n v="460316"/>
    <s v="Primary flows"/>
    <s v="GIRTEKA FOR SN 3PO"/>
    <m/>
    <m/>
    <s v="No"/>
    <s v="NL Haps DC (DSV)"/>
    <s v="FULD - DE Fulda Zufall"/>
    <n v="6"/>
    <n v="0"/>
    <n v="0"/>
    <n v="0"/>
    <s v="1  01"/>
    <x v="5"/>
    <m/>
    <s v="17/10/2025 23:30-23:30"/>
    <s v="ERW_6EY1"/>
    <n v="0"/>
    <m/>
    <s v="No"/>
    <s v="Shipped/Received"/>
    <s v="Direct"/>
    <m/>
    <m/>
    <m/>
    <s v="SPHapsFUL-161025-01"/>
    <m/>
    <m/>
    <s v="No"/>
    <n v="5019173799"/>
    <s v="NIT_669"/>
    <s v="Yurii Saienko"/>
    <m/>
  </r>
  <r>
    <x v="0"/>
    <x v="0"/>
    <x v="2"/>
    <x v="11"/>
    <d v="2025-10-16T08:00:00"/>
    <s v="370457_OOS"/>
    <s v="Loading"/>
    <s v="BR-SEA-6087531_OOS"/>
    <s v="Aval non piloté_EN"/>
    <s v="MAERSK - Control Tower"/>
    <m/>
    <m/>
    <s v="No"/>
    <s v="NL Haps DC (DSV)"/>
    <s v="OOS_OUT - Delivery OOS"/>
    <n v="20"/>
    <n v="0"/>
    <n v="0"/>
    <n v="0"/>
    <s v="5019124437 5019123709"/>
    <x v="0"/>
    <m/>
    <s v="17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365795"/>
  </r>
  <r>
    <x v="0"/>
    <x v="0"/>
    <x v="2"/>
    <x v="11"/>
    <d v="2025-10-16T08:00:00"/>
    <s v="369436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34583 "/>
    <x v="0"/>
    <m/>
    <s v="17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1"/>
    <s v="SRTMS182752"/>
  </r>
  <r>
    <x v="0"/>
    <x v="0"/>
    <x v="2"/>
    <x v="11"/>
    <d v="2025-10-16T08:00:00"/>
    <s v="371580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93759 LZV"/>
    <x v="1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09:00:00"/>
    <s v="0006080990_4900"/>
    <s v="Loading"/>
    <s v="460208 / 453861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7/10/2025 15:00-15:00"/>
    <m/>
    <n v="0"/>
    <m/>
    <s v="No"/>
    <s v="Shipped/Received"/>
    <s v="Direct"/>
    <s v=" / "/>
    <s v=" / "/>
    <m/>
    <s v="HAPSDCNO20251016-01 / HAPSDCNO20251016-01"/>
    <m/>
    <m/>
    <s v="No"/>
    <s v="5019180095 / 5019178697"/>
    <m/>
    <m/>
    <m/>
  </r>
  <r>
    <x v="0"/>
    <x v="0"/>
    <x v="2"/>
    <x v="11"/>
    <d v="2025-10-16T09:00:00"/>
    <s v="2025101001_3300"/>
    <s v="Loading"/>
    <s v="251010121957_3300"/>
    <s v="Primary flows"/>
    <s v="GIRTEKA FOR SN FUL"/>
    <m/>
    <m/>
    <s v="No"/>
    <s v="NL Haps DC (DSV)"/>
    <s v="FULD - DE Fulda Zufall"/>
    <n v="18"/>
    <n v="0"/>
    <n v="0"/>
    <n v="22000"/>
    <s v="OT : 251010121957_3300 : Fulda 3300"/>
    <x v="5"/>
    <m/>
    <s v="17/10/2025 10:00-10:00"/>
    <m/>
    <n v="0"/>
    <m/>
    <s v="No"/>
    <s v="Shipped/Received"/>
    <s v="Direct"/>
    <m/>
    <m/>
    <m/>
    <m/>
    <m/>
    <m/>
    <s v="No"/>
    <n v="5019167880"/>
    <m/>
    <m/>
    <m/>
  </r>
  <r>
    <x v="0"/>
    <x v="0"/>
    <x v="2"/>
    <x v="11"/>
    <d v="2025-10-16T09:00:00"/>
    <s v="369437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12571 "/>
    <x v="0"/>
    <m/>
    <s v="17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2"/>
    <s v="SRTMS182752"/>
  </r>
  <r>
    <x v="0"/>
    <x v="0"/>
    <x v="2"/>
    <x v="11"/>
    <d v="2025-10-16T09:00:00"/>
    <s v="370458_OOS"/>
    <s v="Loading"/>
    <s v="BR-SEA-6087532_OOS"/>
    <s v="Aval non piloté_EN"/>
    <s v="MAERSK - Control Tower"/>
    <m/>
    <m/>
    <s v="No"/>
    <s v="NL Haps DC (DSV)"/>
    <s v="OOS_OUT - Delivery OOS"/>
    <n v="20"/>
    <n v="0"/>
    <n v="0"/>
    <n v="0"/>
    <s v="5019101422 5019136201"/>
    <x v="0"/>
    <m/>
    <s v="17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366814"/>
  </r>
  <r>
    <x v="0"/>
    <x v="0"/>
    <x v="2"/>
    <x v="11"/>
    <d v="2025-10-16T10:00:00"/>
    <s v="370460_OOS"/>
    <s v="Loading"/>
    <s v="BR-SEA-6087520_OOS"/>
    <s v="Aval non piloté_EN"/>
    <s v="MAERSK - Control Tower"/>
    <m/>
    <m/>
    <s v="No"/>
    <s v="NL Haps DC (DSV)"/>
    <s v="OOS_OUT - Delivery OOS"/>
    <n v="20"/>
    <n v="0"/>
    <n v="0"/>
    <n v="0"/>
    <n v="5019100824"/>
    <x v="0"/>
    <m/>
    <s v="17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366815"/>
  </r>
  <r>
    <x v="0"/>
    <x v="0"/>
    <x v="2"/>
    <x v="11"/>
    <d v="2025-10-16T10:00:00"/>
    <s v="0006091980_4900"/>
    <s v="Loading"/>
    <s v="460855 / 457731"/>
    <s v="Primary flows / Primary flows"/>
    <s v="SAMSKIP FOR SN 3PO"/>
    <m/>
    <m/>
    <s v="No"/>
    <s v="NL Haps DC (DSV)"/>
    <s v="DUBL - IE Dublin (United Drug) / DUBL - IE Dublin (United Drug)"/>
    <n v="66"/>
    <n v="0"/>
    <n v="0"/>
    <n v="0"/>
    <s v="1  01"/>
    <x v="1"/>
    <m/>
    <s v="19/10/2025 20:00-20:00"/>
    <m/>
    <n v="0"/>
    <m/>
    <s v="No"/>
    <s v="Shipped/Received"/>
    <s v="Direct"/>
    <s v=" / "/>
    <s v=" / "/>
    <m/>
    <s v="HAPSDCIE20251016-02 / HAPSDCIE20251016-02"/>
    <m/>
    <m/>
    <s v="No"/>
    <s v="5019191429 / 5019187527"/>
    <m/>
    <m/>
    <m/>
  </r>
  <r>
    <x v="0"/>
    <x v="0"/>
    <x v="2"/>
    <x v="11"/>
    <d v="2025-10-16T10:00:00"/>
    <s v="372594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143420"/>
    <x v="0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0:00:00"/>
    <s v="0006080991_4900"/>
    <s v="Loading"/>
    <s v="460227 / 460226 / 460225 / 453822"/>
    <s v="Primary flows / Primary flows / Primary flows / Primary flows"/>
    <s v="PIOMAR FOR SN 3PO"/>
    <m/>
    <m/>
    <s v="No"/>
    <s v="NL Haps DC (DSV)"/>
    <s v="GRAB - PL Grabica / GRAB - PL Grabica / GRAB - PL Grabica / GRAB - PL Grabica"/>
    <n v="132"/>
    <n v="0"/>
    <n v="0"/>
    <n v="0"/>
    <s v="1  01"/>
    <x v="1"/>
    <m/>
    <s v="22/10/2025 02:00-02:00"/>
    <m/>
    <n v="0"/>
    <m/>
    <s v="No"/>
    <s v="Shipped/Received"/>
    <s v="Direct"/>
    <s v=" /  /  / "/>
    <s v=" /  /  / "/>
    <m/>
    <s v="HAPSDCPL20251016-01 / HAPSDCPL20251016-01 / HAPSDCPL20251016-01 / HAPSDCPL20251016-01"/>
    <m/>
    <m/>
    <s v="No"/>
    <s v="5019190807 / 5019175864 / 5019167799 / 5019167108"/>
    <m/>
    <m/>
    <m/>
  </r>
  <r>
    <x v="0"/>
    <x v="0"/>
    <x v="2"/>
    <x v="11"/>
    <d v="2025-10-16T11:00:00"/>
    <s v="372051_OOS"/>
    <s v="Loading"/>
    <s v="IQ-ROAD_OOS"/>
    <s v="Aval non piloté_EN"/>
    <s v="EXPEDITE ONE"/>
    <m/>
    <m/>
    <s v="No"/>
    <s v="NL Haps DC (DSV)"/>
    <s v="OOS_OUT - Delivery OOS"/>
    <n v="17"/>
    <n v="0"/>
    <n v="0"/>
    <n v="0"/>
    <s v="5018968968   5018970405"/>
    <x v="0"/>
    <m/>
    <s v="17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2"/>
    <x v="11"/>
    <d v="2025-10-16T11:00:00"/>
    <s v="373278_OOS"/>
    <s v="Loading"/>
    <s v="5019191924_OOS"/>
    <s v="Aval non piloté_EN"/>
    <s v="Nabuurs"/>
    <m/>
    <m/>
    <s v="No"/>
    <s v="NL Haps DC (DSV)"/>
    <s v="OOS_OUT - Delivery OOS"/>
    <n v="2"/>
    <n v="0"/>
    <n v="0"/>
    <n v="0"/>
    <s v="M20003 M20005 YUQ  SSCC 387181170003568596   487181170002153301"/>
    <x v="2"/>
    <m/>
    <s v="17/10/2025 00:01-00:01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2"/>
    <x v="11"/>
    <d v="2025-10-16T11:00:00"/>
    <s v="0006088394_4900"/>
    <s v="Loading"/>
    <n v="456563"/>
    <s v="Primary flows"/>
    <s v="SAMSKIP FOR SN 3PO"/>
    <m/>
    <m/>
    <s v="No"/>
    <s v="NL Haps DC (DSV)"/>
    <s v="REDD - GB Redditch"/>
    <n v="33"/>
    <n v="0"/>
    <n v="0"/>
    <n v="0"/>
    <s v="1  01"/>
    <x v="1"/>
    <m/>
    <s v="22/10/2025 18:00-18:00"/>
    <m/>
    <n v="0"/>
    <m/>
    <s v="No"/>
    <s v="Shipped/Received"/>
    <s v="Direct"/>
    <m/>
    <m/>
    <m/>
    <s v="HAPSDCUK20251016-02"/>
    <m/>
    <m/>
    <s v="No"/>
    <n v="5019179354"/>
    <m/>
    <m/>
    <m/>
  </r>
  <r>
    <x v="0"/>
    <x v="0"/>
    <x v="2"/>
    <x v="11"/>
    <d v="2025-10-16T11:00:00"/>
    <s v="370931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35532"/>
    <x v="0"/>
    <m/>
    <s v="17/10/2025 09:00-09:00"/>
    <m/>
    <n v="0"/>
    <m/>
    <s v="No"/>
    <s v="Shipped/Received"/>
    <s v="Direct"/>
    <m/>
    <m/>
    <s v="nutricia-booking.ff.nl@geodis.com"/>
    <m/>
    <m/>
    <m/>
    <s v="No"/>
    <s v="&amp;nbsp"/>
    <m/>
    <s v="ISRAEL"/>
    <s v="SRTMS182938"/>
  </r>
  <r>
    <x v="0"/>
    <x v="0"/>
    <x v="2"/>
    <x v="11"/>
    <d v="2025-10-16T12:00:00"/>
    <s v="0006080985_4900"/>
    <s v="Loading"/>
    <n v="453881"/>
    <s v="Primary flows"/>
    <s v="ECS FOR SN 3PO"/>
    <m/>
    <m/>
    <s v="No"/>
    <s v="NL Haps DC (DSV)"/>
    <s v="MOUS - FR Moussy-Le-Neuf"/>
    <n v="33"/>
    <n v="0"/>
    <n v="0"/>
    <n v="0"/>
    <s v="1  01"/>
    <x v="1"/>
    <m/>
    <s v="17/10/2025 08:00-08:00"/>
    <m/>
    <n v="0"/>
    <m/>
    <s v="No"/>
    <s v="Shipped/Received"/>
    <s v="Direct"/>
    <m/>
    <m/>
    <m/>
    <s v="HAPSDCFR20251016-01"/>
    <m/>
    <m/>
    <s v="No"/>
    <n v="5019164750"/>
    <m/>
    <m/>
    <m/>
  </r>
  <r>
    <x v="0"/>
    <x v="0"/>
    <x v="2"/>
    <x v="11"/>
    <d v="2025-10-16T12:00:00"/>
    <s v="0006088393_4900"/>
    <s v="Loading"/>
    <n v="456569"/>
    <s v="Primary flows"/>
    <s v="SAMSKIP FOR SN 3PO"/>
    <m/>
    <m/>
    <s v="No"/>
    <s v="NL Haps DC (DSV)"/>
    <s v="REDD - GB Redditch"/>
    <n v="33"/>
    <n v="0"/>
    <n v="0"/>
    <n v="0"/>
    <s v="1  01"/>
    <x v="1"/>
    <m/>
    <s v="20/10/2025 23:00-23:00"/>
    <m/>
    <n v="0"/>
    <m/>
    <s v="No"/>
    <s v="Shipped/Received"/>
    <s v="Direct"/>
    <m/>
    <m/>
    <m/>
    <s v="HAPSDCUK20251016-01"/>
    <m/>
    <m/>
    <s v="No"/>
    <n v="5019190810"/>
    <m/>
    <m/>
    <m/>
  </r>
  <r>
    <x v="0"/>
    <x v="0"/>
    <x v="2"/>
    <x v="11"/>
    <d v="2025-10-16T12:00:00"/>
    <s v="371208_OOS"/>
    <s v="Loading"/>
    <s v="US-AIR_OOS"/>
    <s v="Aval non piloté_EN"/>
    <s v="JAS"/>
    <m/>
    <m/>
    <s v="No"/>
    <s v="NL Haps DC (DSV)"/>
    <s v="OOS_OUT - Delivery OOS"/>
    <n v="19"/>
    <n v="0"/>
    <n v="0"/>
    <n v="0"/>
    <s v="US 5019107206 5019111497"/>
    <x v="0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2:00:00"/>
    <s v="0006088397_4900"/>
    <s v="Loading"/>
    <n v="460085"/>
    <s v="Primary flows"/>
    <s v="SAMSKIP FOR SN 3PO"/>
    <m/>
    <m/>
    <s v="No"/>
    <s v="NL Haps DC (DSV)"/>
    <s v="REDD - GB Redditch"/>
    <n v="33"/>
    <n v="0"/>
    <n v="0"/>
    <n v="0"/>
    <s v="1  01"/>
    <x v="1"/>
    <m/>
    <s v="22/10/2025 18:00-18:00"/>
    <m/>
    <n v="0"/>
    <m/>
    <s v="No"/>
    <s v="Shipped/Received"/>
    <s v="Direct"/>
    <m/>
    <m/>
    <m/>
    <s v="HAPSDCUK20251016-05"/>
    <m/>
    <m/>
    <s v="No"/>
    <n v="5019164458"/>
    <m/>
    <m/>
    <m/>
  </r>
  <r>
    <x v="0"/>
    <x v="0"/>
    <x v="2"/>
    <x v="11"/>
    <d v="2025-10-16T13:00:00"/>
    <s v="371209_OOS"/>
    <s v="Loading"/>
    <s v="US-AIR_OOS"/>
    <s v="Aval non piloté_EN"/>
    <s v="JAS"/>
    <m/>
    <m/>
    <s v="No"/>
    <s v="NL Haps DC (DSV)"/>
    <s v="OOS_OUT - Delivery OOS"/>
    <n v="23"/>
    <n v="0"/>
    <n v="0"/>
    <n v="0"/>
    <s v="US 5019102036 5019124730"/>
    <x v="0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3:00:00"/>
    <s v="0006099090_4900"/>
    <s v="Loading"/>
    <n v="460410"/>
    <s v="Primary flows"/>
    <s v="ECS FOR SN 3PO"/>
    <m/>
    <m/>
    <s v="No"/>
    <s v="NL Haps DC (DSV)"/>
    <s v="MOUS - FR Moussy-Le-Neuf"/>
    <n v="33"/>
    <n v="0"/>
    <n v="0"/>
    <n v="0"/>
    <s v="1  01"/>
    <x v="1"/>
    <m/>
    <s v="17/10/2025 09:00-09:00"/>
    <m/>
    <n v="0"/>
    <m/>
    <s v="No"/>
    <s v="Shipped/Received"/>
    <s v="Direct"/>
    <m/>
    <m/>
    <m/>
    <s v="HAPSDCFR20251016-04"/>
    <m/>
    <m/>
    <s v="No"/>
    <n v="5019184379"/>
    <m/>
    <m/>
    <m/>
  </r>
  <r>
    <x v="0"/>
    <x v="0"/>
    <x v="2"/>
    <x v="11"/>
    <d v="2025-10-16T13:00:00"/>
    <s v="372052_OOS"/>
    <s v="Loading"/>
    <s v="IQ-ROAD_OOS"/>
    <s v="Aval non piloté_EN"/>
    <s v="EXPEDITE ONE"/>
    <m/>
    <m/>
    <s v="No"/>
    <s v="NL Haps DC (DSV)"/>
    <s v="OOS_OUT - Delivery OOS"/>
    <n v="11"/>
    <n v="0"/>
    <n v="0"/>
    <n v="0"/>
    <s v="5019040491   5019031379"/>
    <x v="0"/>
    <m/>
    <s v="17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2"/>
    <x v="11"/>
    <d v="2025-10-16T13:00:00"/>
    <s v="0006080986_4900"/>
    <s v="Loading"/>
    <n v="453871"/>
    <s v="Primary flows"/>
    <s v="ECS FOR SN 3PO"/>
    <m/>
    <m/>
    <s v="No"/>
    <s v="NL Haps DC (DSV)"/>
    <s v="MOUS - FR Moussy-Le-Neuf"/>
    <n v="33"/>
    <n v="0"/>
    <n v="0"/>
    <n v="0"/>
    <s v="1  01"/>
    <x v="1"/>
    <m/>
    <s v="17/10/2025 07:30-07:30"/>
    <m/>
    <n v="0"/>
    <m/>
    <s v="No"/>
    <s v="Shipped/Received"/>
    <s v="Direct"/>
    <m/>
    <m/>
    <m/>
    <s v="HAPSDCFR20251016-02"/>
    <m/>
    <m/>
    <s v="No"/>
    <n v="5019172052"/>
    <m/>
    <m/>
    <m/>
  </r>
  <r>
    <x v="0"/>
    <x v="0"/>
    <x v="2"/>
    <x v="11"/>
    <d v="2025-10-16T14:00:00"/>
    <s v="373019_OOS"/>
    <s v="Loading"/>
    <s v="MEA-AIR_OOS"/>
    <s v="Aval non piloté_EN"/>
    <s v="KERRY LOGISTICS"/>
    <m/>
    <m/>
    <s v="No"/>
    <s v="NL Haps DC (DSV)"/>
    <s v="OOS_OUT - Delivery OOS"/>
    <n v="10"/>
    <n v="0"/>
    <n v="0"/>
    <n v="0"/>
    <s v="MEA 5018546762 5019126642 5019143988 5019179923 5019155878"/>
    <x v="2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4:00:00"/>
    <s v="371392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147455"/>
    <x v="0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4:00:00"/>
    <s v="371214_OOS"/>
    <s v="Loading"/>
    <s v="US-AIR_OOS"/>
    <s v="Aval non piloté_EN"/>
    <s v="JAS"/>
    <m/>
    <m/>
    <s v="No"/>
    <s v="NL Haps DC (DSV)"/>
    <s v="OOS_OUT - Delivery OOS"/>
    <n v="23"/>
    <n v="0"/>
    <n v="0"/>
    <n v="0"/>
    <s v="US 5019111664 (18PL - LINE 1035) US 5019128960 (5PL - LINE 1036)"/>
    <x v="0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4:00:00"/>
    <s v="0006080982_4900"/>
    <s v="Loading"/>
    <n v="453838"/>
    <s v="Primary flows"/>
    <s v="LKW WALTER FOR SN 3PO"/>
    <m/>
    <m/>
    <s v="No"/>
    <s v="NL Haps DC (DSV)"/>
    <s v="ALZE - DE Alzenau"/>
    <n v="33"/>
    <n v="0"/>
    <n v="0"/>
    <n v="0"/>
    <s v="1  01"/>
    <x v="1"/>
    <m/>
    <s v="17/10/2025 09:00-09:00"/>
    <m/>
    <n v="0"/>
    <m/>
    <s v="No"/>
    <s v="Shipped/Received"/>
    <s v="Direct"/>
    <m/>
    <m/>
    <m/>
    <s v="HAPSDCDE20251016-02"/>
    <m/>
    <m/>
    <s v="No"/>
    <n v="5019185664"/>
    <m/>
    <m/>
    <m/>
  </r>
  <r>
    <x v="0"/>
    <x v="0"/>
    <x v="2"/>
    <x v="11"/>
    <d v="2025-10-16T15:00:00"/>
    <s v="372072_OOS"/>
    <s v="Loading"/>
    <s v="NWW-ROAD_OOS"/>
    <s v="Aval non piloté_EN"/>
    <s v="Kuehne   Nagel Logistics B.V."/>
    <m/>
    <m/>
    <s v="No"/>
    <s v="NL Haps DC (DSV)"/>
    <s v="OOS_OUT - Delivery OOS"/>
    <n v="15"/>
    <n v="0"/>
    <n v="0"/>
    <n v="0"/>
    <n v="5019135682"/>
    <x v="0"/>
    <m/>
    <s v="17/10/2025 12:00-12:00"/>
    <m/>
    <n v="0"/>
    <m/>
    <s v="No"/>
    <s v="Shipped/Received"/>
    <s v="Direct"/>
    <m/>
    <m/>
    <s v="knmoe.forwarding@kuehne-nagel.com"/>
    <m/>
    <m/>
    <m/>
    <s v="No"/>
    <s v="&amp;nbsp"/>
    <m/>
    <m/>
    <m/>
  </r>
  <r>
    <x v="0"/>
    <x v="0"/>
    <x v="2"/>
    <x v="11"/>
    <d v="2025-10-16T15:00:00"/>
    <s v="371394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147557"/>
    <x v="0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5:00:00"/>
    <s v="0006080981_4900"/>
    <s v="Loading"/>
    <n v="453827"/>
    <s v="Primary flows"/>
    <s v="LKW WALTER FOR SN 3PO"/>
    <m/>
    <m/>
    <s v="No"/>
    <s v="NL Haps DC (DSV)"/>
    <s v="ALZE - DE Alzenau"/>
    <n v="33"/>
    <n v="0"/>
    <n v="0"/>
    <n v="0"/>
    <s v="1  01"/>
    <x v="1"/>
    <m/>
    <s v="17/10/2025 10:00-10:00"/>
    <m/>
    <n v="0"/>
    <m/>
    <s v="No"/>
    <s v="Shipped/Received"/>
    <s v="Direct"/>
    <m/>
    <m/>
    <m/>
    <s v="HAPSDCDE20251016-01"/>
    <m/>
    <m/>
    <s v="No"/>
    <n v="5019190173"/>
    <m/>
    <m/>
    <m/>
  </r>
  <r>
    <x v="0"/>
    <x v="0"/>
    <x v="2"/>
    <x v="11"/>
    <d v="2025-10-16T16:00:00"/>
    <s v="364888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143688"/>
    <x v="0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6:00:00"/>
    <s v="371391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083216 5019111018 5019111211 5019089755 5019107027 5019121492"/>
    <x v="0"/>
    <m/>
    <s v="17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1"/>
    <d v="2025-10-16T16:00:00"/>
    <s v="0006080983_4900"/>
    <s v="Loading"/>
    <n v="453850"/>
    <s v="Primary flows"/>
    <s v="LKW WALTER FOR SN 3PO"/>
    <m/>
    <m/>
    <s v="No"/>
    <s v="NL Haps DC (DSV)"/>
    <s v="ALZE - DE Alzenau"/>
    <n v="33"/>
    <n v="0"/>
    <n v="0"/>
    <n v="0"/>
    <s v="1  01"/>
    <x v="1"/>
    <m/>
    <s v="17/10/2025 10:00-10:00"/>
    <m/>
    <n v="0"/>
    <m/>
    <s v="No"/>
    <s v="Shipped/Received"/>
    <s v="Direct"/>
    <m/>
    <m/>
    <m/>
    <s v="HAPSDCDE20251016-03"/>
    <m/>
    <m/>
    <s v="No"/>
    <n v="5019161637"/>
    <m/>
    <m/>
    <m/>
  </r>
  <r>
    <x v="0"/>
    <x v="0"/>
    <x v="2"/>
    <x v="11"/>
    <d v="2025-10-16T17:00:00"/>
    <s v="0006080995_4900"/>
    <s v="Loading"/>
    <n v="453834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23/10/2025 16:00-16:00"/>
    <m/>
    <n v="0"/>
    <m/>
    <s v="No"/>
    <s v="Shipped/Received"/>
    <s v="Direct"/>
    <m/>
    <m/>
    <m/>
    <s v="HAPSDCSE20251016-01"/>
    <m/>
    <m/>
    <s v="No"/>
    <n v="5019190403"/>
    <m/>
    <m/>
    <m/>
  </r>
  <r>
    <x v="0"/>
    <x v="0"/>
    <x v="2"/>
    <x v="11"/>
    <d v="2025-10-16T17:00:00"/>
    <s v="369472_OOS"/>
    <s v="Loading"/>
    <s v="UA-ROAD_OOS"/>
    <s v="Aval non piloté_EN"/>
    <s v="MHP PrJSC"/>
    <m/>
    <m/>
    <s v="No"/>
    <s v="NL Haps DC (DSV)"/>
    <s v="OOS_OUT - Delivery OOS"/>
    <n v="20"/>
    <n v="0"/>
    <n v="0"/>
    <n v="0"/>
    <s v="5019067878 + 5019084402 + 5019081130 + 5019125023 + 5019134890 + 5019120438 + 5019123812"/>
    <x v="1"/>
    <m/>
    <s v="17/10/2025 12:00-12:00"/>
    <m/>
    <n v="0"/>
    <m/>
    <s v="No"/>
    <s v="Shipped/Received"/>
    <s v="Direct"/>
    <m/>
    <m/>
    <s v="olha.pakon@danone.com"/>
    <m/>
    <m/>
    <m/>
    <s v="No"/>
    <s v="&amp;nbsp"/>
    <m/>
    <m/>
    <m/>
  </r>
  <r>
    <x v="0"/>
    <x v="0"/>
    <x v="2"/>
    <x v="11"/>
    <d v="2025-10-16T18:00:00"/>
    <s v="0006096616_4900"/>
    <s v="Loading"/>
    <n v="459558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23/10/2025 11:00-11:00"/>
    <m/>
    <n v="0"/>
    <m/>
    <s v="No"/>
    <s v="Shipped/Received"/>
    <s v="Direct"/>
    <m/>
    <m/>
    <m/>
    <s v="HAPSDCIT20251016-02"/>
    <m/>
    <m/>
    <s v="No"/>
    <n v="5019180097"/>
    <m/>
    <m/>
    <m/>
  </r>
  <r>
    <x v="0"/>
    <x v="0"/>
    <x v="2"/>
    <x v="11"/>
    <d v="2025-10-16T18:00:00"/>
    <s v="0006080984_4900"/>
    <s v="Loading"/>
    <s v="460628 / 453867"/>
    <s v="Primary flows / Primary flows"/>
    <s v="CH ROBINSON FOR SN 3PO HVO"/>
    <m/>
    <m/>
    <s v="No"/>
    <s v="NL Haps DC (DSV)"/>
    <s v="CIE2 - ES Ciempozuelos SN / CIE2 - ES Ciempozuelos SN"/>
    <n v="66"/>
    <n v="0"/>
    <n v="0"/>
    <n v="0"/>
    <s v="1  01"/>
    <x v="1"/>
    <m/>
    <s v="20/10/2025 09:00-09:00"/>
    <s v="SZ663 "/>
    <n v="0"/>
    <m/>
    <s v="No"/>
    <s v="Shipped/Received"/>
    <s v="Direct"/>
    <s v=" / "/>
    <s v=" / "/>
    <m/>
    <s v="HAPSDCES20251016-01 / HAPSDCES20251016-01"/>
    <m/>
    <m/>
    <s v="No"/>
    <s v="5019179675 / 5019179432"/>
    <s v="MYS064 "/>
    <m/>
    <m/>
  </r>
  <r>
    <x v="0"/>
    <x v="0"/>
    <x v="2"/>
    <x v="11"/>
    <d v="2025-10-16T19:00:00"/>
    <s v="0006080987_4900"/>
    <s v="Loading"/>
    <n v="453840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7/10/2025 08:30-08:30"/>
    <m/>
    <n v="0"/>
    <m/>
    <s v="No"/>
    <s v="Shipped/Received"/>
    <s v="Direct"/>
    <m/>
    <m/>
    <m/>
    <s v="HAPSDCFR20251016-03"/>
    <m/>
    <m/>
    <s v="No"/>
    <n v="5019184925"/>
    <m/>
    <m/>
    <m/>
  </r>
  <r>
    <x v="0"/>
    <x v="0"/>
    <x v="2"/>
    <x v="11"/>
    <d v="2025-10-16T19:00:00"/>
    <s v="0006080989_4900"/>
    <s v="Loading"/>
    <n v="453872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22/10/2025 03:00-03:00"/>
    <m/>
    <n v="0"/>
    <m/>
    <s v="No"/>
    <s v="Shipped/Received"/>
    <s v="Direct"/>
    <m/>
    <m/>
    <m/>
    <s v="HAPSDCIT20251016-01"/>
    <m/>
    <m/>
    <s v="No"/>
    <n v="5019191241"/>
    <m/>
    <m/>
    <m/>
  </r>
  <r>
    <x v="0"/>
    <x v="0"/>
    <x v="2"/>
    <x v="11"/>
    <d v="2025-10-16T19:00:00"/>
    <s v="0006080993_4900"/>
    <s v="Loading"/>
    <s v="460230 / 453890"/>
    <s v="Primary flows / Primary flows"/>
    <s v="GIRTEKA FOR SN 3PO"/>
    <m/>
    <m/>
    <s v="No"/>
    <s v="NL Haps DC (DSV)"/>
    <s v="AZA2 - PT Azambuja Ambient / AZA2 - PT Azambuja Ambient"/>
    <n v="66"/>
    <n v="0"/>
    <n v="0"/>
    <n v="0"/>
    <s v="1  01"/>
    <x v="1"/>
    <m/>
    <s v="20/10/2025 16:00-16:00"/>
    <m/>
    <n v="0"/>
    <m/>
    <s v="No"/>
    <s v="Shipped/Received"/>
    <s v="Direct"/>
    <s v=" / "/>
    <s v=" / "/>
    <m/>
    <s v="HAPSDCPT20251016-01 / HAPSDCPT20251016-01"/>
    <m/>
    <m/>
    <s v="No"/>
    <s v="5019191203 / 5019176196"/>
    <m/>
    <m/>
    <m/>
  </r>
  <r>
    <x v="0"/>
    <x v="0"/>
    <x v="2"/>
    <x v="12"/>
    <d v="2025-10-17T06:00:00"/>
    <s v="0006088403_4900"/>
    <s v="Loading"/>
    <n v="456565"/>
    <s v="Primary flows"/>
    <s v="SAMSKIP FOR SN 3PO"/>
    <m/>
    <m/>
    <s v="No"/>
    <s v="NL Haps DC (DSV)"/>
    <s v="REDD - GB Redditch"/>
    <n v="33"/>
    <n v="0"/>
    <n v="0"/>
    <n v="0"/>
    <s v="1  01"/>
    <x v="1"/>
    <m/>
    <s v="23/10/2025 18:00-18:00"/>
    <m/>
    <n v="0"/>
    <m/>
    <s v="No"/>
    <s v="Shipped/Received"/>
    <s v="Direct"/>
    <m/>
    <m/>
    <m/>
    <s v="HAPSDCUK20251017-06"/>
    <m/>
    <m/>
    <s v="No"/>
    <n v="5019204723"/>
    <m/>
    <m/>
    <m/>
  </r>
  <r>
    <x v="0"/>
    <x v="0"/>
    <x v="2"/>
    <x v="12"/>
    <d v="2025-10-17T06:00:00"/>
    <s v="0006080954_4900"/>
    <s v="Loading"/>
    <s v="460149 / 453839"/>
    <s v="Primary flows / Primary flows"/>
    <s v="HELLMANN FOR SN 3PO"/>
    <m/>
    <m/>
    <s v="No"/>
    <s v="NL Haps DC (DSV)"/>
    <s v="CIE2 - ES Ciempozuelos SN / CIE2 - ES Ciempozuelos SN"/>
    <n v="66"/>
    <n v="0"/>
    <n v="0"/>
    <n v="0"/>
    <s v="1 01"/>
    <x v="3"/>
    <m/>
    <s v="21/10/2025 14:00-14:00"/>
    <m/>
    <n v="0"/>
    <m/>
    <s v="No"/>
    <s v="Shipped/Received"/>
    <s v="Direct"/>
    <s v=" / "/>
    <s v=" / "/>
    <m/>
    <s v="HAPSDCES20251015-01 / HAPSDCES20251015-01"/>
    <m/>
    <m/>
    <s v="No"/>
    <s v="5019179861 / 5019155305"/>
    <m/>
    <m/>
    <m/>
  </r>
  <r>
    <x v="0"/>
    <x v="0"/>
    <x v="2"/>
    <x v="12"/>
    <d v="2025-10-17T06:00:00"/>
    <s v="0006088402_4900"/>
    <s v="Loading"/>
    <n v="456586"/>
    <s v="Primary flows"/>
    <s v="SAMSKIP FOR SN 3PO"/>
    <m/>
    <m/>
    <s v="No"/>
    <s v="NL Haps DC (DSV)"/>
    <s v="REDD - GB Redditch"/>
    <n v="33"/>
    <n v="0"/>
    <n v="0"/>
    <n v="0"/>
    <s v="1  01"/>
    <x v="1"/>
    <m/>
    <s v="23/10/2025 18:00-18:00"/>
    <m/>
    <n v="0"/>
    <m/>
    <s v="No"/>
    <s v="Shipped/Received"/>
    <s v="Direct"/>
    <m/>
    <m/>
    <m/>
    <s v="HAPSDCUK20251017-05"/>
    <m/>
    <m/>
    <s v="No"/>
    <n v="5019200132"/>
    <m/>
    <m/>
    <m/>
  </r>
  <r>
    <x v="0"/>
    <x v="0"/>
    <x v="2"/>
    <x v="12"/>
    <d v="2025-10-17T07:00:00"/>
    <s v="362451_OOS"/>
    <s v="Loading"/>
    <s v="ZA-SEA-6058482_OOS"/>
    <s v="Aval non piloté_EN"/>
    <s v="Maersk - Control Tower"/>
    <m/>
    <m/>
    <s v="No"/>
    <s v="NL Haps DC (DSV)"/>
    <s v="OOS_OUT - Delivery OOS"/>
    <n v="20"/>
    <n v="0"/>
    <n v="0"/>
    <n v="0"/>
    <s v="5019096688 5019101447 "/>
    <x v="0"/>
    <m/>
    <s v="18/10/2025 00:01-00:01"/>
    <m/>
    <n v="0"/>
    <m/>
    <s v="No"/>
    <s v="Shipped/Received"/>
    <s v="Direct"/>
    <m/>
    <m/>
    <s v="nutricia.ct.eu@lns.maersk.com"/>
    <m/>
    <m/>
    <m/>
    <s v="No"/>
    <s v="&amp;nbsp"/>
    <m/>
    <m/>
    <n v="29755107"/>
  </r>
  <r>
    <x v="0"/>
    <x v="0"/>
    <x v="2"/>
    <x v="12"/>
    <d v="2025-10-17T07:00:00"/>
    <s v="374120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s v="5019191314 + 5019191349."/>
    <x v="2"/>
    <m/>
    <s v="18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2"/>
    <d v="2025-10-17T07:00:00"/>
    <s v="371581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795707 LZV"/>
    <x v="1"/>
    <m/>
    <s v="1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2"/>
    <d v="2025-10-17T08:00:00"/>
    <s v="373276_OOS"/>
    <s v="Loading"/>
    <s v="GH-SEA_OOS"/>
    <s v="Aval non piloté_EN"/>
    <s v="Mentrex"/>
    <m/>
    <m/>
    <s v="No"/>
    <s v="NL Haps DC (DSV)"/>
    <s v="OOS_OUT - Delivery OOS"/>
    <n v="28"/>
    <n v="0"/>
    <n v="0"/>
    <n v="0"/>
    <s v="5019100541   5019091309"/>
    <x v="0"/>
    <m/>
    <s v="18/10/2025 12:00-12:00"/>
    <m/>
    <n v="0"/>
    <m/>
    <s v="No"/>
    <s v="Shipped/Received"/>
    <s v="Direct"/>
    <m/>
    <m/>
    <s v="marco@mentrex.nl"/>
    <m/>
    <m/>
    <m/>
    <s v="No"/>
    <s v="&amp;nbsp"/>
    <m/>
    <m/>
    <m/>
  </r>
  <r>
    <x v="0"/>
    <x v="0"/>
    <x v="2"/>
    <x v="12"/>
    <d v="2025-10-17T08:00:00"/>
    <s v="0006081004_4900"/>
    <s v="Loading"/>
    <s v="453844 / 453845"/>
    <s v="Primary flows / Primary flows"/>
    <s v="SAMSKIP FOR SN 3PO"/>
    <m/>
    <m/>
    <s v="No"/>
    <s v="NL Haps DC (DSV)"/>
    <s v="DUBL - IE Dublin (United Drug) / DUB3 - IE Dublin (Pemberton)"/>
    <n v="66"/>
    <n v="0"/>
    <n v="0"/>
    <n v="0"/>
    <s v="1  01"/>
    <x v="1"/>
    <m/>
    <s v="19/10/2025 23:00-23:00 / 17/10/2025 18:00-18:00"/>
    <m/>
    <n v="0"/>
    <m/>
    <s v="No"/>
    <s v="Shipped/Received"/>
    <s v="Direct"/>
    <s v=" / "/>
    <s v=" / "/>
    <m/>
    <s v="HAPSDCIE20251017-01 / HAPSDCIE20251017-01"/>
    <m/>
    <m/>
    <s v="No"/>
    <s v="5019201086 / 5019190190"/>
    <m/>
    <m/>
    <m/>
  </r>
  <r>
    <x v="0"/>
    <x v="0"/>
    <x v="2"/>
    <x v="12"/>
    <d v="2025-10-17T08:00:00"/>
    <s v="362453_OOS"/>
    <s v="Loading"/>
    <s v="ZA-SEA-6058484_OOS"/>
    <s v="Aval non piloté_EN"/>
    <s v="Maersk - Control Tower"/>
    <m/>
    <m/>
    <s v="No"/>
    <s v="NL Haps DC (DSV)"/>
    <s v="OOS_OUT - Delivery OOS"/>
    <n v="20"/>
    <n v="0"/>
    <n v="0"/>
    <n v="0"/>
    <s v="5019122964 5019102109 5019103879"/>
    <x v="0"/>
    <m/>
    <s v="18/10/2025 00:02-00:02"/>
    <m/>
    <n v="0"/>
    <m/>
    <s v="No"/>
    <s v="Shipped/Received"/>
    <s v="Direct"/>
    <m/>
    <m/>
    <s v="nutricia.ct.eu@lns.maersk.com"/>
    <m/>
    <m/>
    <m/>
    <s v="No"/>
    <s v="&amp;nbsp"/>
    <m/>
    <m/>
    <n v="30415019"/>
  </r>
  <r>
    <x v="0"/>
    <x v="0"/>
    <x v="2"/>
    <x v="12"/>
    <d v="2025-10-17T09:00:00"/>
    <s v="0006081005_4900"/>
    <s v="Loading"/>
    <n v="453884"/>
    <s v="Primary flows"/>
    <s v="SAMSKIP FOR SN 3PO"/>
    <m/>
    <m/>
    <s v="No"/>
    <s v="NL Haps DC (DSV)"/>
    <s v="GREZ - IT Grezzago (Pozzuolo Martesana)"/>
    <n v="33"/>
    <n v="0"/>
    <n v="0"/>
    <n v="0"/>
    <s v="1  01"/>
    <x v="1"/>
    <m/>
    <s v="24/10/2025 23:00-23:00"/>
    <m/>
    <n v="0"/>
    <m/>
    <s v="No"/>
    <s v="Shipped/Received"/>
    <s v="Direct"/>
    <m/>
    <m/>
    <m/>
    <s v="HAPSDCIT20251017-01"/>
    <m/>
    <m/>
    <s v="No"/>
    <n v="5019182185"/>
    <m/>
    <m/>
    <m/>
  </r>
  <r>
    <x v="0"/>
    <x v="0"/>
    <x v="2"/>
    <x v="12"/>
    <d v="2025-10-17T09:00:00"/>
    <s v="364711_OOS"/>
    <s v="Loading"/>
    <s v="AU-SEA-6068700_OOS"/>
    <s v="Aval non piloté_EN"/>
    <s v="MAERSK - Control Tower"/>
    <m/>
    <m/>
    <s v="No"/>
    <s v="NL Haps DC (DSV)"/>
    <s v="OOS_OUT - Delivery OOS"/>
    <n v="20"/>
    <n v="0"/>
    <n v="0"/>
    <n v="0"/>
    <s v="5019123916 5019124860 "/>
    <x v="0"/>
    <m/>
    <s v="18/10/2025 00:01-00:01"/>
    <m/>
    <n v="0"/>
    <m/>
    <s v="No"/>
    <s v="Shipped/Received"/>
    <s v="Direct"/>
    <m/>
    <m/>
    <s v="nutricia.ct.eu@lns.maersk.com"/>
    <m/>
    <m/>
    <m/>
    <s v="No"/>
    <s v="&amp;nbsp"/>
    <m/>
    <m/>
    <n v="259813646"/>
  </r>
  <r>
    <x v="0"/>
    <x v="0"/>
    <x v="2"/>
    <x v="12"/>
    <d v="2025-10-17T10:00:00"/>
    <s v="372390_OOS"/>
    <s v="Loading"/>
    <s v="Kivits Elshout_OOS"/>
    <s v="Aval non piloté_EN"/>
    <s v="Koopman"/>
    <m/>
    <m/>
    <s v="No"/>
    <s v="NL Haps DC (DSV)"/>
    <s v="OOS_OUT - Delivery OOS"/>
    <n v="33"/>
    <n v="0"/>
    <n v="0"/>
    <n v="0"/>
    <n v="4505792652"/>
    <x v="0"/>
    <m/>
    <s v="18/10/2025 10:10-10:1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2"/>
    <d v="2025-10-17T10:00:00"/>
    <s v="373512_OOS"/>
    <s v="Loading"/>
    <s v="AIR - IL_OOS"/>
    <s v="Aval non piloté_EN"/>
    <s v="Geodis"/>
    <m/>
    <m/>
    <s v="No"/>
    <s v="NL Haps DC (DSV)"/>
    <s v="OOS_OUT - Delivery OOS"/>
    <n v="8"/>
    <n v="0"/>
    <n v="0"/>
    <n v="0"/>
    <n v="5019057270"/>
    <x v="0"/>
    <m/>
    <s v="18/10/2025 12:00-12:00"/>
    <m/>
    <n v="0"/>
    <m/>
    <s v="No"/>
    <s v="Shipped/Received"/>
    <s v="Direct"/>
    <m/>
    <m/>
    <s v="tom.bloos@geodis.com"/>
    <m/>
    <m/>
    <m/>
    <s v="No"/>
    <s v="&amp;nbsp"/>
    <m/>
    <m/>
    <m/>
  </r>
  <r>
    <x v="0"/>
    <x v="0"/>
    <x v="2"/>
    <x v="12"/>
    <d v="2025-10-17T10:00:00"/>
    <s v="0006088399_4900"/>
    <s v="Loading"/>
    <n v="456573"/>
    <s v="Primary flows"/>
    <s v="SAMSKIP FOR SN 3PO"/>
    <m/>
    <m/>
    <s v="No"/>
    <s v="NL Haps DC (DSV)"/>
    <s v="REDD - GB Redditch"/>
    <n v="33"/>
    <n v="0"/>
    <n v="0"/>
    <n v="0"/>
    <s v="1  01"/>
    <x v="1"/>
    <m/>
    <s v="23/10/2025 18:00-18:00"/>
    <m/>
    <n v="0"/>
    <m/>
    <s v="No"/>
    <s v="Shipped/Received"/>
    <s v="Direct"/>
    <m/>
    <m/>
    <m/>
    <s v="HAPSDCUK20251017-02"/>
    <m/>
    <m/>
    <s v="No"/>
    <n v="5019195498"/>
    <m/>
    <m/>
    <m/>
  </r>
  <r>
    <x v="0"/>
    <x v="0"/>
    <x v="2"/>
    <x v="12"/>
    <d v="2025-10-17T11:00:00"/>
    <s v="373690_OOS"/>
    <s v="Loading"/>
    <s v="HK-AIR_OOS"/>
    <s v="Aval non piloté_EN"/>
    <s v="GEODIS"/>
    <m/>
    <m/>
    <s v="No"/>
    <s v="NL Haps DC (DSV)"/>
    <s v="OOS_OUT - Delivery OOS"/>
    <n v="5"/>
    <n v="0"/>
    <n v="0"/>
    <n v="0"/>
    <s v="HK 5019090947"/>
    <x v="2"/>
    <m/>
    <s v="1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2"/>
    <d v="2025-10-17T11:00:00"/>
    <s v="0006088398_4900"/>
    <s v="Loading"/>
    <n v="456570"/>
    <s v="Primary flows"/>
    <s v="GIRTEKA FOR SN 3PO"/>
    <m/>
    <m/>
    <s v="No"/>
    <s v="NL Haps DC (DSV)"/>
    <s v="REDD - GB Redditch"/>
    <n v="33"/>
    <n v="0"/>
    <n v="0"/>
    <n v="0"/>
    <s v="1  01"/>
    <x v="1"/>
    <m/>
    <s v="20/10/2025 12:00-12:00"/>
    <s v="PZ_2K094"/>
    <n v="0"/>
    <m/>
    <s v="No"/>
    <s v="Shipped/Received"/>
    <s v="Direct"/>
    <m/>
    <m/>
    <m/>
    <s v="HAPSDCUK20251017-01"/>
    <m/>
    <m/>
    <s v="No"/>
    <n v="5019188986"/>
    <s v="PZ_3R587"/>
    <s v="Aliaksandr Kot"/>
    <m/>
  </r>
  <r>
    <x v="0"/>
    <x v="0"/>
    <x v="2"/>
    <x v="12"/>
    <d v="2025-10-17T11:00:00"/>
    <s v="0006088401_4900"/>
    <s v="Loading"/>
    <n v="456584"/>
    <s v="Primary flows"/>
    <s v="SAMSKIP FOR SN 3PO"/>
    <m/>
    <m/>
    <s v="No"/>
    <s v="NL Haps DC (DSV)"/>
    <s v="REDD - GB Redditch"/>
    <n v="33"/>
    <n v="0"/>
    <n v="0"/>
    <n v="0"/>
    <s v="1  01"/>
    <x v="1"/>
    <m/>
    <s v="23/10/2025 18:00-18:00"/>
    <m/>
    <n v="0"/>
    <m/>
    <s v="No"/>
    <s v="Shipped/Received"/>
    <s v="Direct"/>
    <m/>
    <m/>
    <m/>
    <s v="HAPSDCUK20251017-04"/>
    <m/>
    <m/>
    <s v="No"/>
    <n v="5019200131"/>
    <m/>
    <m/>
    <m/>
  </r>
  <r>
    <x v="0"/>
    <x v="0"/>
    <x v="2"/>
    <x v="12"/>
    <d v="2025-10-17T11:00:00"/>
    <s v="0006080902_4900"/>
    <s v="Loading"/>
    <s v="461523 / 453843"/>
    <s v="Primary flows / Primary flows"/>
    <s v="HELLMANN FOR SN 3PO"/>
    <m/>
    <m/>
    <s v="No"/>
    <s v="NL Haps DC (DSV)"/>
    <s v="NEUE - CH Neuendorf (MURPF) SN / NEUE - CH Neuendorf (MURPF) SN"/>
    <n v="66"/>
    <n v="0"/>
    <n v="0"/>
    <n v="0"/>
    <s v="1  01"/>
    <x v="1"/>
    <m/>
    <s v="20/10/2025 10:30-10:30"/>
    <m/>
    <n v="0"/>
    <m/>
    <s v="No"/>
    <s v="Shipped/Received"/>
    <s v="Direct"/>
    <s v=" / "/>
    <s v=" / "/>
    <m/>
    <s v="HAPSDCCH20251014-01 / HAPSDCCH20251014-01"/>
    <m/>
    <m/>
    <s v="No"/>
    <s v="5019190982 / 5019187395"/>
    <m/>
    <m/>
    <m/>
  </r>
  <r>
    <x v="0"/>
    <x v="0"/>
    <x v="2"/>
    <x v="12"/>
    <d v="2025-10-17T12:00:00"/>
    <s v="0006081011_4900"/>
    <s v="Loading"/>
    <s v="461022 / 453873"/>
    <s v="Primary flows / Primary flows"/>
    <s v="LKW WALTER FOR SN 3PO HVO"/>
    <m/>
    <m/>
    <s v="No"/>
    <s v="NL Haps DC (DSV)"/>
    <s v="HELS - SE Helsingborg / HELS - SE Helsingborg"/>
    <n v="66"/>
    <n v="0"/>
    <n v="0"/>
    <n v="0"/>
    <s v="1  01"/>
    <x v="1"/>
    <m/>
    <s v="24/10/2025 16:00-16:00"/>
    <m/>
    <n v="0"/>
    <m/>
    <s v="No"/>
    <s v="Shipped/Received"/>
    <s v="Direct"/>
    <s v=" / "/>
    <s v=" / "/>
    <m/>
    <s v="HAPSDCSE20251017-01 / HAPSDCSE20251017-01"/>
    <m/>
    <m/>
    <s v="No"/>
    <s v="5019196140 / 5019190264"/>
    <m/>
    <m/>
    <m/>
  </r>
  <r>
    <x v="0"/>
    <x v="0"/>
    <x v="2"/>
    <x v="12"/>
    <d v="2025-10-17T12:00:00"/>
    <s v="372899_OOS"/>
    <s v="Loading"/>
    <s v="CN-AIR_OOS"/>
    <s v="Aval non piloté_EN"/>
    <s v="KERRY LOGISTICS"/>
    <m/>
    <m/>
    <s v="No"/>
    <s v="NL Haps DC (DSV)"/>
    <s v="OOS_OUT - Delivery OOS"/>
    <n v="19"/>
    <n v="0"/>
    <n v="0"/>
    <n v="0"/>
    <s v="CN 5019189127 (11PL) 5019179956 (5PL)"/>
    <x v="0"/>
    <m/>
    <s v="1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2"/>
    <x v="12"/>
    <d v="2025-10-17T12:00:00"/>
    <s v="0006088400_4900"/>
    <s v="Loading"/>
    <n v="456578"/>
    <s v="Primary flows"/>
    <s v="SAMSKIP FOR SN 3PO"/>
    <m/>
    <m/>
    <s v="No"/>
    <s v="NL Haps DC (DSV)"/>
    <s v="REDD - GB Redditch"/>
    <n v="33"/>
    <n v="0"/>
    <n v="0"/>
    <n v="0"/>
    <s v="1  01"/>
    <x v="1"/>
    <m/>
    <s v="23/10/2025 18:00-18:00"/>
    <m/>
    <n v="0"/>
    <m/>
    <s v="No"/>
    <s v="Shipped/Received"/>
    <s v="Direct"/>
    <m/>
    <m/>
    <m/>
    <s v="HAPSDCUK20251017-03"/>
    <m/>
    <m/>
    <s v="No"/>
    <n v="5019187397"/>
    <m/>
    <m/>
    <m/>
  </r>
  <r>
    <x v="0"/>
    <x v="0"/>
    <x v="2"/>
    <x v="12"/>
    <d v="2025-10-17T12:00:00"/>
    <s v="369470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190760 + 5019190402"/>
    <x v="0"/>
    <m/>
    <s v="18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2"/>
    <x v="12"/>
    <d v="2025-10-17T13:00:00"/>
    <s v="0006080999_4900"/>
    <s v="Loading"/>
    <n v="453875"/>
    <s v="Primary flows"/>
    <s v="LKW WALTER FOR SN 3PO"/>
    <m/>
    <m/>
    <s v="No"/>
    <s v="NL Haps DC (DSV)"/>
    <s v="ALZE - DE Alzenau"/>
    <n v="33"/>
    <n v="0"/>
    <n v="0"/>
    <n v="0"/>
    <s v="1  01"/>
    <x v="1"/>
    <m/>
    <s v="19/10/2025 23:30-23:30"/>
    <m/>
    <n v="0"/>
    <m/>
    <s v="No"/>
    <s v="Shipped/Received"/>
    <s v="Direct"/>
    <m/>
    <m/>
    <m/>
    <s v="HAPSDCDE20251017-02"/>
    <m/>
    <m/>
    <s v="No"/>
    <n v="5019187177"/>
    <m/>
    <m/>
    <m/>
  </r>
  <r>
    <x v="0"/>
    <x v="0"/>
    <x v="2"/>
    <x v="12"/>
    <d v="2025-10-17T13:00:00"/>
    <s v="0006100960_4900"/>
    <s v="Loading"/>
    <n v="460915"/>
    <s v="Primary flows"/>
    <s v="LKW WALTER FOR SN 3PO"/>
    <m/>
    <m/>
    <s v="No"/>
    <s v="NL Haps DC (DSV)"/>
    <s v="REDD - GB Redditch"/>
    <n v="33"/>
    <n v="0"/>
    <n v="0"/>
    <n v="0"/>
    <s v="1  01"/>
    <x v="1"/>
    <m/>
    <s v="20/10/2025 13:00-13:00"/>
    <m/>
    <n v="0"/>
    <m/>
    <s v="No"/>
    <s v="Shipped/Received"/>
    <s v="Direct"/>
    <m/>
    <m/>
    <m/>
    <s v="HAPSDCUK20251017-07"/>
    <m/>
    <m/>
    <s v="No"/>
    <n v="5019162383"/>
    <m/>
    <m/>
    <m/>
  </r>
  <r>
    <x v="0"/>
    <x v="0"/>
    <x v="2"/>
    <x v="12"/>
    <d v="2025-10-17T13:00:00"/>
    <s v="369471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185447 + 5019180026"/>
    <x v="0"/>
    <m/>
    <s v="18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2"/>
    <x v="12"/>
    <d v="2025-10-17T13:00:00"/>
    <s v="373188_OOS"/>
    <s v="Loading"/>
    <s v="US-AIR_OOS"/>
    <s v="Aval non piloté_EN"/>
    <s v="MAERSK"/>
    <m/>
    <m/>
    <s v="No"/>
    <s v="NL Haps DC (DSV)"/>
    <s v="OOS_OUT - Delivery OOS"/>
    <n v="24"/>
    <n v="0"/>
    <n v="0"/>
    <n v="0"/>
    <s v="US 5019124274 - 23P"/>
    <x v="0"/>
    <m/>
    <s v="18/10/2025 13:00-13:00"/>
    <m/>
    <n v="0"/>
    <m/>
    <s v="No"/>
    <s v="Shipped/Received"/>
    <s v="Direct"/>
    <m/>
    <m/>
    <s v="export.AMS@maersk.com"/>
    <m/>
    <m/>
    <m/>
    <s v="No"/>
    <s v="&amp;nbsp"/>
    <m/>
    <m/>
    <m/>
  </r>
  <r>
    <x v="0"/>
    <x v="0"/>
    <x v="2"/>
    <x v="12"/>
    <d v="2025-10-17T14:00:00"/>
    <s v="372762_OOS"/>
    <s v="Loading"/>
    <s v="IR-ROAD_OOS"/>
    <s v="Aval non piloté_EN"/>
    <s v="EXPEDITE ONE"/>
    <m/>
    <m/>
    <s v="No"/>
    <s v="NL Haps DC (DSV)"/>
    <s v="OOS_OUT - Delivery OOS"/>
    <n v="20"/>
    <n v="0"/>
    <n v="0"/>
    <n v="0"/>
    <n v="5019059153"/>
    <x v="0"/>
    <m/>
    <s v="18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2"/>
    <x v="12"/>
    <d v="2025-10-17T14:00:00"/>
    <s v="0006101991_4900"/>
    <s v="Loading"/>
    <n v="461247"/>
    <s v="Primary flows"/>
    <s v="HELLMANN FOR SN 3PO"/>
    <m/>
    <m/>
    <s v="No"/>
    <s v="NL Haps DC (DSV)"/>
    <s v="GREZ - IT Grezzago (Pozzuolo Martesana)"/>
    <n v="33"/>
    <n v="0"/>
    <n v="0"/>
    <n v="0"/>
    <s v="1  01"/>
    <x v="1"/>
    <m/>
    <s v="20/10/2025 12:00-12:00"/>
    <m/>
    <n v="0"/>
    <m/>
    <s v="No"/>
    <s v="Shipped/Received"/>
    <s v="Direct"/>
    <m/>
    <m/>
    <m/>
    <s v="HAPSDCIT20251017-03"/>
    <m/>
    <m/>
    <s v="No"/>
    <n v="5019200143"/>
    <m/>
    <m/>
    <m/>
  </r>
  <r>
    <x v="0"/>
    <x v="0"/>
    <x v="2"/>
    <x v="12"/>
    <d v="2025-10-17T14:00:00"/>
    <s v="0006080956_4900"/>
    <s v="Loading"/>
    <s v="461020 / 453831"/>
    <s v="Primary flows / Primary flows"/>
    <s v="P AND O FOR SN 3PO"/>
    <m/>
    <m/>
    <s v="No"/>
    <s v="NL Haps DC (DSV)"/>
    <s v="TAMP - FI Tampere / TAMP - FI Tampere"/>
    <n v="66"/>
    <n v="0"/>
    <n v="0"/>
    <n v="0"/>
    <s v="1  01"/>
    <x v="1"/>
    <m/>
    <s v="22/10/2025 16:00-16:00"/>
    <m/>
    <n v="0"/>
    <m/>
    <s v="No"/>
    <s v="Shipped/Received"/>
    <s v="Direct"/>
    <s v=" / "/>
    <s v=" / "/>
    <m/>
    <s v="HAPSDCFI20251015-01 / HAPSDCFI20251015-01"/>
    <m/>
    <m/>
    <s v="No"/>
    <s v="5019190464 / 5019185033"/>
    <m/>
    <m/>
    <m/>
  </r>
  <r>
    <x v="0"/>
    <x v="0"/>
    <x v="2"/>
    <x v="12"/>
    <d v="2025-10-17T14:00:00"/>
    <s v="373189_OOS"/>
    <s v="Loading"/>
    <s v="US-AIR_OOS"/>
    <s v="Aval non piloté_EN"/>
    <s v="MAERSK"/>
    <m/>
    <m/>
    <s v="No"/>
    <s v="NL Haps DC (DSV)"/>
    <s v="OOS_OUT - Delivery OOS"/>
    <n v="10"/>
    <n v="0"/>
    <n v="0"/>
    <n v="0"/>
    <s v="US 5019130306 - 10P"/>
    <x v="2"/>
    <m/>
    <s v="18/10/2025 14:00-14:00"/>
    <m/>
    <n v="0"/>
    <m/>
    <s v="No"/>
    <s v="Shipped/Received"/>
    <s v="Direct"/>
    <m/>
    <m/>
    <s v="export.AMS@maersk.com"/>
    <m/>
    <m/>
    <m/>
    <s v="No"/>
    <s v="&amp;nbsp"/>
    <m/>
    <m/>
    <m/>
  </r>
  <r>
    <x v="0"/>
    <x v="0"/>
    <x v="2"/>
    <x v="12"/>
    <d v="2025-10-17T15:00:00"/>
    <s v="0006081000_4900"/>
    <s v="Loading"/>
    <n v="453863"/>
    <s v="Primary flows"/>
    <s v="LKW WALTER FOR SN 3PO"/>
    <m/>
    <m/>
    <s v="No"/>
    <s v="NL Haps DC (DSV)"/>
    <s v="ALZE - DE Alzenau"/>
    <n v="33"/>
    <n v="0"/>
    <n v="0"/>
    <n v="0"/>
    <s v="1  01"/>
    <x v="1"/>
    <m/>
    <s v="19/10/2025 23:30-23:30"/>
    <m/>
    <n v="0"/>
    <m/>
    <s v="No"/>
    <s v="Shipped/Received"/>
    <s v="Direct"/>
    <m/>
    <m/>
    <m/>
    <s v="HAPSDCDE20251017-03"/>
    <m/>
    <m/>
    <s v="No"/>
    <n v="5019190621"/>
    <m/>
    <m/>
    <m/>
  </r>
  <r>
    <x v="0"/>
    <x v="0"/>
    <x v="2"/>
    <x v="12"/>
    <d v="2025-10-17T15:00:00"/>
    <s v="373779_OOS"/>
    <s v="Loading"/>
    <s v="ARG - AIR_OOS"/>
    <s v="Aval non piloté_EN"/>
    <s v="MAERSK"/>
    <m/>
    <m/>
    <s v="No"/>
    <s v="NL Haps DC (DSV)"/>
    <s v="OOS_OUT - Delivery OOS"/>
    <n v="1"/>
    <n v="0"/>
    <n v="0"/>
    <n v="0"/>
    <s v="ARG AIR EXW- 5019089949 -1P"/>
    <x v="2"/>
    <m/>
    <s v="18/10/2025 15:00-15:00"/>
    <m/>
    <n v="0"/>
    <m/>
    <s v="No"/>
    <s v="Shipped/Received"/>
    <s v="Direct"/>
    <m/>
    <m/>
    <s v="export.AMS@maersk.com"/>
    <m/>
    <m/>
    <m/>
    <s v="No"/>
    <s v="&amp;nbsp"/>
    <m/>
    <m/>
    <m/>
  </r>
  <r>
    <x v="0"/>
    <x v="0"/>
    <x v="2"/>
    <x v="12"/>
    <d v="2025-10-17T15:00:00"/>
    <s v="372764_OOS"/>
    <s v="Loading"/>
    <s v="IR-ROAD_OOS"/>
    <s v="Aval non piloté_EN"/>
    <s v="EXPEDITE ONE"/>
    <m/>
    <m/>
    <s v="No"/>
    <s v="NL Haps DC (DSV)"/>
    <s v="OOS_OUT - Delivery OOS"/>
    <n v="20"/>
    <n v="0"/>
    <n v="0"/>
    <n v="0"/>
    <n v="5019072362"/>
    <x v="0"/>
    <m/>
    <s v="18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2"/>
    <x v="12"/>
    <d v="2025-10-17T16:00:00"/>
    <s v="0006081003_4900"/>
    <s v="Loading"/>
    <s v="461021 / 453856"/>
    <s v="Primary flows / Primary flows"/>
    <s v="KREISS FOR SN 3PO"/>
    <m/>
    <m/>
    <s v="No"/>
    <s v="NL Haps DC (DSV)"/>
    <s v="CIE2 - ES Ciempozuelos SN / CIE2 - ES Ciempozuelos SN"/>
    <n v="66"/>
    <n v="0"/>
    <n v="0"/>
    <n v="0"/>
    <s v="1  01"/>
    <x v="1"/>
    <m/>
    <s v="20/10/2025 14:00-14:00"/>
    <m/>
    <n v="0"/>
    <m/>
    <s v="No"/>
    <s v="Shipped/Received"/>
    <s v="Direct"/>
    <s v=" / "/>
    <s v=" / "/>
    <m/>
    <s v="HAPSDCES20251017-02 / HAPSDCES20251017-02"/>
    <m/>
    <m/>
    <s v="No"/>
    <s v="5019194544 / 5019193377"/>
    <m/>
    <m/>
    <m/>
  </r>
  <r>
    <x v="0"/>
    <x v="0"/>
    <x v="2"/>
    <x v="12"/>
    <d v="2025-10-17T16:00:00"/>
    <s v="372765_OOS"/>
    <s v="Loading"/>
    <s v="IR-ROAD_OOS"/>
    <s v="Aval non piloté_EN"/>
    <s v="EXPEDITE ONE"/>
    <m/>
    <m/>
    <s v="No"/>
    <s v="NL Haps DC (DSV)"/>
    <s v="OOS_OUT - Delivery OOS"/>
    <n v="20"/>
    <n v="0"/>
    <n v="0"/>
    <n v="0"/>
    <n v="5019062475"/>
    <x v="0"/>
    <m/>
    <s v="18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2"/>
    <x v="12"/>
    <d v="2025-10-17T16:00:00"/>
    <s v="373277_OOS"/>
    <s v="Loading"/>
    <s v="GH-SEA_OOS"/>
    <s v="Aval non piloté_EN"/>
    <s v="Mentrex"/>
    <m/>
    <m/>
    <s v="No"/>
    <s v="NL Haps DC (DSV)"/>
    <s v="OOS_OUT - Delivery OOS"/>
    <n v="16"/>
    <n v="0"/>
    <n v="0"/>
    <n v="0"/>
    <n v="5019090399"/>
    <x v="0"/>
    <m/>
    <s v="18/10/2025 12:00-12:00"/>
    <m/>
    <n v="0"/>
    <m/>
    <s v="No"/>
    <s v="Shipped/Received"/>
    <s v="Direct"/>
    <m/>
    <m/>
    <s v="marco@mentrex.nl"/>
    <m/>
    <m/>
    <m/>
    <s v="No"/>
    <s v="&amp;nbsp"/>
    <m/>
    <m/>
    <m/>
  </r>
  <r>
    <x v="0"/>
    <x v="0"/>
    <x v="2"/>
    <x v="12"/>
    <d v="2025-10-17T16:00:00"/>
    <s v="0006080998_4900"/>
    <s v="Loading"/>
    <n v="453864"/>
    <s v="Primary flows"/>
    <s v="LKW WALTER FOR SN 3PO"/>
    <m/>
    <m/>
    <s v="No"/>
    <s v="NL Haps DC (DSV)"/>
    <s v="ALZE - DE Alzenau"/>
    <n v="33"/>
    <n v="0"/>
    <n v="0"/>
    <n v="0"/>
    <s v="1  01"/>
    <x v="1"/>
    <m/>
    <s v="19/10/2025 23:30-23:30"/>
    <m/>
    <n v="0"/>
    <m/>
    <s v="No"/>
    <s v="Shipped/Received"/>
    <s v="Direct"/>
    <m/>
    <m/>
    <m/>
    <s v="HAPSDCDE20251017-01"/>
    <m/>
    <m/>
    <s v="No"/>
    <n v="5019181588"/>
    <m/>
    <m/>
    <m/>
  </r>
  <r>
    <x v="0"/>
    <x v="0"/>
    <x v="2"/>
    <x v="12"/>
    <d v="2025-10-17T17:00:00"/>
    <s v="372766_OOS"/>
    <s v="Loading"/>
    <s v="IR-ROAD_OOS"/>
    <s v="Aval non piloté_EN"/>
    <s v="EXPEDITE ONE"/>
    <m/>
    <m/>
    <s v="No"/>
    <s v="NL Haps DC (DSV)"/>
    <s v="OOS_OUT - Delivery OOS"/>
    <n v="20"/>
    <n v="0"/>
    <n v="0"/>
    <n v="0"/>
    <n v="5019056477"/>
    <x v="0"/>
    <m/>
    <s v="18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2"/>
    <x v="12"/>
    <d v="2025-10-17T17:00:00"/>
    <s v="0006081007_4900"/>
    <s v="Loading"/>
    <n v="453882"/>
    <s v="Primary flows"/>
    <s v="NABUURS FOR SN 3PO"/>
    <m/>
    <m/>
    <s v="No"/>
    <s v="NL Haps DC (DSV)"/>
    <s v="OOST - NL Oosterhout (Nabuurs)"/>
    <n v="33"/>
    <n v="0"/>
    <n v="0"/>
    <n v="0"/>
    <s v="1  01"/>
    <x v="1"/>
    <m/>
    <s v="17/10/2025 20:00-20:00"/>
    <m/>
    <n v="0"/>
    <m/>
    <s v="No"/>
    <s v="Shipped/Received"/>
    <s v="Direct"/>
    <m/>
    <m/>
    <m/>
    <s v="HAPSDCNL20251017-01"/>
    <m/>
    <m/>
    <s v="No"/>
    <n v="5019200841"/>
    <m/>
    <m/>
    <m/>
  </r>
  <r>
    <x v="0"/>
    <x v="0"/>
    <x v="2"/>
    <x v="12"/>
    <d v="2025-10-17T18:00:00"/>
    <s v="0006091979_4900"/>
    <s v="Loading"/>
    <s v="457740 / 460540"/>
    <s v="Primary flows / Primary flows"/>
    <s v="ABC CZEPCZYNSKI FOR SN 3PO"/>
    <m/>
    <m/>
    <s v="No"/>
    <s v="NL Haps DC (DSV)"/>
    <s v="BUDA - HU Budapest (BILK Logisztikai) / BRAT - SK Bratislava"/>
    <n v="66"/>
    <n v="0"/>
    <n v="0"/>
    <n v="0"/>
    <s v="1  01"/>
    <x v="1"/>
    <m/>
    <s v="20/10/2025 18:00-18:00 / 20/10/2025 12:00-12:00"/>
    <s v="KA1815AC"/>
    <n v="0"/>
    <m/>
    <s v="No"/>
    <s v="Shipped/Received"/>
    <s v="Direct"/>
    <s v=" / "/>
    <s v=" / "/>
    <m/>
    <s v="HAPSDCHU20251017-01 / HAPSDCHU20251017-01"/>
    <m/>
    <m/>
    <s v="No"/>
    <s v="5019199777 / 5019199778"/>
    <s v="KA1715AC"/>
    <m/>
    <m/>
  </r>
  <r>
    <x v="0"/>
    <x v="0"/>
    <x v="2"/>
    <x v="12"/>
    <d v="2025-10-17T18:00:00"/>
    <s v="0006081010_4900"/>
    <s v="Loading"/>
    <s v="461019 / 461018 / 461017 / 461016 / 453878"/>
    <s v="Primary flows / Primary flows / Primary flows / Primary flows / Primary flows"/>
    <s v="GIRTEKA FOR SN 3PO"/>
    <m/>
    <m/>
    <s v="No"/>
    <s v="NL Haps DC (DSV)"/>
    <s v="GRAB - PL Grabica / GRAB - PL Grabica / GRAB - PL Grabica / GRAB - PL Grabica / GRAB - PL Grabica"/>
    <n v="165"/>
    <n v="0"/>
    <n v="0"/>
    <n v="0"/>
    <s v="1  01"/>
    <x v="1"/>
    <m/>
    <s v="20/10/2025 11:00-11:00"/>
    <s v="PZ_2M754"/>
    <n v="0"/>
    <m/>
    <s v="No"/>
    <s v="Shipped/Received"/>
    <s v="Direct"/>
    <s v=" /  /  /  / "/>
    <s v=" /  /  /  / "/>
    <m/>
    <s v="HAPSDCPL20251017-03 / HAPSDCPL20251017-03 / HAPSDCPL20251017-03 / HAPSDCPL20251017-03 / HAPSDCPL20251017-03"/>
    <m/>
    <m/>
    <s v="No"/>
    <s v="5019180144 / 5019182798 / 5019190186 / 5019199492 / 5019199691"/>
    <s v="MIO_432"/>
    <s v="Amonboi Rahimov"/>
    <m/>
  </r>
  <r>
    <x v="0"/>
    <x v="0"/>
    <x v="2"/>
    <x v="12"/>
    <d v="2025-10-17T19:00:00"/>
    <s v="0006080996_4900"/>
    <s v="Loading"/>
    <n v="453865"/>
    <s v="Primary flows"/>
    <s v="INTERKONTAKT FOR SN 3PO"/>
    <m/>
    <m/>
    <s v="No"/>
    <s v="NL Haps DC (DSV)"/>
    <s v="RICA - CZ Ricany DC2 Ambient WH"/>
    <n v="33"/>
    <n v="0"/>
    <n v="0"/>
    <n v="0"/>
    <s v="1  01"/>
    <x v="1"/>
    <m/>
    <s v="20/10/2025 12:00-12:00"/>
    <m/>
    <n v="0"/>
    <m/>
    <s v="No"/>
    <s v="Shipped/Received"/>
    <s v="Direct"/>
    <m/>
    <m/>
    <m/>
    <s v="HAPSDCCZ20251017-01"/>
    <m/>
    <m/>
    <s v="No"/>
    <n v="5017547186"/>
    <m/>
    <m/>
    <m/>
  </r>
  <r>
    <x v="0"/>
    <x v="0"/>
    <x v="2"/>
    <x v="12"/>
    <d v="2025-10-17T19:00:00"/>
    <s v="0006081006_4900"/>
    <s v="Loading"/>
    <n v="461158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23/10/2025 11:00-11:00"/>
    <m/>
    <n v="0"/>
    <m/>
    <s v="No"/>
    <s v="Shipped/Received"/>
    <s v="Direct"/>
    <m/>
    <m/>
    <m/>
    <s v="HAPSDCIT20251017-02"/>
    <m/>
    <m/>
    <s v="No"/>
    <n v="5019193593"/>
    <m/>
    <m/>
    <m/>
  </r>
  <r>
    <x v="0"/>
    <x v="0"/>
    <x v="2"/>
    <x v="12"/>
    <d v="2025-10-17T22:00:00"/>
    <s v="374794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223328"/>
    <x v="2"/>
    <m/>
    <s v="18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3"/>
    <d v="2025-10-20T06:00:00"/>
    <s v="0006101915_4900"/>
    <s v="Loading"/>
    <n v="461232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27/10/2025 22:00-22:00"/>
    <m/>
    <n v="0"/>
    <m/>
    <s v="No"/>
    <s v="Shipped/Received"/>
    <s v="Direct"/>
    <m/>
    <m/>
    <m/>
    <s v="HAPSDCIE20251020-02"/>
    <m/>
    <m/>
    <s v="No"/>
    <n v="5019203583"/>
    <m/>
    <m/>
    <m/>
  </r>
  <r>
    <x v="0"/>
    <x v="0"/>
    <x v="3"/>
    <x v="13"/>
    <d v="2025-10-20T06:00:00"/>
    <s v="0006098193_4900"/>
    <s v="Loading"/>
    <n v="460056"/>
    <s v="Primary flows"/>
    <s v="SAMSKIP FOR SN 3PO"/>
    <m/>
    <m/>
    <s v="No"/>
    <s v="NL Haps DC (DSV)"/>
    <s v="REDD - GB Redditch"/>
    <n v="33"/>
    <n v="0"/>
    <n v="0"/>
    <n v="0"/>
    <s v="1  01"/>
    <x v="1"/>
    <m/>
    <s v="24/10/2025 18:00-18:00"/>
    <m/>
    <n v="0"/>
    <m/>
    <s v="No"/>
    <s v="Shipped/Received"/>
    <s v="Direct"/>
    <m/>
    <m/>
    <m/>
    <s v="HAPSDCUK20251020-04"/>
    <m/>
    <m/>
    <s v="No"/>
    <n v="5019198978"/>
    <m/>
    <m/>
    <m/>
  </r>
  <r>
    <x v="0"/>
    <x v="0"/>
    <x v="3"/>
    <x v="13"/>
    <d v="2025-10-20T07:00:00"/>
    <s v="0006091189_4900"/>
    <s v="Loading"/>
    <n v="457336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27/10/2025 23:00-23:00"/>
    <m/>
    <n v="0"/>
    <m/>
    <s v="No"/>
    <s v="Shipped/Received"/>
    <s v="Direct"/>
    <m/>
    <m/>
    <m/>
    <s v="HAPSDCIE20251020-01"/>
    <m/>
    <m/>
    <s v="No"/>
    <n v="5019204566"/>
    <m/>
    <m/>
    <m/>
  </r>
  <r>
    <x v="0"/>
    <x v="0"/>
    <x v="3"/>
    <x v="13"/>
    <d v="2025-10-20T07:00:00"/>
    <s v="370486_OOS"/>
    <s v="Loading"/>
    <s v="BR-SEA-6087533_OOS"/>
    <s v="Aval non piloté_EN"/>
    <s v="MAERSK - Control Tower"/>
    <m/>
    <m/>
    <s v="No"/>
    <s v="NL Haps DC (DSV)"/>
    <s v="OOS_OUT - Delivery OOS"/>
    <n v="20"/>
    <n v="0"/>
    <n v="0"/>
    <n v="0"/>
    <n v="5019190091"/>
    <x v="0"/>
    <m/>
    <s v="21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367066"/>
  </r>
  <r>
    <x v="0"/>
    <x v="0"/>
    <x v="3"/>
    <x v="13"/>
    <d v="2025-10-20T08:00:00"/>
    <s v="0006098192_4900"/>
    <s v="Loading"/>
    <n v="460023"/>
    <s v="Primary flows"/>
    <s v="SAMSKIP FOR SN 3PO"/>
    <m/>
    <m/>
    <s v="No"/>
    <s v="NL Haps DC (DSV)"/>
    <s v="REDD - GB Redditch"/>
    <n v="33"/>
    <n v="0"/>
    <n v="0"/>
    <n v="0"/>
    <s v="1  01"/>
    <x v="1"/>
    <m/>
    <s v="24/10/2025 18:00-18:00"/>
    <m/>
    <n v="0"/>
    <m/>
    <s v="No"/>
    <s v="Shipped/Received"/>
    <s v="Direct"/>
    <m/>
    <m/>
    <m/>
    <s v="HAPSDCUK20251020-03"/>
    <m/>
    <m/>
    <s v="No"/>
    <n v="5019192587"/>
    <m/>
    <m/>
    <m/>
  </r>
  <r>
    <x v="0"/>
    <x v="0"/>
    <x v="3"/>
    <x v="13"/>
    <d v="2025-10-20T09:00:00"/>
    <s v="367687_OOS"/>
    <s v="Loading"/>
    <s v="NZ-SEA-6078303_OOS"/>
    <s v="Aval non piloté_EN"/>
    <s v="Maersk - Control Tower"/>
    <m/>
    <m/>
    <s v="No"/>
    <s v="NL Haps DC (DSV)"/>
    <s v="OOS_OUT - Delivery OOS"/>
    <n v="20"/>
    <n v="0"/>
    <n v="0"/>
    <n v="0"/>
    <s v="5019082042 5019190481"/>
    <x v="0"/>
    <m/>
    <s v="21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168208"/>
  </r>
  <r>
    <x v="0"/>
    <x v="0"/>
    <x v="3"/>
    <x v="13"/>
    <d v="2025-10-20T09:00:00"/>
    <s v="37049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34797"/>
    <x v="0"/>
    <m/>
    <s v="2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3"/>
    <d v="2025-10-20T10:00:00"/>
    <s v="371814_OOS"/>
    <s v="Loading"/>
    <s v="CY - SEA_OOS"/>
    <s v="Aval non piloté_EN"/>
    <s v="GEODIS"/>
    <m/>
    <m/>
    <s v="No"/>
    <s v="NL Haps DC (DSV)"/>
    <s v="OOS_OUT - Delivery OOS"/>
    <n v="20"/>
    <n v="0"/>
    <n v="0"/>
    <n v="0"/>
    <s v="DN 5019018375+5019081724+5019069703+5019182795+5019190234"/>
    <x v="0"/>
    <m/>
    <s v="21/10/2025 12:00-12:00"/>
    <m/>
    <n v="0"/>
    <m/>
    <s v="No"/>
    <s v="Shipped/Received"/>
    <s v="Direct"/>
    <m/>
    <m/>
    <s v="nutricia-booking.ff.nl@geodis.com"/>
    <m/>
    <m/>
    <m/>
    <s v="No"/>
    <s v="&amp;nbsp"/>
    <m/>
    <s v="CYPRUS"/>
    <s v="SRTMS182778"/>
  </r>
  <r>
    <x v="0"/>
    <x v="0"/>
    <x v="3"/>
    <x v="13"/>
    <d v="2025-10-20T10:00:00"/>
    <s v="367688_OOS"/>
    <s v="Loading"/>
    <s v="NZ-SEA-6078304_OOS"/>
    <s v="Aval non piloté_EN"/>
    <s v="Maersk - Control Tower"/>
    <m/>
    <m/>
    <s v="No"/>
    <s v="NL Haps DC (DSV)"/>
    <s v="OOS_OUT - Delivery OOS"/>
    <n v="20"/>
    <n v="0"/>
    <n v="0"/>
    <n v="0"/>
    <n v="5019176456"/>
    <x v="0"/>
    <m/>
    <s v="21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168208"/>
  </r>
  <r>
    <x v="0"/>
    <x v="0"/>
    <x v="3"/>
    <x v="13"/>
    <d v="2025-10-20T11:00:00"/>
    <s v="0006098194_4900"/>
    <s v="Loading"/>
    <n v="460043"/>
    <s v="Primary flows"/>
    <s v="SAMSKIP FOR SN 3PO"/>
    <m/>
    <m/>
    <s v="No"/>
    <s v="NL Haps DC (DSV)"/>
    <s v="REDD - GB Redditch"/>
    <n v="33"/>
    <n v="0"/>
    <n v="0"/>
    <n v="0"/>
    <s v="1  01"/>
    <x v="1"/>
    <m/>
    <s v="24/10/2025 17:00-17:00"/>
    <m/>
    <n v="0"/>
    <m/>
    <s v="No"/>
    <s v="Shipped/Received"/>
    <s v="Direct"/>
    <m/>
    <m/>
    <m/>
    <s v="HAPSDCUK20251020-05"/>
    <m/>
    <m/>
    <s v="No"/>
    <n v="5019211562"/>
    <m/>
    <m/>
    <m/>
  </r>
  <r>
    <x v="0"/>
    <x v="0"/>
    <x v="3"/>
    <x v="13"/>
    <d v="2025-10-20T12:00:00"/>
    <s v="0006098197_4900"/>
    <s v="Loading"/>
    <n v="460021"/>
    <s v="Primary flows"/>
    <s v="SAMSKIP FOR SN 3PO"/>
    <m/>
    <m/>
    <s v="No"/>
    <s v="NL Haps DC (DSV)"/>
    <s v="REDD - GB Redditch"/>
    <n v="33"/>
    <n v="0"/>
    <n v="0"/>
    <n v="0"/>
    <s v="1  01"/>
    <x v="1"/>
    <m/>
    <s v="24/10/2025 18:00-18:00"/>
    <m/>
    <n v="0"/>
    <m/>
    <s v="No"/>
    <s v="Shipped/Received"/>
    <s v="Direct"/>
    <m/>
    <m/>
    <m/>
    <s v="HAPSDCUK20251020-08"/>
    <m/>
    <m/>
    <s v="No"/>
    <n v="5019200817"/>
    <m/>
    <m/>
    <m/>
  </r>
  <r>
    <x v="0"/>
    <x v="0"/>
    <x v="3"/>
    <x v="13"/>
    <d v="2025-10-20T12:00:00"/>
    <s v="0006091188_4900"/>
    <s v="Loading"/>
    <s v="462103 / 462102 / 457357"/>
    <s v="Primary flows / Primary flows / Primary flows"/>
    <s v="ROBERT KUKLA FOR SN 3PO"/>
    <m/>
    <m/>
    <s v="No"/>
    <s v="NL Haps DC (DSV)"/>
    <s v="THIV - GR Thiva-Boetia / THIV - GR Thiva-Boetia / THIV - GR Thiva-Boetia"/>
    <n v="99"/>
    <n v="0"/>
    <n v="0"/>
    <n v="0"/>
    <s v="1  01"/>
    <x v="1"/>
    <m/>
    <s v="03/11/2025 18:00-18:00"/>
    <m/>
    <n v="0"/>
    <m/>
    <s v="No"/>
    <s v="Shipped/Received"/>
    <s v="Direct"/>
    <s v=" /  / "/>
    <s v=" /  / "/>
    <m/>
    <s v="HAPSDCGR20251020-01 / HAPSDCGR20251020-01 / HAPSDCGR20251020-01"/>
    <m/>
    <m/>
    <s v="No"/>
    <s v="5019219886 / 5019216021 / 5019208332"/>
    <m/>
    <m/>
    <m/>
  </r>
  <r>
    <x v="0"/>
    <x v="0"/>
    <x v="3"/>
    <x v="13"/>
    <d v="2025-10-20T13:00:00"/>
    <s v="0006098080_4900"/>
    <s v="Loading"/>
    <n v="460041"/>
    <s v="Primary flows"/>
    <s v="GIRTEKA FOR SN 3PO"/>
    <m/>
    <m/>
    <s v="No"/>
    <s v="NL Haps DC (DSV)"/>
    <s v="REDD - GB Redditch"/>
    <n v="33"/>
    <n v="0"/>
    <n v="0"/>
    <n v="0"/>
    <s v="1  01"/>
    <x v="1"/>
    <m/>
    <s v="21/10/2025 17:00-17:00"/>
    <s v="PZ_4N419"/>
    <n v="0"/>
    <m/>
    <s v="No"/>
    <s v="Shipped/Received"/>
    <s v="Direct"/>
    <m/>
    <m/>
    <m/>
    <s v="HAPSDCUK20251020-01"/>
    <m/>
    <m/>
    <s v="No"/>
    <n v="5019195639"/>
    <s v="PZ_6X484"/>
    <s v="Yurii Shcherbatiuk"/>
    <m/>
  </r>
  <r>
    <x v="0"/>
    <x v="0"/>
    <x v="3"/>
    <x v="13"/>
    <d v="2025-10-20T13:00:00"/>
    <s v="0006098191_4900"/>
    <s v="Loading"/>
    <n v="460035"/>
    <s v="Primary flows"/>
    <s v="SAMSKIP FOR SN 3PO"/>
    <m/>
    <m/>
    <s v="No"/>
    <s v="NL Haps DC (DSV)"/>
    <s v="REDD - GB Redditch"/>
    <n v="33"/>
    <n v="0"/>
    <n v="0"/>
    <n v="0"/>
    <s v="1  01"/>
    <x v="1"/>
    <m/>
    <s v="24/10/2025 18:00-18:00"/>
    <m/>
    <n v="0"/>
    <m/>
    <s v="No"/>
    <s v="Shipped/Received"/>
    <s v="Direct"/>
    <m/>
    <m/>
    <m/>
    <s v="HAPSDCUK20251020-02"/>
    <m/>
    <m/>
    <s v="No"/>
    <n v="5019209444"/>
    <m/>
    <m/>
    <m/>
  </r>
  <r>
    <x v="0"/>
    <x v="0"/>
    <x v="3"/>
    <x v="13"/>
    <d v="2025-10-20T14:00:00"/>
    <s v="0006091185_4900"/>
    <s v="Loading"/>
    <n v="457331"/>
    <s v="Primary flows"/>
    <s v="ECS FOR SN 3PO"/>
    <m/>
    <m/>
    <s v="No"/>
    <s v="NL Haps DC (DSV)"/>
    <s v="MOUS - FR Moussy-Le-Neuf"/>
    <n v="33"/>
    <n v="0"/>
    <n v="0"/>
    <n v="0"/>
    <s v="1  01"/>
    <x v="1"/>
    <m/>
    <s v="21/10/2025 10:00-10:00"/>
    <m/>
    <n v="0"/>
    <m/>
    <s v="No"/>
    <s v="Shipped/Received"/>
    <s v="Direct"/>
    <m/>
    <m/>
    <m/>
    <s v="HAPSDCFR20251020-01"/>
    <m/>
    <m/>
    <s v="No"/>
    <n v="5019190719"/>
    <m/>
    <m/>
    <m/>
  </r>
  <r>
    <x v="0"/>
    <x v="0"/>
    <x v="3"/>
    <x v="13"/>
    <d v="2025-10-20T14:00:00"/>
    <s v="0006091110_4900"/>
    <s v="Loading"/>
    <n v="457334"/>
    <s v="Primary flows"/>
    <s v="GIRTEKA FOR SN 3PO"/>
    <m/>
    <m/>
    <s v="No"/>
    <s v="NL Haps DC (DSV)"/>
    <s v="ALZE - DE Alzenau"/>
    <n v="33"/>
    <n v="0"/>
    <n v="0"/>
    <n v="0"/>
    <s v="1  01"/>
    <x v="1"/>
    <m/>
    <s v="21/10/2025 12:00-12:00"/>
    <m/>
    <n v="0"/>
    <m/>
    <s v="No"/>
    <s v="Shipped/Received"/>
    <s v="Direct"/>
    <m/>
    <m/>
    <m/>
    <s v="HAPSDCDE20251020-01"/>
    <m/>
    <m/>
    <s v="No"/>
    <n v="5019199518"/>
    <m/>
    <m/>
    <m/>
  </r>
  <r>
    <x v="0"/>
    <x v="0"/>
    <x v="3"/>
    <x v="13"/>
    <d v="2025-10-20T15:00:00"/>
    <s v="0006091184_4900"/>
    <s v="Loading"/>
    <n v="457353"/>
    <s v="Primary flows"/>
    <s v="KREISS FOR SN 3PO"/>
    <m/>
    <m/>
    <s v="No"/>
    <s v="NL Haps DC (DSV)"/>
    <s v="CIE2 - ES Ciempozuelos SN"/>
    <n v="33"/>
    <n v="0"/>
    <n v="0"/>
    <n v="0"/>
    <s v="1  01"/>
    <x v="1"/>
    <m/>
    <s v="23/10/2025 14:00-14:00"/>
    <m/>
    <n v="0"/>
    <m/>
    <s v="No"/>
    <s v="Shipped/Received"/>
    <s v="Direct"/>
    <m/>
    <m/>
    <m/>
    <s v="HAPSDCES20251020-01"/>
    <m/>
    <m/>
    <s v="No"/>
    <n v="5019208371"/>
    <m/>
    <m/>
    <m/>
  </r>
  <r>
    <x v="0"/>
    <x v="0"/>
    <x v="3"/>
    <x v="13"/>
    <d v="2025-10-20T16:00:00"/>
    <s v="0006091190_4900"/>
    <s v="Loading"/>
    <n v="457352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22/10/2025 15:00-15:00"/>
    <m/>
    <n v="0"/>
    <m/>
    <s v="No"/>
    <s v="Shipped/Received"/>
    <s v="Direct"/>
    <m/>
    <m/>
    <m/>
    <s v="HAPSDCIT20251020-01"/>
    <m/>
    <m/>
    <s v="No"/>
    <n v="5019210003"/>
    <m/>
    <m/>
    <m/>
  </r>
  <r>
    <x v="0"/>
    <x v="0"/>
    <x v="3"/>
    <x v="13"/>
    <d v="2025-10-20T16:00:00"/>
    <s v="0006091194_4900"/>
    <s v="Loading"/>
    <n v="457333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27/10/2025 16:00-16:00"/>
    <m/>
    <n v="0"/>
    <m/>
    <s v="No"/>
    <s v="Shipped/Received"/>
    <s v="Direct"/>
    <m/>
    <m/>
    <m/>
    <s v="HAPSDCSE20251020-01"/>
    <m/>
    <m/>
    <s v="No"/>
    <n v="5019199700"/>
    <m/>
    <m/>
    <m/>
  </r>
  <r>
    <x v="0"/>
    <x v="0"/>
    <x v="3"/>
    <x v="13"/>
    <d v="2025-10-20T16:00:00"/>
    <s v="0006091183_4900"/>
    <s v="Loading"/>
    <n v="457340"/>
    <s v="Primary flows"/>
    <s v="LKW WALTER FOR SN 3PO"/>
    <m/>
    <m/>
    <s v="No"/>
    <s v="NL Haps DC (DSV)"/>
    <s v="ALZE - DE Alzenau"/>
    <n v="33"/>
    <n v="0"/>
    <n v="0"/>
    <n v="0"/>
    <s v="1  01"/>
    <x v="1"/>
    <m/>
    <s v="21/10/2025 10:00-10:00"/>
    <m/>
    <n v="0"/>
    <m/>
    <s v="No"/>
    <s v="Shipped/Received"/>
    <s v="Direct"/>
    <m/>
    <m/>
    <m/>
    <s v="HAPSDCDE20251020-04"/>
    <m/>
    <m/>
    <s v="No"/>
    <n v="5019189519"/>
    <m/>
    <m/>
    <m/>
  </r>
  <r>
    <x v="0"/>
    <x v="0"/>
    <x v="3"/>
    <x v="13"/>
    <d v="2025-10-20T17:00:00"/>
    <s v="0006091181_4900"/>
    <s v="Loading"/>
    <n v="457359"/>
    <s v="Primary flows"/>
    <s v="LKW WALTER FOR SN 3PO"/>
    <m/>
    <m/>
    <s v="No"/>
    <s v="NL Haps DC (DSV)"/>
    <s v="ALZE - DE Alzenau"/>
    <n v="33"/>
    <n v="0"/>
    <n v="0"/>
    <n v="0"/>
    <s v="1  01"/>
    <x v="1"/>
    <m/>
    <s v="21/10/2025 11:00-11:00"/>
    <m/>
    <n v="0"/>
    <m/>
    <s v="No"/>
    <s v="Shipped/Received"/>
    <s v="Direct"/>
    <m/>
    <m/>
    <m/>
    <s v="HAPSDCDE20251020-02"/>
    <m/>
    <m/>
    <s v="No"/>
    <n v="5019200100"/>
    <m/>
    <m/>
    <m/>
  </r>
  <r>
    <x v="0"/>
    <x v="0"/>
    <x v="3"/>
    <x v="13"/>
    <d v="2025-10-20T17:00:00"/>
    <s v="0006091186_4900"/>
    <s v="Loading"/>
    <n v="457348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1/10/2025 08:00-08:00"/>
    <m/>
    <n v="0"/>
    <m/>
    <s v="No"/>
    <s v="Shipped/Received"/>
    <s v="Direct"/>
    <m/>
    <m/>
    <m/>
    <s v="HAPSDCFR20251020-02"/>
    <m/>
    <m/>
    <s v="No"/>
    <n v="5019194752"/>
    <m/>
    <m/>
    <m/>
  </r>
  <r>
    <x v="0"/>
    <x v="0"/>
    <x v="3"/>
    <x v="13"/>
    <d v="2025-10-20T17:00:00"/>
    <s v="0006102551_4900"/>
    <s v="Loading"/>
    <s v="461793 / 461792 / 461585"/>
    <s v="Primary flows / Primary flows / Primary flows"/>
    <s v="P AND O FOR SN 3PO"/>
    <m/>
    <m/>
    <s v="No"/>
    <s v="NL Haps DC (DSV)"/>
    <s v="AZA2 - PT Azambuja Ambient / AZA2 - PT Azambuja Ambient / AZA2 - PT Azambuja Ambient"/>
    <n v="99"/>
    <n v="0"/>
    <n v="0"/>
    <n v="0"/>
    <s v="1  01"/>
    <x v="1"/>
    <m/>
    <s v="27/10/2025 07:00-07:00"/>
    <m/>
    <n v="0"/>
    <m/>
    <s v="No"/>
    <s v="Shipped/Received"/>
    <s v="Direct"/>
    <s v=" /  / "/>
    <s v=" /  / "/>
    <m/>
    <s v="HAPSDCPT20251020-01 / HAPSDCPT20251020-01 / HAPSDCPT20251020-01"/>
    <m/>
    <m/>
    <s v="No"/>
    <s v="5019127302 / 5019138528 / 5019160888"/>
    <m/>
    <m/>
    <m/>
  </r>
  <r>
    <x v="0"/>
    <x v="0"/>
    <x v="3"/>
    <x v="13"/>
    <d v="2025-10-20T18:00:00"/>
    <s v="0006101917_4900"/>
    <s v="Loading"/>
    <n v="461227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27/10/2025 20:00-20:00"/>
    <m/>
    <n v="0"/>
    <m/>
    <s v="No"/>
    <s v="Shipped/Received"/>
    <s v="Direct"/>
    <m/>
    <m/>
    <m/>
    <s v="HAPSDCIT20251020-02"/>
    <m/>
    <m/>
    <s v="No"/>
    <n v="5019197542"/>
    <m/>
    <m/>
    <m/>
  </r>
  <r>
    <x v="0"/>
    <x v="0"/>
    <x v="3"/>
    <x v="13"/>
    <d v="2025-10-20T18:00:00"/>
    <s v="0006101919_4900"/>
    <s v="Loading"/>
    <n v="461226"/>
    <s v="Primary flows"/>
    <s v="LKW WALTER FOR SN 3PO"/>
    <m/>
    <m/>
    <s v="No"/>
    <s v="NL Haps DC (DSV)"/>
    <s v="PET2 - RO Dragomiresti (Petresti)"/>
    <n v="33"/>
    <n v="0"/>
    <n v="0"/>
    <n v="0"/>
    <s v="1  01"/>
    <x v="1"/>
    <m/>
    <s v="27/10/2025 13:00-13:00"/>
    <m/>
    <n v="0"/>
    <m/>
    <s v="No"/>
    <s v="Shipped/Received"/>
    <s v="Direct"/>
    <m/>
    <m/>
    <m/>
    <s v="UIT: 3F3W135947630178"/>
    <m/>
    <m/>
    <s v="No"/>
    <n v="5019208900"/>
    <m/>
    <m/>
    <m/>
  </r>
  <r>
    <x v="0"/>
    <x v="0"/>
    <x v="3"/>
    <x v="13"/>
    <d v="2025-10-20T18:00:00"/>
    <s v="0006091187_4900"/>
    <s v="Loading"/>
    <n v="457330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1/10/2025 08:30-08:30"/>
    <m/>
    <n v="0"/>
    <m/>
    <s v="No"/>
    <s v="Shipped/Received"/>
    <s v="Direct"/>
    <m/>
    <m/>
    <m/>
    <s v="HAPSDCFR20251020-03"/>
    <m/>
    <m/>
    <s v="No"/>
    <n v="5019200901"/>
    <m/>
    <m/>
    <m/>
  </r>
  <r>
    <x v="0"/>
    <x v="0"/>
    <x v="3"/>
    <x v="13"/>
    <d v="2025-10-20T19:00:00"/>
    <s v="0006091109_4900"/>
    <s v="Loading"/>
    <s v="462061 / 457344 / 461233"/>
    <s v="Primary flows / Primary flows / Primary flows"/>
    <s v="PIOMAR FOR SN 3PO"/>
    <m/>
    <m/>
    <s v="No"/>
    <s v="NL Haps DC (DSV)"/>
    <s v="RICA - CZ Ricany DC2 Ambient WH / RICA - CZ Ricany DC2 Ambient WH / PRAH - CZ Praha (PHOENIX)"/>
    <n v="99"/>
    <n v="0"/>
    <n v="0"/>
    <n v="0"/>
    <s v="1  01"/>
    <x v="1"/>
    <m/>
    <s v="22/10/2025 13:00-13:00 / 22/10/2025 07:00-07:00"/>
    <s v="OP3794N"/>
    <n v="0"/>
    <m/>
    <s v="No"/>
    <s v="Shipped/Received"/>
    <s v="Direct"/>
    <s v=" /  / "/>
    <s v=" /  / "/>
    <m/>
    <s v="HAPSDCCZ20251020-01 / HAPSDCCZ20251020-01 / HAPSDCCZ20251020-01"/>
    <m/>
    <m/>
    <s v="No"/>
    <s v="5019206741 / 5019187552 / 5019194317"/>
    <s v="OP1699R"/>
    <m/>
    <m/>
  </r>
  <r>
    <x v="0"/>
    <x v="0"/>
    <x v="3"/>
    <x v="13"/>
    <d v="2025-10-20T20:00:00"/>
    <s v="0006091192_4900"/>
    <s v="Loading"/>
    <s v="461784 / 457347"/>
    <s v="Primary flows / Primary flows"/>
    <s v="PIOMAR FOR SN 3PO"/>
    <m/>
    <m/>
    <s v="No"/>
    <s v="NL Haps DC (DSV)"/>
    <s v="GRAB - PL Grabica / GRAB - PL Grabica"/>
    <n v="66"/>
    <n v="0"/>
    <n v="0"/>
    <n v="0"/>
    <s v="1  01"/>
    <x v="1"/>
    <m/>
    <s v="22/10/2025 18:00-18:00"/>
    <s v="OP6443J"/>
    <n v="0"/>
    <m/>
    <s v="No"/>
    <s v="Shipped/Received"/>
    <s v="Direct"/>
    <s v=" / "/>
    <s v=" / "/>
    <m/>
    <s v="HAPSDCPL20251020-02 / HAPSDCPL20251020-02"/>
    <m/>
    <m/>
    <s v="No"/>
    <s v="5019199427 / 5019209605"/>
    <s v="OP8935S"/>
    <s v="hetma?ski robert"/>
    <m/>
  </r>
  <r>
    <x v="0"/>
    <x v="0"/>
    <x v="3"/>
    <x v="14"/>
    <d v="2025-10-21T06:00:00"/>
    <s v="0006098209_4900"/>
    <s v="Loading"/>
    <n v="462618"/>
    <s v="Primary flows"/>
    <s v="SAMSKIP FOR SN 3PO"/>
    <m/>
    <m/>
    <s v="No"/>
    <s v="NL Haps DC (DSV)"/>
    <s v="REDD - GB Redditch"/>
    <n v="33"/>
    <n v="0"/>
    <n v="0"/>
    <n v="0"/>
    <s v="1  01"/>
    <x v="1"/>
    <m/>
    <s v="27/10/2025 23:00-23:00"/>
    <m/>
    <n v="0"/>
    <m/>
    <s v="No"/>
    <s v="Shipped/Received"/>
    <s v="Direct"/>
    <m/>
    <m/>
    <m/>
    <s v="HAPSDCUK20251021-10"/>
    <m/>
    <m/>
    <s v="No"/>
    <n v="5019224283"/>
    <m/>
    <m/>
    <m/>
  </r>
  <r>
    <x v="0"/>
    <x v="0"/>
    <x v="3"/>
    <x v="14"/>
    <d v="2025-10-21T07:00:00"/>
    <s v="375260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215477"/>
    <x v="2"/>
    <m/>
    <s v="22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4"/>
    <d v="2025-10-21T07:00:00"/>
    <s v="371818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1810 "/>
    <x v="0"/>
    <m/>
    <s v="22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1"/>
    <s v="SRTMS182775"/>
  </r>
  <r>
    <x v="0"/>
    <x v="0"/>
    <x v="3"/>
    <x v="14"/>
    <d v="2025-10-21T07:00:00"/>
    <s v="0006091182_4900"/>
    <s v="Loading"/>
    <n v="457339"/>
    <s v="Primary flows"/>
    <s v="LKW WALTER FOR SN 3PO"/>
    <m/>
    <s v="rejected"/>
    <s v="No"/>
    <s v="NL Haps DC (DSV)"/>
    <s v="ALZE - DE Alzenau"/>
    <n v="33"/>
    <n v="0"/>
    <n v="0"/>
    <n v="0"/>
    <s v="1  01"/>
    <x v="3"/>
    <m/>
    <s v="21/10/2025 11:00-11:00"/>
    <m/>
    <n v="0"/>
    <m/>
    <s v="No"/>
    <s v="Shipped/Received"/>
    <s v="Direct"/>
    <m/>
    <m/>
    <m/>
    <s v="HAPSDCDE20251020-03"/>
    <m/>
    <m/>
    <s v="No"/>
    <n v="5019206570"/>
    <m/>
    <m/>
    <m/>
  </r>
  <r>
    <x v="0"/>
    <x v="0"/>
    <x v="3"/>
    <x v="14"/>
    <d v="2025-10-21T07:00:00"/>
    <s v="0006091226_4900"/>
    <s v="Loading"/>
    <s v="462885 / 462727"/>
    <s v="Primary flows / Primary flows"/>
    <s v="SAMSKIP FOR SN 3PO"/>
    <m/>
    <m/>
    <s v="No"/>
    <s v="NL Haps DC (DSV)"/>
    <s v="DUBL - IE Dublin (United Drug) / DUBL - IE Dublin (United Drug)"/>
    <n v="66"/>
    <n v="0"/>
    <n v="0"/>
    <n v="0"/>
    <s v="1  01"/>
    <x v="1"/>
    <m/>
    <s v="28/10/2025 23:00-23:00"/>
    <m/>
    <n v="0"/>
    <m/>
    <s v="No"/>
    <s v="Shipped/Received"/>
    <s v="Direct"/>
    <s v=" / "/>
    <s v=" / "/>
    <m/>
    <s v="HAPSDCIE20251021-01 / HAPSDCIE20251021-01"/>
    <m/>
    <m/>
    <s v="No"/>
    <s v="5019235202 / 5019203985"/>
    <m/>
    <m/>
    <m/>
  </r>
  <r>
    <x v="0"/>
    <x v="0"/>
    <x v="3"/>
    <x v="14"/>
    <d v="2025-10-21T08:00:00"/>
    <s v="371819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79316 "/>
    <x v="0"/>
    <m/>
    <s v="22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2"/>
    <s v="SRTMS182775"/>
  </r>
  <r>
    <x v="0"/>
    <x v="0"/>
    <x v="3"/>
    <x v="14"/>
    <d v="2025-10-21T08:00:00"/>
    <s v="372631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06814 5019202857  "/>
    <x v="0"/>
    <m/>
    <s v="2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4"/>
    <d v="2025-10-21T09:00:00"/>
    <s v="0006098203_4900"/>
    <s v="Loading"/>
    <n v="460063"/>
    <s v="Primary flows"/>
    <s v="SAMSKIP FOR SN 3PO"/>
    <m/>
    <m/>
    <s v="No"/>
    <s v="NL Haps DC (DSV)"/>
    <s v="REDD - GB Redditch"/>
    <n v="33"/>
    <n v="0"/>
    <n v="0"/>
    <n v="0"/>
    <s v="1  01"/>
    <x v="1"/>
    <m/>
    <s v="27/10/2025 23:00-23:00"/>
    <m/>
    <n v="0"/>
    <m/>
    <s v="No"/>
    <s v="Shipped/Received"/>
    <s v="Direct"/>
    <m/>
    <m/>
    <m/>
    <s v="HAPSDCUK20251021-04"/>
    <m/>
    <m/>
    <s v="No"/>
    <n v="5019212619"/>
    <m/>
    <m/>
    <m/>
  </r>
  <r>
    <x v="0"/>
    <x v="0"/>
    <x v="3"/>
    <x v="14"/>
    <d v="2025-10-21T09:00:00"/>
    <s v="371820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79317 "/>
    <x v="0"/>
    <m/>
    <s v="22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3"/>
    <s v="SRTMS182775"/>
  </r>
  <r>
    <x v="0"/>
    <x v="0"/>
    <x v="3"/>
    <x v="14"/>
    <d v="2025-10-21T09:00:00"/>
    <s v="372632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80367 5019200319 "/>
    <x v="0"/>
    <m/>
    <s v="2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4"/>
    <d v="2025-10-21T10:00:00"/>
    <s v="371821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0569 "/>
    <x v="0"/>
    <m/>
    <s v="22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4"/>
    <s v="SRTMS182775"/>
  </r>
  <r>
    <x v="0"/>
    <x v="0"/>
    <x v="3"/>
    <x v="14"/>
    <d v="2025-10-21T10:00:00"/>
    <s v="0006104793_4900"/>
    <s v="Loading"/>
    <n v="462612"/>
    <s v="Primary flows"/>
    <s v="SAMSKIP FOR SN 3PO"/>
    <m/>
    <m/>
    <s v="No"/>
    <s v="NL Haps DC (DSV)"/>
    <s v="REDD - GB Redditch"/>
    <n v="33"/>
    <n v="0"/>
    <n v="0"/>
    <n v="0"/>
    <s v="1  01"/>
    <x v="1"/>
    <m/>
    <s v="27/10/2025 18:00-18:00"/>
    <m/>
    <n v="0"/>
    <m/>
    <s v="No"/>
    <s v="Shipped/Received"/>
    <s v="Direct"/>
    <m/>
    <m/>
    <m/>
    <s v="HAPSDCUK20251021-13"/>
    <m/>
    <m/>
    <s v="No"/>
    <n v="5019197182"/>
    <m/>
    <m/>
    <m/>
  </r>
  <r>
    <x v="0"/>
    <x v="0"/>
    <x v="3"/>
    <x v="14"/>
    <d v="2025-10-21T10:00:00"/>
    <s v="0006104222_4900"/>
    <s v="Loading"/>
    <n v="462284"/>
    <s v="Primary flows"/>
    <s v="GIRTEKA FOR SN 3PO"/>
    <m/>
    <m/>
    <s v="No"/>
    <s v="NL Haps DC (DSV)"/>
    <s v="GRAB - PL Grabica"/>
    <n v="33"/>
    <n v="0"/>
    <n v="0"/>
    <n v="0"/>
    <s v="1  01"/>
    <x v="1"/>
    <m/>
    <s v="23/10/2025 22:00-22:00"/>
    <s v="PZ_7T078"/>
    <n v="0"/>
    <m/>
    <s v="No"/>
    <s v="Shipped/Received"/>
    <s v="Direct"/>
    <m/>
    <m/>
    <m/>
    <s v="HAPSDCPL20251021-03"/>
    <m/>
    <m/>
    <s v="No"/>
    <n v="5019217058"/>
    <s v="NFN_496"/>
    <s v="Zhamalbek Akmyrzaev"/>
    <m/>
  </r>
  <r>
    <x v="0"/>
    <x v="0"/>
    <x v="3"/>
    <x v="14"/>
    <d v="2025-10-21T11:00:00"/>
    <s v="0006104792_4900"/>
    <s v="Loading"/>
    <n v="462623"/>
    <s v="Primary flows"/>
    <s v="SAMSKIP FOR SN 3PO"/>
    <m/>
    <m/>
    <s v="No"/>
    <s v="NL Haps DC (DSV)"/>
    <s v="REDD - GB Redditch"/>
    <n v="33"/>
    <n v="0"/>
    <n v="0"/>
    <n v="0"/>
    <s v="1  01"/>
    <x v="1"/>
    <m/>
    <s v="27/10/2025 18:00-18:00"/>
    <m/>
    <n v="0"/>
    <m/>
    <s v="No"/>
    <s v="Shipped/Received"/>
    <s v="Direct"/>
    <m/>
    <m/>
    <m/>
    <s v="HAPSDCUK20251021-12"/>
    <m/>
    <m/>
    <s v="No"/>
    <n v="5017331432"/>
    <m/>
    <m/>
    <m/>
  </r>
  <r>
    <x v="0"/>
    <x v="0"/>
    <x v="3"/>
    <x v="14"/>
    <d v="2025-10-21T11:00:00"/>
    <s v="0006098202_4900"/>
    <s v="Loading"/>
    <n v="460054"/>
    <s v="Primary flows"/>
    <s v="SAMSKIP FOR SN 3PO"/>
    <m/>
    <m/>
    <s v="No"/>
    <s v="NL Haps DC (DSV)"/>
    <s v="REDD - GB Redditch"/>
    <n v="33"/>
    <n v="0"/>
    <n v="0"/>
    <n v="0"/>
    <s v="1  01"/>
    <x v="1"/>
    <m/>
    <s v="27/10/2025 23:00-23:00"/>
    <m/>
    <n v="0"/>
    <m/>
    <s v="No"/>
    <s v="Shipped/Received"/>
    <s v="Direct"/>
    <m/>
    <m/>
    <m/>
    <s v="HAPSDCUK20251021-03"/>
    <m/>
    <m/>
    <s v="No"/>
    <n v="5019209029"/>
    <m/>
    <m/>
    <m/>
  </r>
  <r>
    <x v="0"/>
    <x v="0"/>
    <x v="3"/>
    <x v="14"/>
    <d v="2025-10-21T11:00:00"/>
    <s v="371823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71957 "/>
    <x v="0"/>
    <m/>
    <s v="22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5"/>
    <s v="SRTMS182775"/>
  </r>
  <r>
    <x v="0"/>
    <x v="0"/>
    <x v="3"/>
    <x v="14"/>
    <d v="2025-10-21T12:00:00"/>
    <s v="370801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09880"/>
    <x v="0"/>
    <m/>
    <s v="22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3"/>
    <x v="14"/>
    <d v="2025-10-21T12:00:00"/>
    <s v="371826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0015 "/>
    <x v="0"/>
    <m/>
    <s v="22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6"/>
    <s v="SRTMS182775"/>
  </r>
  <r>
    <x v="0"/>
    <x v="0"/>
    <x v="3"/>
    <x v="14"/>
    <d v="2025-10-21T12:00:00"/>
    <s v="0006098201_4900"/>
    <s v="Loading"/>
    <n v="460053"/>
    <s v="Primary flows"/>
    <s v="SAMSKIP FOR SN 3PO"/>
    <m/>
    <m/>
    <s v="No"/>
    <s v="NL Haps DC (DSV)"/>
    <s v="REDD - GB Redditch"/>
    <n v="33"/>
    <n v="0"/>
    <n v="0"/>
    <n v="0"/>
    <s v="1  01"/>
    <x v="1"/>
    <m/>
    <s v="27/10/2025 23:00-23:00"/>
    <m/>
    <n v="0"/>
    <m/>
    <s v="No"/>
    <s v="Shipped/Received"/>
    <s v="Direct"/>
    <m/>
    <m/>
    <m/>
    <s v="HAPSDCUK20251021-02"/>
    <m/>
    <m/>
    <s v="No"/>
    <n v="5019220967"/>
    <m/>
    <m/>
    <m/>
  </r>
  <r>
    <x v="0"/>
    <x v="0"/>
    <x v="3"/>
    <x v="14"/>
    <d v="2025-10-21T12:00:00"/>
    <s v="0006091228_4900"/>
    <s v="Loading"/>
    <s v="462501 / 457349"/>
    <s v="Primary flows / Primary flows"/>
    <s v="VLANTANA FOR SN 3PO"/>
    <m/>
    <m/>
    <s v="No"/>
    <s v="NL Haps DC (DSV)"/>
    <s v="RIGA - LV Riga (EUGESTA SIA) / RIGA - LV Riga (EUGESTA SIA)"/>
    <n v="66"/>
    <n v="0"/>
    <n v="0"/>
    <n v="0"/>
    <s v="1  01"/>
    <x v="1"/>
    <m/>
    <s v="27/10/2025 10:00-10:00"/>
    <m/>
    <n v="0"/>
    <m/>
    <s v="No"/>
    <s v="Shipped/Received"/>
    <s v="Direct"/>
    <s v=" / "/>
    <s v=" / "/>
    <m/>
    <s v="HAPSDCLV20251021-01 / HAPSDCLV20251021-01"/>
    <m/>
    <m/>
    <s v="No"/>
    <s v="5019209809 / 5019209134"/>
    <m/>
    <m/>
    <m/>
  </r>
  <r>
    <x v="0"/>
    <x v="0"/>
    <x v="3"/>
    <x v="14"/>
    <d v="2025-10-21T13:00:00"/>
    <s v="0006098200_4900"/>
    <s v="Loading"/>
    <n v="460037"/>
    <s v="Primary flows"/>
    <s v="LKW WALTER FOR SN 3PO"/>
    <m/>
    <m/>
    <s v="No"/>
    <s v="NL Haps DC (DSV)"/>
    <s v="REDD - GB Redditch"/>
    <n v="33"/>
    <n v="0"/>
    <n v="0"/>
    <n v="0"/>
    <s v="1  01"/>
    <x v="1"/>
    <m/>
    <s v="23/10/2025 12:00-12:00"/>
    <m/>
    <n v="0"/>
    <m/>
    <s v="No"/>
    <s v="Shipped/Received"/>
    <s v="Direct"/>
    <m/>
    <m/>
    <m/>
    <s v="HAPSDCUK20251021-01"/>
    <m/>
    <m/>
    <s v="No"/>
    <n v="5019220259"/>
    <m/>
    <m/>
    <m/>
  </r>
  <r>
    <x v="0"/>
    <x v="0"/>
    <x v="3"/>
    <x v="14"/>
    <d v="2025-10-21T13:00:00"/>
    <s v="374647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99519"/>
    <x v="0"/>
    <m/>
    <s v="2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4"/>
    <d v="2025-10-21T13:00:00"/>
    <s v="372767_OOS"/>
    <s v="Loading"/>
    <s v="TT - SEA_OOS"/>
    <s v="Aval non piloté_EN"/>
    <s v="GEODIS"/>
    <m/>
    <m/>
    <s v="No"/>
    <s v="NL Haps DC (DSV)"/>
    <s v="OOS_OUT - Delivery OOS"/>
    <n v="10"/>
    <n v="0"/>
    <n v="0"/>
    <n v="0"/>
    <s v="DN 5019146680 "/>
    <x v="2"/>
    <m/>
    <s v="22/10/2025 09:00-09:00"/>
    <m/>
    <n v="0"/>
    <m/>
    <s v="No"/>
    <s v="Shipped/Received"/>
    <s v="Direct"/>
    <m/>
    <m/>
    <s v="nutricia-booking.ff.nl@geodis.com"/>
    <m/>
    <m/>
    <m/>
    <s v="No"/>
    <s v="&amp;nbsp"/>
    <m/>
    <s v="TRINIDAD"/>
    <s v="SRTMS183001"/>
  </r>
  <r>
    <x v="0"/>
    <x v="0"/>
    <x v="3"/>
    <x v="14"/>
    <d v="2025-10-21T13:00:00"/>
    <s v="0006098208_4900"/>
    <s v="Loading"/>
    <n v="462619"/>
    <s v="Primary flows"/>
    <s v="SAMSKIP FOR SN 3PO"/>
    <m/>
    <m/>
    <s v="No"/>
    <s v="NL Haps DC (DSV)"/>
    <s v="REDD - GB Redditch"/>
    <n v="33"/>
    <n v="0"/>
    <n v="0"/>
    <n v="0"/>
    <s v="1  01"/>
    <x v="1"/>
    <m/>
    <s v="27/10/2025 23:00-23:00"/>
    <m/>
    <n v="0"/>
    <m/>
    <s v="No"/>
    <s v="Shipped/Received"/>
    <s v="Direct"/>
    <m/>
    <m/>
    <m/>
    <s v="HAPSDCUK20251021-09"/>
    <m/>
    <m/>
    <s v="No"/>
    <n v="5019212620"/>
    <m/>
    <m/>
    <m/>
  </r>
  <r>
    <x v="0"/>
    <x v="0"/>
    <x v="3"/>
    <x v="14"/>
    <d v="2025-10-21T13:00:00"/>
    <s v="0006091199_4900"/>
    <s v="Loading"/>
    <n v="457356"/>
    <s v="Primary flows"/>
    <s v="GIRTEKA FOR SN 3PO"/>
    <m/>
    <m/>
    <s v="No"/>
    <s v="NL Haps DC (DSV)"/>
    <s v="ALZE - DE Alzenau"/>
    <n v="33"/>
    <n v="0"/>
    <n v="0"/>
    <n v="0"/>
    <s v="1  01"/>
    <x v="1"/>
    <m/>
    <s v="22/10/2025 11:00-11:00"/>
    <m/>
    <n v="0"/>
    <m/>
    <s v="No"/>
    <s v="Shipped/Received"/>
    <s v="Direct"/>
    <m/>
    <m/>
    <m/>
    <s v="HAPSDCDE20251021-03"/>
    <m/>
    <m/>
    <s v="No"/>
    <n v="5019209943"/>
    <m/>
    <m/>
    <m/>
  </r>
  <r>
    <x v="0"/>
    <x v="0"/>
    <x v="3"/>
    <x v="14"/>
    <d v="2025-10-21T14:00:00"/>
    <s v="374977_OOS"/>
    <s v="Loading"/>
    <s v="ARG - AIR_OOS"/>
    <s v="Aval non piloté_EN"/>
    <s v="MAERSK"/>
    <m/>
    <m/>
    <s v="No"/>
    <s v="NL Haps DC (DSV)"/>
    <s v="OOS_OUT - Delivery OOS"/>
    <n v="13"/>
    <n v="0"/>
    <n v="0"/>
    <n v="0"/>
    <s v="ARG AIR EXW 5019177506   5019200103"/>
    <x v="0"/>
    <m/>
    <s v="22/10/2025 14:00-14:00"/>
    <m/>
    <n v="0"/>
    <m/>
    <s v="No"/>
    <s v="Shipped/Received"/>
    <s v="Direct"/>
    <m/>
    <m/>
    <s v="export.AMS@maersk.com"/>
    <m/>
    <m/>
    <m/>
    <s v="No"/>
    <s v="&amp;nbsp"/>
    <m/>
    <m/>
    <m/>
  </r>
  <r>
    <x v="0"/>
    <x v="0"/>
    <x v="3"/>
    <x v="14"/>
    <d v="2025-10-21T14:00:00"/>
    <s v="374658_OOS"/>
    <s v="Loading"/>
    <s v="CN-AIR_OOS"/>
    <s v="Aval non piloté_EN"/>
    <s v="GEODIS"/>
    <m/>
    <m/>
    <s v="No"/>
    <s v="NL Haps DC (DSV)"/>
    <s v="OOS_OUT - Delivery OOS"/>
    <n v="6"/>
    <n v="0"/>
    <n v="0"/>
    <n v="0"/>
    <s v="CN 5019137706 (6PL - LINE 1138) CN 5019144234 (1PL - LINE 1139)"/>
    <x v="2"/>
    <m/>
    <s v="2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4"/>
    <d v="2025-10-21T14:00:00"/>
    <s v="0006091223_4900"/>
    <s v="Loading"/>
    <s v="462852 / 457346"/>
    <s v="Primary flows / Primary flows"/>
    <s v="ECS FOR SN 3PO"/>
    <m/>
    <m/>
    <s v="No"/>
    <s v="NL Haps DC (DSV)"/>
    <s v="MOUS - FR Moussy-Le-Neuf / MOUS - FR Moussy-Le-Neuf"/>
    <n v="66"/>
    <n v="0"/>
    <n v="0"/>
    <n v="0"/>
    <s v="1  01"/>
    <x v="1"/>
    <m/>
    <s v="22/10/2025 10:00-10:00"/>
    <m/>
    <n v="0"/>
    <m/>
    <s v="No"/>
    <s v="Shipped/Received"/>
    <s v="Direct"/>
    <s v=" / "/>
    <s v=" / "/>
    <m/>
    <s v="HAPSDCFR20251021-01 / HAPSDCFR20251021-01"/>
    <m/>
    <m/>
    <s v="No"/>
    <s v="5019211757 / 5019209819"/>
    <m/>
    <m/>
    <m/>
  </r>
  <r>
    <x v="0"/>
    <x v="0"/>
    <x v="3"/>
    <x v="14"/>
    <d v="2025-10-21T14:00:00"/>
    <s v="373684_OOS"/>
    <s v="Loading"/>
    <s v="IR-ROAD_OOS"/>
    <s v="Aval non piloté_EN"/>
    <s v="EXPEDITE ONE"/>
    <m/>
    <m/>
    <s v="No"/>
    <s v="NL Haps DC (DSV)"/>
    <s v="OOS_OUT - Delivery OOS"/>
    <n v="18"/>
    <n v="0"/>
    <n v="0"/>
    <n v="0"/>
    <n v="5019111153"/>
    <x v="0"/>
    <m/>
    <s v="22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3"/>
    <x v="14"/>
    <d v="2025-10-21T15:00:00"/>
    <s v="369438_OOS"/>
    <s v="Loading"/>
    <s v="GY - SEA_OOS"/>
    <s v="Aval non piloté_EN"/>
    <s v="GEODIS"/>
    <m/>
    <m/>
    <s v="No"/>
    <s v="NL Haps DC (DSV)"/>
    <s v="OOS_OUT - Delivery OOS"/>
    <n v="10"/>
    <n v="0"/>
    <n v="0"/>
    <n v="0"/>
    <s v="DN 5019141937 "/>
    <x v="2"/>
    <m/>
    <s v="22/10/2025 09:00-09:00"/>
    <m/>
    <n v="0"/>
    <m/>
    <s v="No"/>
    <s v="Shipped/Received"/>
    <s v="Direct"/>
    <m/>
    <m/>
    <s v="nutricia-booking.ff.nl@geodis.com"/>
    <m/>
    <m/>
    <m/>
    <s v="No"/>
    <s v="&amp;nbsp"/>
    <m/>
    <s v="GUYANA"/>
    <s v="SRTMS182575"/>
  </r>
  <r>
    <x v="0"/>
    <x v="0"/>
    <x v="3"/>
    <x v="14"/>
    <d v="2025-10-21T15:00:00"/>
    <s v="374648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206816"/>
    <x v="0"/>
    <m/>
    <s v="2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4"/>
    <d v="2025-10-21T15:00:00"/>
    <s v="0006091221_4900"/>
    <s v="Loading"/>
    <s v="462532 / 457338"/>
    <s v="Primary flows / Primary flows"/>
    <s v="KREISS FOR SN 3PO"/>
    <m/>
    <m/>
    <s v="No"/>
    <s v="NL Haps DC (DSV)"/>
    <s v="CIE2 - ES Ciempozuelos SN / CIE2 - ES Ciempozuelos SN"/>
    <n v="66"/>
    <n v="0"/>
    <n v="0"/>
    <n v="0"/>
    <s v="1  01"/>
    <x v="1"/>
    <m/>
    <s v="24/10/2025 14:00-14:00"/>
    <m/>
    <n v="0"/>
    <m/>
    <s v="No"/>
    <s v="Shipped/Received"/>
    <s v="Direct"/>
    <s v=" / "/>
    <s v=" / "/>
    <m/>
    <s v="HAPSDCES20251021-01 / HAPSDCES20251021-01"/>
    <m/>
    <m/>
    <s v="No"/>
    <s v="5019217776 / 5019211302"/>
    <m/>
    <m/>
    <m/>
  </r>
  <r>
    <x v="0"/>
    <x v="0"/>
    <x v="3"/>
    <x v="14"/>
    <d v="2025-10-21T16:00:00"/>
    <s v="0006091200_4900"/>
    <s v="Loading"/>
    <n v="457342"/>
    <s v="Primary flows"/>
    <s v="LKW WALTER FOR SN 3PO"/>
    <m/>
    <m/>
    <s v="No"/>
    <s v="NL Haps DC (DSV)"/>
    <s v="ALZE - DE Alzenau"/>
    <n v="33"/>
    <n v="0"/>
    <n v="0"/>
    <n v="0"/>
    <s v="1  01"/>
    <x v="1"/>
    <m/>
    <s v="22/10/2025 10:00-10:00"/>
    <m/>
    <n v="0"/>
    <m/>
    <s v="No"/>
    <s v="Shipped/Received"/>
    <s v="Direct"/>
    <m/>
    <m/>
    <m/>
    <s v="HAPSDCDE20251021-04"/>
    <m/>
    <m/>
    <s v="No"/>
    <n v="5019208982"/>
    <m/>
    <m/>
    <m/>
  </r>
  <r>
    <x v="0"/>
    <x v="0"/>
    <x v="3"/>
    <x v="14"/>
    <d v="2025-10-21T16:00:00"/>
    <s v="374650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202435"/>
    <x v="0"/>
    <m/>
    <s v="22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4"/>
    <d v="2025-10-21T16:00:00"/>
    <s v="0006091197_4900"/>
    <s v="Loading"/>
    <n v="457343"/>
    <s v="Primary flows"/>
    <s v="LKW WALTER FOR SN 3PO"/>
    <m/>
    <m/>
    <s v="No"/>
    <s v="NL Haps DC (DSV)"/>
    <s v="ALZE - DE Alzenau"/>
    <n v="33"/>
    <n v="0"/>
    <n v="0"/>
    <n v="0"/>
    <s v="1  01"/>
    <x v="1"/>
    <m/>
    <s v="22/10/2025 10:00-10:00"/>
    <m/>
    <n v="0"/>
    <m/>
    <s v="No"/>
    <s v="Shipped/Received"/>
    <s v="Direct"/>
    <m/>
    <m/>
    <m/>
    <s v="HAPSDCDE20251021-01"/>
    <m/>
    <m/>
    <s v="No"/>
    <n v="5019204674"/>
    <m/>
    <m/>
    <m/>
  </r>
  <r>
    <x v="0"/>
    <x v="0"/>
    <x v="3"/>
    <x v="14"/>
    <d v="2025-10-21T16:00:00"/>
    <s v="0006091231_4900"/>
    <s v="Loading"/>
    <n v="457361"/>
    <s v="Primary flows"/>
    <s v="LKW WALTER FOR SN 3PO HVO"/>
    <m/>
    <m/>
    <s v="No"/>
    <s v="NL Haps DC (DSV)"/>
    <s v="HELS - SE Helsingborg"/>
    <n v="33"/>
    <n v="0"/>
    <n v="0"/>
    <n v="0"/>
    <s v="1  01"/>
    <x v="1"/>
    <m/>
    <s v="28/10/2025 16:00-16:00"/>
    <m/>
    <n v="0"/>
    <m/>
    <s v="No"/>
    <s v="Shipped/Received"/>
    <s v="Direct"/>
    <m/>
    <m/>
    <m/>
    <s v="HAPSDCSE20251021-01"/>
    <m/>
    <m/>
    <s v="No"/>
    <n v="5019199517"/>
    <m/>
    <m/>
    <m/>
  </r>
  <r>
    <x v="0"/>
    <x v="0"/>
    <x v="3"/>
    <x v="14"/>
    <d v="2025-10-21T17:00:00"/>
    <s v="0006091198_4900"/>
    <s v="Loading"/>
    <n v="457335"/>
    <s v="Primary flows"/>
    <s v="LKW WALTER FOR SN 3PO"/>
    <m/>
    <m/>
    <s v="No"/>
    <s v="NL Haps DC (DSV)"/>
    <s v="ALZE - DE Alzenau"/>
    <n v="33"/>
    <n v="0"/>
    <n v="0"/>
    <n v="0"/>
    <s v="1  01"/>
    <x v="1"/>
    <m/>
    <s v="22/10/2025 10:00-10:00"/>
    <m/>
    <n v="0"/>
    <m/>
    <s v="No"/>
    <s v="Shipped/Received"/>
    <s v="Direct"/>
    <m/>
    <m/>
    <m/>
    <s v="HAPSDCDE20251021-02"/>
    <m/>
    <m/>
    <s v="No"/>
    <n v="5019220648"/>
    <m/>
    <m/>
    <m/>
  </r>
  <r>
    <x v="0"/>
    <x v="0"/>
    <x v="3"/>
    <x v="14"/>
    <d v="2025-10-21T17:00:00"/>
    <s v="0006091224_4900"/>
    <s v="Loading"/>
    <n v="457364"/>
    <s v="Primary flows"/>
    <s v="ECS FOR SN 3PO"/>
    <m/>
    <m/>
    <s v="No"/>
    <s v="NL Haps DC (DSV)"/>
    <s v="MOUS - FR Moussy-Le-Neuf"/>
    <n v="33"/>
    <n v="0"/>
    <n v="0"/>
    <n v="0"/>
    <s v="1  01"/>
    <x v="1"/>
    <m/>
    <s v="22/10/2025 13:30-13:30"/>
    <m/>
    <n v="0"/>
    <m/>
    <s v="No"/>
    <s v="Shipped/Received"/>
    <s v="Direct"/>
    <m/>
    <m/>
    <m/>
    <s v="HAPSDCFR20251021-02"/>
    <m/>
    <m/>
    <s v="No"/>
    <n v="5019216939"/>
    <m/>
    <m/>
    <m/>
  </r>
  <r>
    <x v="0"/>
    <x v="0"/>
    <x v="3"/>
    <x v="14"/>
    <d v="2025-10-21T17:00:00"/>
    <s v="0006091229_4900"/>
    <s v="Loading"/>
    <n v="457362"/>
    <s v="Primary flows"/>
    <s v="PIOMAR FOR SN 3PO"/>
    <m/>
    <m/>
    <s v="No"/>
    <s v="NL Haps DC (DSV)"/>
    <s v="GRAB - PL Grabica"/>
    <n v="33"/>
    <n v="0"/>
    <n v="0"/>
    <n v="0"/>
    <s v="1  01"/>
    <x v="1"/>
    <m/>
    <s v="23/10/2025 14:00-14:00"/>
    <s v="OP7453U"/>
    <n v="0"/>
    <m/>
    <s v="No"/>
    <s v="Shipped/Received"/>
    <s v="Direct"/>
    <m/>
    <m/>
    <m/>
    <s v="HAPSDCPL20251021-01"/>
    <m/>
    <m/>
    <s v="No"/>
    <n v="5019200542"/>
    <s v="OP6658M"/>
    <s v="ZALCMAN"/>
    <m/>
  </r>
  <r>
    <x v="0"/>
    <x v="0"/>
    <x v="3"/>
    <x v="14"/>
    <d v="2025-10-21T18:00:00"/>
    <s v="0006101914_4900"/>
    <s v="Loading"/>
    <n v="461229"/>
    <s v="Primary flows"/>
    <s v="LOGISTA FOR SN 3PO"/>
    <m/>
    <m/>
    <s v="No"/>
    <s v="NL Haps DC (DSV)"/>
    <s v="CIE2 - ES Ciempozuelos SN"/>
    <n v="33"/>
    <n v="0"/>
    <n v="0"/>
    <n v="0"/>
    <s v="1  01"/>
    <x v="1"/>
    <m/>
    <s v="24/10/2025 08:00-08:00"/>
    <s v="R1988BCM"/>
    <n v="0"/>
    <m/>
    <s v="No"/>
    <s v="Shipped/Received"/>
    <s v="Direct"/>
    <m/>
    <m/>
    <m/>
    <s v="HAPSDCES20251021-02"/>
    <m/>
    <m/>
    <s v="No"/>
    <n v="5019222481"/>
    <s v="7744LMV"/>
    <s v="Bogdan Samoila"/>
    <m/>
  </r>
  <r>
    <x v="0"/>
    <x v="0"/>
    <x v="3"/>
    <x v="14"/>
    <d v="2025-10-21T18:00:00"/>
    <s v="0006091230_4900"/>
    <s v="Loading"/>
    <n v="457345"/>
    <s v="Primary flows"/>
    <s v="MIERZWA FOR SN 3PO"/>
    <m/>
    <m/>
    <s v="No"/>
    <s v="NL Haps DC (DSV)"/>
    <s v="GRAB - PL Grabica"/>
    <n v="33"/>
    <n v="0"/>
    <n v="0"/>
    <n v="0"/>
    <s v="1  01"/>
    <x v="1"/>
    <m/>
    <s v="24/10/2025 09:00-09:00"/>
    <s v="KRA7917P"/>
    <n v="0"/>
    <m/>
    <s v="No"/>
    <s v="Shipped/Received"/>
    <s v="Direct"/>
    <m/>
    <m/>
    <m/>
    <s v="HAPSDCPL20251021-02"/>
    <m/>
    <m/>
    <s v="No"/>
    <n v="5019218696"/>
    <s v="KRA643EA"/>
    <s v="Krzysztof Musia?"/>
    <m/>
  </r>
  <r>
    <x v="0"/>
    <x v="0"/>
    <x v="3"/>
    <x v="14"/>
    <d v="2025-10-21T19:00:00"/>
    <s v="0006091227_4900"/>
    <s v="Loading"/>
    <n v="457354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27/10/2025 08:00-08:00"/>
    <m/>
    <n v="0"/>
    <m/>
    <s v="No"/>
    <s v="Shipped/Received"/>
    <s v="Direct"/>
    <m/>
    <m/>
    <m/>
    <s v="HAPSDCIT20251021-01"/>
    <m/>
    <m/>
    <s v="No"/>
    <n v="5019204787"/>
    <m/>
    <m/>
    <m/>
  </r>
  <r>
    <x v="0"/>
    <x v="0"/>
    <x v="3"/>
    <x v="14"/>
    <d v="2025-10-21T19:00:00"/>
    <s v="0006091225_4900"/>
    <s v="Loading"/>
    <n v="457351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2/10/2025 08:00-08:00"/>
    <m/>
    <n v="0"/>
    <m/>
    <s v="No"/>
    <s v="Shipped/Received"/>
    <s v="Direct"/>
    <m/>
    <m/>
    <m/>
    <s v="HAPSDCFR20251021-03"/>
    <m/>
    <m/>
    <s v="No"/>
    <n v="5019206590"/>
    <m/>
    <m/>
    <m/>
  </r>
  <r>
    <x v="0"/>
    <x v="0"/>
    <x v="3"/>
    <x v="14"/>
    <d v="2025-10-21T19:00:00"/>
    <s v="0006091222_4900"/>
    <s v="Loading"/>
    <s v="462523 / 457355"/>
    <s v="Primary flows / Primary flows"/>
    <s v="P AND O FOR SN 3PO"/>
    <m/>
    <m/>
    <s v="No"/>
    <s v="NL Haps DC (DSV)"/>
    <s v="TAMP - FI Tampere / TAMP - FI Tampere"/>
    <n v="66"/>
    <n v="0"/>
    <n v="0"/>
    <n v="0"/>
    <s v="1  01"/>
    <x v="1"/>
    <m/>
    <s v="28/10/2025 16:00-16:00"/>
    <m/>
    <n v="0"/>
    <m/>
    <s v="No"/>
    <s v="Shipped/Received"/>
    <s v="Direct"/>
    <s v=" / "/>
    <s v=" / "/>
    <m/>
    <s v="HAPSDCFI20251021-01 / HAPSDCFI20251021-01"/>
    <m/>
    <m/>
    <s v="No"/>
    <s v="5019210083 / 5019210082"/>
    <m/>
    <m/>
    <m/>
  </r>
  <r>
    <x v="0"/>
    <x v="0"/>
    <x v="3"/>
    <x v="15"/>
    <d v="2025-10-22T06:00:00"/>
    <s v="0006098215_4900"/>
    <s v="Loading"/>
    <n v="462616"/>
    <s v="Primary flows"/>
    <s v="SAMSKIP FOR SN 3PO"/>
    <m/>
    <m/>
    <s v="No"/>
    <s v="NL Haps DC (DSV)"/>
    <s v="REDD - GB Redditch"/>
    <n v="33"/>
    <n v="0"/>
    <n v="0"/>
    <n v="0"/>
    <s v="1  01"/>
    <x v="1"/>
    <m/>
    <s v="28/10/2025 23:00-23:00"/>
    <m/>
    <n v="0"/>
    <m/>
    <s v="No"/>
    <s v="Shipped/Received"/>
    <s v="Direct"/>
    <m/>
    <m/>
    <m/>
    <s v="HAPSDCUK20251022-06"/>
    <m/>
    <m/>
    <s v="No"/>
    <n v="5019223469"/>
    <m/>
    <m/>
    <m/>
  </r>
  <r>
    <x v="0"/>
    <x v="0"/>
    <x v="3"/>
    <x v="15"/>
    <d v="2025-10-22T06:00:00"/>
    <s v="371829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89697 "/>
    <x v="0"/>
    <m/>
    <s v="23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7"/>
    <s v="SRTMS182775"/>
  </r>
  <r>
    <x v="0"/>
    <x v="0"/>
    <x v="3"/>
    <x v="15"/>
    <d v="2025-10-22T07:00:00"/>
    <s v="375655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243610"/>
    <x v="2"/>
    <m/>
    <s v="23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5"/>
    <d v="2025-10-22T07:00:00"/>
    <s v="372758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1163 "/>
    <x v="0"/>
    <m/>
    <s v="23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8"/>
    <s v="SRTMS182775"/>
  </r>
  <r>
    <x v="0"/>
    <x v="0"/>
    <x v="3"/>
    <x v="15"/>
    <d v="2025-10-22T07:00:00"/>
    <s v="374032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01246 LZV "/>
    <x v="1"/>
    <m/>
    <s v="2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5"/>
    <d v="2025-10-22T08:00:00"/>
    <s v="375378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54805 5019206576"/>
    <x v="0"/>
    <m/>
    <s v="2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5"/>
    <d v="2025-10-22T08:00:00"/>
    <s v="372759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1164 "/>
    <x v="0"/>
    <m/>
    <s v="23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9"/>
    <s v="SRTMS182775"/>
  </r>
  <r>
    <x v="0"/>
    <x v="0"/>
    <x v="3"/>
    <x v="15"/>
    <d v="2025-10-22T08:00:00"/>
    <s v="0006091257_4900"/>
    <s v="Loading"/>
    <n v="457454"/>
    <s v="Primary flows"/>
    <s v="SAMSKIP FOR SN 3PO"/>
    <m/>
    <m/>
    <s v="No"/>
    <s v="NL Haps DC (DSV)"/>
    <s v="BELF - IE Belfast (Moviento)"/>
    <n v="33"/>
    <n v="0"/>
    <n v="0"/>
    <n v="0"/>
    <s v="1  01"/>
    <x v="1"/>
    <m/>
    <s v="29/10/2025 16:00-16:00"/>
    <m/>
    <n v="0"/>
    <m/>
    <s v="No"/>
    <s v="Shipped/Received"/>
    <s v="Direct"/>
    <m/>
    <m/>
    <m/>
    <s v="HAPSDCIE20251022-01"/>
    <m/>
    <m/>
    <s v="No"/>
    <n v="5019225307"/>
    <m/>
    <m/>
    <m/>
  </r>
  <r>
    <x v="0"/>
    <x v="0"/>
    <x v="3"/>
    <x v="15"/>
    <d v="2025-10-22T09:00:00"/>
    <s v="0006091259_4900"/>
    <s v="Loading"/>
    <s v="463177 / 457427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29/10/2025 15:00-15:00"/>
    <m/>
    <n v="0"/>
    <m/>
    <s v="No"/>
    <s v="Shipped/Received"/>
    <s v="Direct"/>
    <s v=" / "/>
    <s v=" / "/>
    <m/>
    <s v="HAPSDCNO20251022-01 / HAPSDCNO20251022-01"/>
    <m/>
    <m/>
    <s v="No"/>
    <s v="5019231680 / 5019180204"/>
    <m/>
    <m/>
    <m/>
  </r>
  <r>
    <x v="0"/>
    <x v="0"/>
    <x v="3"/>
    <x v="15"/>
    <d v="2025-10-22T09:00:00"/>
    <s v="369941_OOS"/>
    <s v="Loading"/>
    <s v="CN-SEA-6087537_OOS"/>
    <s v="Aval non piloté_EN"/>
    <s v="MAERSK - Control Tower"/>
    <m/>
    <m/>
    <s v="No"/>
    <s v="NL Haps DC (DSV)"/>
    <s v="OOS_OUT - Delivery OOS"/>
    <n v="20"/>
    <n v="0"/>
    <n v="0"/>
    <n v="0"/>
    <s v="5019180303 5019135690 "/>
    <x v="0"/>
    <m/>
    <s v="23/10/2025 00:04-00:04"/>
    <m/>
    <n v="0"/>
    <m/>
    <s v="No"/>
    <s v="Shipped/Received"/>
    <s v="Direct"/>
    <m/>
    <m/>
    <s v="3POeuropect@lns.maersk.com"/>
    <m/>
    <m/>
    <m/>
    <s v="No"/>
    <s v="&amp;nbsp"/>
    <m/>
    <m/>
    <n v="260326729"/>
  </r>
  <r>
    <x v="0"/>
    <x v="0"/>
    <x v="3"/>
    <x v="15"/>
    <d v="2025-10-22T09:00:00"/>
    <s v="369940_OOS"/>
    <s v="Loading"/>
    <s v="CN-SEA-6087536_OOS"/>
    <s v="Aval non piloté_EN"/>
    <s v="MAERSK - Control Tower"/>
    <m/>
    <m/>
    <s v="No"/>
    <s v="NL Haps DC (DSV)"/>
    <s v="OOS_OUT - Delivery OOS"/>
    <n v="20"/>
    <n v="0"/>
    <n v="0"/>
    <n v="0"/>
    <n v="5019153017"/>
    <x v="0"/>
    <m/>
    <s v="23/10/2025 00:04-00:04"/>
    <m/>
    <n v="0"/>
    <m/>
    <s v="No"/>
    <s v="Shipped/Received"/>
    <s v="Direct"/>
    <m/>
    <m/>
    <s v="3POeuropect@lns.maersk.com"/>
    <m/>
    <m/>
    <m/>
    <s v="No"/>
    <s v="&amp;nbsp"/>
    <m/>
    <m/>
    <n v="260326729"/>
  </r>
  <r>
    <x v="0"/>
    <x v="0"/>
    <x v="3"/>
    <x v="15"/>
    <d v="2025-10-22T10:00:00"/>
    <s v="0006098211_4900"/>
    <s v="Loading"/>
    <n v="460051"/>
    <s v="Primary flows"/>
    <s v="SAMSKIP FOR SN 3PO"/>
    <m/>
    <m/>
    <s v="No"/>
    <s v="NL Haps DC (DSV)"/>
    <s v="REDD - GB Redditch"/>
    <n v="33"/>
    <n v="0"/>
    <n v="0"/>
    <n v="0"/>
    <s v="1  01"/>
    <x v="1"/>
    <m/>
    <s v="28/10/2025 23:00-23:00"/>
    <m/>
    <n v="0"/>
    <m/>
    <s v="No"/>
    <s v="Shipped/Received"/>
    <s v="Direct"/>
    <m/>
    <m/>
    <m/>
    <s v="HAPSDCUK20251022-02"/>
    <m/>
    <m/>
    <s v="No"/>
    <n v="5019219977"/>
    <m/>
    <m/>
    <m/>
  </r>
  <r>
    <x v="0"/>
    <x v="0"/>
    <x v="3"/>
    <x v="15"/>
    <d v="2025-10-22T10:00:00"/>
    <s v="0006091260_4900"/>
    <s v="Loading"/>
    <s v="463179 / 457402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29/10/2025 15:00-15:00"/>
    <m/>
    <n v="0"/>
    <m/>
    <s v="No"/>
    <s v="Shipped/Received"/>
    <s v="Direct"/>
    <s v=" / "/>
    <s v=" / "/>
    <m/>
    <s v="HAPSDCNO20251022-02 / HAPSDCNO20251022-02"/>
    <m/>
    <m/>
    <s v="No"/>
    <s v="5019224967 / 5019209791"/>
    <m/>
    <m/>
    <m/>
  </r>
  <r>
    <x v="0"/>
    <x v="0"/>
    <x v="3"/>
    <x v="15"/>
    <d v="2025-10-22T10:00:00"/>
    <s v="0006098212_4900"/>
    <s v="Loading"/>
    <n v="460049"/>
    <s v="Primary flows"/>
    <s v="SAMSKIP FOR SN 3PO"/>
    <m/>
    <m/>
    <s v="No"/>
    <s v="NL Haps DC (DSV)"/>
    <s v="REDD - GB Redditch"/>
    <n v="33"/>
    <n v="0"/>
    <n v="0"/>
    <n v="0"/>
    <s v="1  01"/>
    <x v="1"/>
    <m/>
    <s v="28/10/2025 18:00-18:00"/>
    <m/>
    <n v="0"/>
    <m/>
    <s v="No"/>
    <s v="Shipped/Received"/>
    <s v="Direct"/>
    <m/>
    <m/>
    <m/>
    <s v="HAPSDCUK20251022-03"/>
    <m/>
    <m/>
    <s v="No"/>
    <n v="5019233408"/>
    <m/>
    <m/>
    <m/>
  </r>
  <r>
    <x v="0"/>
    <x v="0"/>
    <x v="3"/>
    <x v="15"/>
    <d v="2025-10-22T11:00:00"/>
    <s v="371830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2284 "/>
    <x v="0"/>
    <m/>
    <s v="23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10"/>
    <s v="SRTMS182775"/>
  </r>
  <r>
    <x v="0"/>
    <x v="0"/>
    <x v="3"/>
    <x v="15"/>
    <d v="2025-10-22T11:00:00"/>
    <s v="0006098216_4900"/>
    <s v="Loading"/>
    <n v="462620"/>
    <s v="Primary flows"/>
    <s v="SAMSKIP FOR SN 3PO"/>
    <m/>
    <m/>
    <s v="No"/>
    <s v="NL Haps DC (DSV)"/>
    <s v="REDD - GB Redditch"/>
    <n v="33"/>
    <n v="0"/>
    <n v="0"/>
    <n v="0"/>
    <s v="1  01"/>
    <x v="1"/>
    <m/>
    <s v="28/10/2025 23:00-23:00"/>
    <m/>
    <n v="0"/>
    <m/>
    <s v="No"/>
    <s v="Shipped/Received"/>
    <s v="Direct"/>
    <m/>
    <m/>
    <m/>
    <s v="HAPSDCUK20251022-07"/>
    <m/>
    <m/>
    <s v="No"/>
    <n v="5019211317"/>
    <m/>
    <m/>
    <m/>
  </r>
  <r>
    <x v="0"/>
    <x v="0"/>
    <x v="3"/>
    <x v="15"/>
    <d v="2025-10-22T11:00:00"/>
    <s v="364891_OOS"/>
    <s v="Loading"/>
    <s v="ZA-SEA-6068790_OOS"/>
    <s v="Aval non piloté_EN"/>
    <s v="Maersk - Control Tower"/>
    <m/>
    <m/>
    <s v="No"/>
    <s v="NL Haps DC (DSV)"/>
    <s v="OOS_OUT - Delivery OOS"/>
    <n v="20"/>
    <n v="0"/>
    <n v="0"/>
    <n v="0"/>
    <n v="5019165778"/>
    <x v="0"/>
    <m/>
    <s v="23/10/2025 00:02-00:02"/>
    <m/>
    <n v="0"/>
    <m/>
    <s v="No"/>
    <s v="Shipped/Received"/>
    <s v="Direct"/>
    <m/>
    <m/>
    <s v="nutricia.ct.eu@lns.maersk.com"/>
    <m/>
    <m/>
    <m/>
    <s v="No"/>
    <s v="&amp;nbsp"/>
    <m/>
    <m/>
    <n v="38856155"/>
  </r>
  <r>
    <x v="0"/>
    <x v="0"/>
    <x v="3"/>
    <x v="15"/>
    <d v="2025-10-22T11:00:00"/>
    <s v="374652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94616"/>
    <x v="0"/>
    <m/>
    <s v="2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5"/>
    <d v="2025-10-22T12:00:00"/>
    <s v="0006098210_4900"/>
    <s v="Loading"/>
    <n v="460045"/>
    <s v="Primary flows"/>
    <s v="GIRTEKA FOR SN 3PO"/>
    <m/>
    <m/>
    <s v="No"/>
    <s v="NL Haps DC (DSV)"/>
    <s v="REDD - GB Redditch"/>
    <n v="33"/>
    <n v="0"/>
    <n v="0"/>
    <n v="0"/>
    <s v="1  01"/>
    <x v="1"/>
    <m/>
    <s v="23/10/2025 17:00-17:00"/>
    <s v="PZ_993XN"/>
    <n v="0"/>
    <m/>
    <s v="No"/>
    <s v="Shipped/Received"/>
    <s v="Direct"/>
    <m/>
    <m/>
    <m/>
    <s v="HAPSDCUK20251022-01"/>
    <m/>
    <m/>
    <s v="No"/>
    <n v="5019227576"/>
    <s v="NMG_590"/>
    <s v="Umarzhan Abdullaev"/>
    <m/>
  </r>
  <r>
    <x v="0"/>
    <x v="0"/>
    <x v="3"/>
    <x v="15"/>
    <d v="2025-10-22T12:00:00"/>
    <s v="0006102889_4900"/>
    <s v="Loading"/>
    <s v="463270 / 463269"/>
    <s v="Primary flows / Primary flows"/>
    <s v="GIRTEKA FOR SN 3PO"/>
    <m/>
    <m/>
    <s v="No"/>
    <s v="NL Haps DC (DSV)"/>
    <s v="GREZ - IT Grezzago (Pozzuolo Martesana) / GREZ - IT Grezzago (Pozzuolo Martesana)"/>
    <n v="66"/>
    <n v="0"/>
    <n v="0"/>
    <n v="0"/>
    <s v="1  01"/>
    <x v="1"/>
    <m/>
    <s v="24/10/2025 15:00-15:00"/>
    <m/>
    <n v="0"/>
    <m/>
    <s v="No"/>
    <s v="Shipped/Received"/>
    <s v="Direct"/>
    <s v=" / "/>
    <s v=" / "/>
    <m/>
    <s v="HAPSDCIT20251022-02 / HAPSDCIT20251022-02"/>
    <m/>
    <m/>
    <s v="No"/>
    <s v="5019238687 / 5019238686"/>
    <m/>
    <m/>
    <m/>
  </r>
  <r>
    <x v="0"/>
    <x v="0"/>
    <x v="3"/>
    <x v="15"/>
    <d v="2025-10-22T13:00:00"/>
    <s v="0006102974_4900"/>
    <s v="Loading"/>
    <n v="461780"/>
    <s v="Primary flows"/>
    <s v="LKW WALTER FOR SN 3PO"/>
    <m/>
    <m/>
    <s v="No"/>
    <s v="NL Haps DC (DSV)"/>
    <s v="REDD - GB Redditch"/>
    <n v="33"/>
    <n v="0"/>
    <n v="0"/>
    <n v="0"/>
    <s v="1  01"/>
    <x v="1"/>
    <m/>
    <s v="24/10/2025 13:00-13:00"/>
    <m/>
    <n v="0"/>
    <m/>
    <s v="No"/>
    <s v="Shipped/Received"/>
    <s v="Direct"/>
    <m/>
    <m/>
    <m/>
    <s v="HAPSDCUK20251022-09"/>
    <m/>
    <m/>
    <s v="No"/>
    <n v="5019219263"/>
    <m/>
    <m/>
    <m/>
  </r>
  <r>
    <x v="0"/>
    <x v="0"/>
    <x v="3"/>
    <x v="15"/>
    <d v="2025-10-22T13:00:00"/>
    <s v="0006091255_4900"/>
    <s v="Loading"/>
    <n v="457401"/>
    <s v="Primary flows"/>
    <s v="ECS FOR SN 3PO"/>
    <m/>
    <m/>
    <s v="No"/>
    <s v="NL Haps DC (DSV)"/>
    <s v="MOUS - FR Moussy-Le-Neuf"/>
    <n v="33"/>
    <n v="0"/>
    <n v="0"/>
    <n v="0"/>
    <s v="1  01"/>
    <x v="1"/>
    <m/>
    <s v="23/10/2025 10:00-10:00"/>
    <m/>
    <n v="0"/>
    <m/>
    <s v="No"/>
    <s v="Shipped/Received"/>
    <s v="Direct"/>
    <m/>
    <m/>
    <m/>
    <s v="HAPSDCFR20251022-03"/>
    <m/>
    <m/>
    <s v="No"/>
    <n v="5019219502"/>
    <m/>
    <m/>
    <m/>
  </r>
  <r>
    <x v="0"/>
    <x v="0"/>
    <x v="3"/>
    <x v="15"/>
    <d v="2025-10-22T13:00:00"/>
    <s v="371831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2441 "/>
    <x v="0"/>
    <m/>
    <s v="23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11"/>
    <s v="SRTMS182775"/>
  </r>
  <r>
    <x v="0"/>
    <x v="0"/>
    <x v="3"/>
    <x v="15"/>
    <d v="2025-10-22T13:00:00"/>
    <s v="374653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94617"/>
    <x v="0"/>
    <m/>
    <s v="2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5"/>
    <d v="2025-10-22T14:00:00"/>
    <s v="370711_OOS"/>
    <s v="Loading"/>
    <s v="NZ-AIR_OOS / AU-AIR_OOS"/>
    <s v="Aval non piloté_EN / Aval non piloté_EN"/>
    <s v="JAS"/>
    <m/>
    <m/>
    <s v="No"/>
    <s v="NL Haps DC (DSV)"/>
    <s v="OOS_OUT - Delivery OOS / OOS_OUT - Delivery OOS"/>
    <n v="5"/>
    <n v="0"/>
    <n v="0"/>
    <n v="0"/>
    <s v="NZ 5019101978 5019070126 5019112696 (4PL) AU 5019125161 (1PL)"/>
    <x v="2"/>
    <m/>
    <s v="23/10/2025 10:00-10:00"/>
    <m/>
    <n v="0"/>
    <m/>
    <s v="No"/>
    <s v="Shipped/Received"/>
    <s v="Direct"/>
    <s v=" / "/>
    <s v=" / "/>
    <s v="mdc.transport@danone.com"/>
    <s v=" / "/>
    <m/>
    <m/>
    <s v="No"/>
    <s v="&amp;nbsp"/>
    <s v=" / &amp;nbsp"/>
    <m/>
    <m/>
  </r>
  <r>
    <x v="0"/>
    <x v="0"/>
    <x v="3"/>
    <x v="15"/>
    <d v="2025-10-22T14:00:00"/>
    <s v="371832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0251 "/>
    <x v="0"/>
    <m/>
    <s v="23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1"/>
    <s v="SRTMS183066"/>
  </r>
  <r>
    <x v="0"/>
    <x v="0"/>
    <x v="3"/>
    <x v="15"/>
    <d v="2025-10-22T14:00:00"/>
    <s v="372641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091446"/>
    <x v="0"/>
    <m/>
    <s v="23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5"/>
    <d v="2025-10-22T14:00:00"/>
    <s v="0006102887_4900"/>
    <s v="Loading"/>
    <s v="463429 / 461771"/>
    <s v="Primary flows / Primary flows"/>
    <s v="SAMSKIP FOR SN 3PO"/>
    <m/>
    <m/>
    <s v="No"/>
    <s v="NL Haps DC (DSV)"/>
    <s v="DUBL - IE Dublin (United Drug) / DUBL - IE Dublin (United Drug)"/>
    <n v="66"/>
    <n v="0"/>
    <n v="0"/>
    <n v="0"/>
    <s v="1  01"/>
    <x v="1"/>
    <m/>
    <s v="29/10/2025 23:00-23:00"/>
    <m/>
    <n v="0"/>
    <m/>
    <s v="No"/>
    <s v="Shipped/Received"/>
    <s v="Direct"/>
    <s v=" / "/>
    <s v=" / "/>
    <m/>
    <s v="HAPSDCIE20251022-02 / HAPSDCIE20251022-02"/>
    <m/>
    <m/>
    <s v="No"/>
    <s v="5019240498 / 5019229690"/>
    <m/>
    <m/>
    <m/>
  </r>
  <r>
    <x v="0"/>
    <x v="0"/>
    <x v="3"/>
    <x v="15"/>
    <d v="2025-10-22T15:00:00"/>
    <s v="374839_OOS"/>
    <s v="Loading"/>
    <s v="AIR - PH_OOS"/>
    <s v="Aval non piloté_EN"/>
    <s v="GEODIS"/>
    <m/>
    <m/>
    <s v="No"/>
    <s v="NL Haps DC (DSV)"/>
    <s v="OOS_OUT - Delivery OOS"/>
    <n v="3"/>
    <n v="0"/>
    <n v="0"/>
    <n v="0"/>
    <s v="5019190207 (2 PLT) 5018897584 (1 PLT)"/>
    <x v="2"/>
    <m/>
    <s v="23/10/2025 12:00-12:00"/>
    <m/>
    <n v="0"/>
    <m/>
    <s v="No"/>
    <s v="Shipped/Received"/>
    <s v="Direct"/>
    <m/>
    <m/>
    <s v="tom.bloos@geodis.com"/>
    <m/>
    <m/>
    <m/>
    <s v="No"/>
    <s v="&amp;nbsp"/>
    <m/>
    <m/>
    <m/>
  </r>
  <r>
    <x v="0"/>
    <x v="0"/>
    <x v="3"/>
    <x v="15"/>
    <d v="2025-10-22T15:00:00"/>
    <s v="0006091256_4900"/>
    <s v="Loading"/>
    <s v="457436 / 457435"/>
    <s v="Primary flows / Primary flows"/>
    <s v="KREISS FOR SN 3PO"/>
    <m/>
    <m/>
    <s v="No"/>
    <s v="NL Haps DC (DSV)"/>
    <s v="BRAT - SK Bratislava / BUDA - HU Budapest (BILK Logisztikai)"/>
    <n v="66"/>
    <n v="0"/>
    <n v="0"/>
    <n v="0"/>
    <s v="1  01"/>
    <x v="1"/>
    <m/>
    <s v="24/10/2025 15:00-15:00 / 24/10/2025 13:00-13:00"/>
    <m/>
    <n v="0"/>
    <m/>
    <s v="No"/>
    <s v="Shipped/Received"/>
    <s v="Direct"/>
    <s v=" / "/>
    <s v=" / "/>
    <m/>
    <s v="HAPSDCHU20251022-01 / HAPSDCHU20251022-01"/>
    <m/>
    <m/>
    <s v="No"/>
    <s v="5019224058 / 5019217714"/>
    <m/>
    <m/>
    <m/>
  </r>
  <r>
    <x v="0"/>
    <x v="0"/>
    <x v="3"/>
    <x v="15"/>
    <d v="2025-10-22T15:00:00"/>
    <s v="375540_OOS"/>
    <s v="Loading"/>
    <s v="Scrap Kwaliflex - ROAD_OOS"/>
    <s v="Aval non piloté_EN"/>
    <s v="Kwaliflex"/>
    <m/>
    <m/>
    <s v="No"/>
    <s v="NL Haps DC (DSV)"/>
    <s v="OOS_OUT - Delivery OOS"/>
    <n v="31"/>
    <n v="0"/>
    <n v="0"/>
    <n v="0"/>
    <n v="90021084"/>
    <x v="0"/>
    <m/>
    <s v="23/10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0"/>
    <x v="3"/>
    <x v="15"/>
    <d v="2025-10-22T15:00:00"/>
    <s v="373687_OOS"/>
    <s v="Loading"/>
    <s v="IR-ROAD_OOS"/>
    <s v="Aval non piloté_EN"/>
    <s v="EXPEDITE ONE"/>
    <m/>
    <m/>
    <s v="No"/>
    <s v="NL Haps DC (DSV)"/>
    <s v="OOS_OUT - Delivery OOS"/>
    <n v="14"/>
    <n v="0"/>
    <n v="0"/>
    <n v="0"/>
    <s v="5019110992   5018901471"/>
    <x v="0"/>
    <m/>
    <s v="23/10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0"/>
    <x v="3"/>
    <x v="15"/>
    <d v="2025-10-22T16:00:00"/>
    <s v="0006091251_4900"/>
    <s v="Loading"/>
    <s v="463178 / 457449"/>
    <s v="Primary flows / Primary flows"/>
    <s v="DSV DK FOR SN 3PO"/>
    <m/>
    <m/>
    <s v="No"/>
    <s v="NL Haps DC (DSV)"/>
    <s v="GLOS - DK Glostrup / GLOS - DK Glostrup"/>
    <n v="66"/>
    <n v="0"/>
    <n v="0"/>
    <n v="0"/>
    <s v="1  01"/>
    <x v="1"/>
    <m/>
    <s v="24/10/2025 09:00-09:00"/>
    <m/>
    <n v="0"/>
    <m/>
    <s v="No"/>
    <s v="Shipped/Received"/>
    <s v="Direct"/>
    <s v=" / "/>
    <s v=" / "/>
    <m/>
    <s v="HAPSDCDK20251022-01 / HAPSDCDK20251022-01"/>
    <m/>
    <m/>
    <s v="No"/>
    <s v="5019227682 / 5019216901"/>
    <m/>
    <m/>
    <m/>
  </r>
  <r>
    <x v="0"/>
    <x v="0"/>
    <x v="3"/>
    <x v="15"/>
    <d v="2025-10-22T16:00:00"/>
    <s v="375542_OOS"/>
    <s v="Loading"/>
    <s v="Scrap Kwaliflex - ROAD_OOS"/>
    <s v="Aval non piloté_EN"/>
    <s v="Kwaliflex"/>
    <m/>
    <m/>
    <s v="No"/>
    <s v="NL Haps DC (DSV)"/>
    <s v="OOS_OUT - Delivery OOS"/>
    <n v="28"/>
    <n v="0"/>
    <n v="0"/>
    <n v="0"/>
    <s v="90020528   90021115   90023076"/>
    <x v="0"/>
    <m/>
    <s v="23/10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0"/>
    <x v="3"/>
    <x v="15"/>
    <d v="2025-10-22T16:00:00"/>
    <s v="375541_OOS"/>
    <s v="Loading"/>
    <s v="Scrap Kwaliflex - ROAD_OOS"/>
    <s v="Aval non piloté_EN"/>
    <s v="Kwaliflex"/>
    <m/>
    <m/>
    <s v="No"/>
    <s v="NL Haps DC (DSV)"/>
    <s v="OOS_OUT - Delivery OOS"/>
    <n v="31"/>
    <n v="0"/>
    <n v="0"/>
    <n v="0"/>
    <s v="90020493   90021043   90020793"/>
    <x v="0"/>
    <m/>
    <s v="23/10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0"/>
    <x v="3"/>
    <x v="15"/>
    <d v="2025-10-22T16:00:00"/>
    <s v="0006098213_4900"/>
    <s v="Loading"/>
    <n v="460033"/>
    <s v="Primary flows"/>
    <s v="LKW WALTER FOR SN 3PO"/>
    <m/>
    <m/>
    <s v="No"/>
    <s v="NL Haps DC (DSV)"/>
    <s v="REDD - GB Redditch"/>
    <n v="33"/>
    <n v="0"/>
    <n v="0"/>
    <n v="0"/>
    <s v="1  01"/>
    <x v="1"/>
    <m/>
    <s v="24/10/2025 17:00-17:00"/>
    <m/>
    <n v="0"/>
    <m/>
    <s v="No"/>
    <s v="Shipped/Received"/>
    <s v="Direct"/>
    <m/>
    <m/>
    <m/>
    <s v="HAPSDCUK20251022-04"/>
    <m/>
    <m/>
    <s v="No"/>
    <n v="5019211316"/>
    <m/>
    <m/>
    <m/>
  </r>
  <r>
    <x v="0"/>
    <x v="0"/>
    <x v="3"/>
    <x v="15"/>
    <d v="2025-10-22T17:00:00"/>
    <s v="0006091239_4900"/>
    <s v="Loading"/>
    <n v="457411"/>
    <s v="Primary flows"/>
    <s v="LKW WALTER FOR SN 3PO"/>
    <m/>
    <m/>
    <s v="No"/>
    <s v="NL Haps DC (DSV)"/>
    <s v="ALZE - DE Alzenau"/>
    <n v="33"/>
    <n v="0"/>
    <n v="0"/>
    <n v="0"/>
    <s v="1  01"/>
    <x v="1"/>
    <m/>
    <s v="23/10/2025 10:00-10:00"/>
    <m/>
    <n v="0"/>
    <m/>
    <s v="No"/>
    <s v="Shipped/Received"/>
    <s v="Direct"/>
    <m/>
    <m/>
    <m/>
    <s v="HAPSDCDE20251022-03"/>
    <m/>
    <m/>
    <s v="No"/>
    <n v="5019207673"/>
    <m/>
    <m/>
    <m/>
  </r>
  <r>
    <x v="0"/>
    <x v="0"/>
    <x v="3"/>
    <x v="15"/>
    <d v="2025-10-22T17:00:00"/>
    <s v="2025102002_4900"/>
    <s v="Loading"/>
    <s v="251020144204_4900"/>
    <s v="Primary flows"/>
    <s v="GIRTEKA FOR SN 3PO HVO"/>
    <m/>
    <m/>
    <s v="No"/>
    <s v="NL Haps DC (DSV)"/>
    <s v="MALI - FR Maligny"/>
    <n v="1"/>
    <n v="0"/>
    <n v="0"/>
    <n v="14988"/>
    <s v="OT : 251020144204_4900 : Opole 3700"/>
    <x v="5"/>
    <m/>
    <s v="23/10/2025 16:00-16:00"/>
    <s v="MT_585"/>
    <n v="0"/>
    <m/>
    <s v="No"/>
    <s v="Shipped/Received"/>
    <s v="Direct"/>
    <m/>
    <m/>
    <m/>
    <m/>
    <m/>
    <m/>
    <s v="No"/>
    <n v="5019179677"/>
    <s v="MIO_480"/>
    <s v="Dmytro Kupchyk"/>
    <m/>
  </r>
  <r>
    <x v="0"/>
    <x v="0"/>
    <x v="3"/>
    <x v="15"/>
    <d v="2025-10-22T17:00:00"/>
    <s v="0006091238_4900"/>
    <s v="Loading"/>
    <n v="457447"/>
    <s v="Primary flows"/>
    <s v="GIRTEKA FOR SN 3PO"/>
    <m/>
    <m/>
    <s v="No"/>
    <s v="NL Haps DC (DSV)"/>
    <s v="ALZE - DE Alzenau"/>
    <n v="33"/>
    <n v="0"/>
    <n v="0"/>
    <n v="0"/>
    <s v="1  01"/>
    <x v="1"/>
    <m/>
    <s v="23/10/2025 11:00-11:00"/>
    <m/>
    <n v="0"/>
    <m/>
    <s v="No"/>
    <s v="Shipped/Received"/>
    <s v="Direct"/>
    <m/>
    <m/>
    <m/>
    <s v="HAPSDCDE20251022-02"/>
    <m/>
    <m/>
    <s v="No"/>
    <n v="5019220217"/>
    <m/>
    <m/>
    <m/>
  </r>
  <r>
    <x v="0"/>
    <x v="0"/>
    <x v="3"/>
    <x v="15"/>
    <d v="2025-10-22T18:00:00"/>
    <s v="0006091253_4900"/>
    <s v="Loading"/>
    <n v="457407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3/10/2025 08:00-08:00"/>
    <m/>
    <n v="0"/>
    <m/>
    <s v="No"/>
    <s v="Shipped/Received"/>
    <s v="Direct"/>
    <m/>
    <m/>
    <m/>
    <s v="HAPSDCFR20251022-01"/>
    <m/>
    <m/>
    <s v="No"/>
    <n v="5019229976"/>
    <m/>
    <m/>
    <m/>
  </r>
  <r>
    <x v="0"/>
    <x v="0"/>
    <x v="3"/>
    <x v="15"/>
    <d v="2025-10-22T18:00:00"/>
    <s v="0006091262_4900"/>
    <s v="Loading"/>
    <n v="457417"/>
    <s v="Primary flows"/>
    <s v="MIERZWA FOR SN 3PO"/>
    <m/>
    <m/>
    <s v="No"/>
    <s v="NL Haps DC (DSV)"/>
    <s v="GRAB - PL Grabica"/>
    <n v="33"/>
    <n v="0"/>
    <n v="0"/>
    <n v="0"/>
    <s v="1  01"/>
    <x v="1"/>
    <m/>
    <s v="24/10/2025 21:00-21:00"/>
    <s v="KRA8997P"/>
    <n v="0"/>
    <m/>
    <s v="No"/>
    <s v="Shipped/Received"/>
    <s v="Direct"/>
    <m/>
    <m/>
    <m/>
    <s v="HAPSDCPL20251022-02"/>
    <m/>
    <m/>
    <s v="No"/>
    <n v="5018942741"/>
    <s v="WPR9710T"/>
    <s v="Pyciak Mariusz "/>
    <m/>
  </r>
  <r>
    <x v="0"/>
    <x v="0"/>
    <x v="3"/>
    <x v="15"/>
    <d v="2025-10-22T19:00:00"/>
    <s v="0006091254_4900"/>
    <s v="Loading"/>
    <n v="457413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3/10/2025 08:30-08:30"/>
    <m/>
    <n v="0"/>
    <m/>
    <s v="No"/>
    <s v="Shipped/Received"/>
    <s v="Direct"/>
    <m/>
    <m/>
    <m/>
    <s v="HAPSDCFR20251022-02"/>
    <m/>
    <m/>
    <s v="No"/>
    <n v="5019219907"/>
    <m/>
    <m/>
    <m/>
  </r>
  <r>
    <x v="0"/>
    <x v="0"/>
    <x v="3"/>
    <x v="15"/>
    <d v="2025-10-22T19:00:00"/>
    <s v="0006091235_4900"/>
    <s v="Loading"/>
    <n v="457420"/>
    <s v="Primary flows"/>
    <s v="GIRTEKA FOR SN 3PO HVO"/>
    <m/>
    <m/>
    <s v="No"/>
    <s v="NL Haps DC (DSV)"/>
    <s v="PUCH - AT Puch"/>
    <n v="33"/>
    <n v="0"/>
    <n v="0"/>
    <n v="0"/>
    <s v="1  01"/>
    <x v="1"/>
    <m/>
    <s v="24/10/2025 09:00-09:00"/>
    <s v="PZ_4N140"/>
    <n v="0"/>
    <m/>
    <s v="No"/>
    <s v="Shipped/Received"/>
    <s v="Direct"/>
    <m/>
    <m/>
    <m/>
    <s v="HAPSDCAT20251022-01"/>
    <m/>
    <m/>
    <s v="No"/>
    <n v="5019225304"/>
    <s v="MJG_244"/>
    <s v="Khurram Shahzad"/>
    <m/>
  </r>
  <r>
    <x v="0"/>
    <x v="0"/>
    <x v="3"/>
    <x v="15"/>
    <d v="2025-10-22T19:00:00"/>
    <s v="0006091237_4900"/>
    <s v="Loading"/>
    <n v="457434"/>
    <s v="Primary flows"/>
    <s v="LKW WALTER FOR SN 3PO"/>
    <m/>
    <m/>
    <s v="No"/>
    <s v="NL Haps DC (DSV)"/>
    <s v="ALZE - DE Alzenau"/>
    <n v="33"/>
    <n v="0"/>
    <n v="0"/>
    <n v="0"/>
    <s v="1  01"/>
    <x v="1"/>
    <m/>
    <s v="23/10/2025 10:00-10:00"/>
    <m/>
    <n v="0"/>
    <m/>
    <s v="No"/>
    <s v="Shipped/Received"/>
    <s v="Direct"/>
    <m/>
    <m/>
    <m/>
    <s v="HAPSDCDE20251022-01"/>
    <m/>
    <m/>
    <s v="No"/>
    <n v="5019225065"/>
    <m/>
    <m/>
    <m/>
  </r>
  <r>
    <x v="0"/>
    <x v="0"/>
    <x v="3"/>
    <x v="15"/>
    <d v="2025-10-22T20:00:00"/>
    <s v="0006091252_4900"/>
    <s v="Loading"/>
    <n v="457452"/>
    <s v="Primary flows"/>
    <s v="LKW WALTER FOR SN 3PO"/>
    <m/>
    <m/>
    <s v="No"/>
    <s v="NL Haps DC (DSV)"/>
    <s v="CIE2 - ES Ciempozuelos SN"/>
    <n v="33"/>
    <n v="0"/>
    <n v="0"/>
    <n v="0"/>
    <s v="1  01"/>
    <x v="1"/>
    <m/>
    <s v="27/10/2025 10:00-10:00"/>
    <m/>
    <n v="0"/>
    <m/>
    <s v="No"/>
    <s v="Shipped/Received"/>
    <s v="Direct"/>
    <m/>
    <m/>
    <m/>
    <s v="HAPSDCES20251022-01"/>
    <m/>
    <m/>
    <s v="No"/>
    <n v="5019220831"/>
    <m/>
    <m/>
    <m/>
  </r>
  <r>
    <x v="0"/>
    <x v="0"/>
    <x v="3"/>
    <x v="16"/>
    <d v="2025-10-23T06:00:00"/>
    <s v="0006091296_4900"/>
    <s v="Loading"/>
    <n v="457423"/>
    <s v="Primary flows"/>
    <s v="P AND O FOR SN 3PO"/>
    <m/>
    <m/>
    <s v="No"/>
    <s v="NL Haps DC (DSV)"/>
    <s v="AZA2 - PT Azambuja Ambient"/>
    <n v="33"/>
    <n v="0"/>
    <n v="0"/>
    <n v="0"/>
    <s v="1  01"/>
    <x v="1"/>
    <m/>
    <s v="30/10/2025 16:00-16:00"/>
    <m/>
    <n v="0"/>
    <m/>
    <s v="No"/>
    <s v="Shipped/Received"/>
    <s v="Direct"/>
    <m/>
    <m/>
    <m/>
    <s v="HAPSDCPT20251023-01"/>
    <m/>
    <m/>
    <s v="No"/>
    <n v="5019243808"/>
    <m/>
    <m/>
    <m/>
  </r>
  <r>
    <x v="0"/>
    <x v="0"/>
    <x v="3"/>
    <x v="16"/>
    <d v="2025-10-23T06:00:00"/>
    <s v="0006102890_4900"/>
    <s v="Loading"/>
    <n v="461760"/>
    <s v="Primary flows"/>
    <s v="SAMSKIP FOR SN 3PO"/>
    <m/>
    <m/>
    <s v="No"/>
    <s v="NL Haps DC (DSV)"/>
    <s v="VEST - NO Vestby Leman"/>
    <n v="33"/>
    <n v="0"/>
    <n v="0"/>
    <n v="0"/>
    <s v="1  01"/>
    <x v="1"/>
    <m/>
    <s v="30/10/2025 15:00-15:00"/>
    <m/>
    <n v="0"/>
    <m/>
    <s v="No"/>
    <s v="Shipped/Received"/>
    <s v="Direct"/>
    <m/>
    <m/>
    <m/>
    <s v="HAPSDCNO20251023-02"/>
    <m/>
    <m/>
    <s v="No"/>
    <n v="5019245333"/>
    <m/>
    <m/>
    <m/>
  </r>
  <r>
    <x v="0"/>
    <x v="0"/>
    <x v="3"/>
    <x v="16"/>
    <d v="2025-10-23T07:00:00"/>
    <s v="0006091258_4900"/>
    <s v="Loading"/>
    <n v="457450"/>
    <s v="Primary flows"/>
    <s v="GIRTEKA FOR SN 3PO"/>
    <m/>
    <m/>
    <s v="No"/>
    <s v="NL Haps DC (DSV)"/>
    <s v="GREZ - IT Grezzago (Pozzuolo Martesana)"/>
    <n v="33"/>
    <n v="0"/>
    <n v="0"/>
    <n v="0"/>
    <s v="1  01"/>
    <x v="3"/>
    <m/>
    <s v="25/10/2025 12:00-12:00"/>
    <m/>
    <n v="0"/>
    <m/>
    <s v="No"/>
    <s v="Shipped/Received"/>
    <s v="Direct"/>
    <m/>
    <m/>
    <m/>
    <s v="HAPSDCIT20251022-01"/>
    <m/>
    <m/>
    <s v="No"/>
    <n v="5019224017"/>
    <m/>
    <m/>
    <m/>
  </r>
  <r>
    <x v="0"/>
    <x v="0"/>
    <x v="3"/>
    <x v="16"/>
    <d v="2025-10-23T07:00:00"/>
    <s v="371833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73834 "/>
    <x v="0"/>
    <m/>
    <s v="24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2"/>
    <s v="SRTMS183066"/>
  </r>
  <r>
    <x v="0"/>
    <x v="0"/>
    <x v="3"/>
    <x v="16"/>
    <d v="2025-10-23T07:00:00"/>
    <s v="0006098223_4900"/>
    <s v="Loading"/>
    <n v="462622"/>
    <s v="Primary flows"/>
    <s v="SAMSKIP FOR SN 3PO"/>
    <m/>
    <m/>
    <s v="No"/>
    <s v="NL Haps DC (DSV)"/>
    <s v="RUGB - GB Rugby"/>
    <n v="33"/>
    <n v="0"/>
    <n v="0"/>
    <n v="0"/>
    <s v="1  01"/>
    <x v="1"/>
    <m/>
    <s v="29/10/2025 23:30-23:30"/>
    <m/>
    <n v="0"/>
    <m/>
    <s v="No"/>
    <s v="Shipped/Received"/>
    <s v="Direct"/>
    <m/>
    <m/>
    <m/>
    <s v="HAPSDCUK20251023-07"/>
    <m/>
    <m/>
    <s v="No"/>
    <n v="5019123425"/>
    <m/>
    <m/>
    <m/>
  </r>
  <r>
    <x v="0"/>
    <x v="0"/>
    <x v="3"/>
    <x v="16"/>
    <d v="2025-10-23T07:00:00"/>
    <s v="374444_OOS"/>
    <s v="Loading"/>
    <s v="SFG-BR-WEEK43-1_OOS"/>
    <s v="Aval non piloté_EN"/>
    <s v="MAERSK - Control Tower"/>
    <m/>
    <m/>
    <s v="No"/>
    <s v="NL Haps DC (DSV)"/>
    <s v="OOS_OUT - Delivery OOS"/>
    <n v="20"/>
    <n v="0"/>
    <n v="0"/>
    <n v="0"/>
    <s v="5019245340  "/>
    <x v="5"/>
    <m/>
    <s v="24/10/2025 00:01-00:01"/>
    <m/>
    <n v="0"/>
    <m/>
    <s v="No"/>
    <s v="Shipped/Received"/>
    <s v="Direct"/>
    <m/>
    <m/>
    <s v="nutricia.ct.eu@lns.maersk.com"/>
    <m/>
    <m/>
    <m/>
    <s v="No"/>
    <s v="&amp;nbsp"/>
    <m/>
    <m/>
    <s v="260826733 - Semifinished Goods BR"/>
  </r>
  <r>
    <x v="0"/>
    <x v="0"/>
    <x v="3"/>
    <x v="16"/>
    <d v="2025-10-23T07:00:00"/>
    <s v="375904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232232"/>
    <x v="2"/>
    <m/>
    <s v="24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6"/>
    <d v="2025-10-23T08:00:00"/>
    <s v="374445_OOS"/>
    <s v="Loading"/>
    <s v="SFG-BR-WEEK43-2_OOS"/>
    <s v="Aval non piloté_EN"/>
    <s v="MAERSK - Control Tower"/>
    <m/>
    <m/>
    <s v="No"/>
    <s v="NL Haps DC (DSV)"/>
    <s v="OOS_OUT - Delivery OOS"/>
    <n v="20"/>
    <n v="0"/>
    <n v="0"/>
    <n v="0"/>
    <n v="5019242715"/>
    <x v="5"/>
    <m/>
    <s v="24/10/2025 00:01-00:01"/>
    <m/>
    <n v="0"/>
    <m/>
    <s v="No"/>
    <s v="Shipped/Received"/>
    <s v="Direct"/>
    <m/>
    <m/>
    <s v="nutricia.ct.eu@lns.maersk.com"/>
    <m/>
    <m/>
    <m/>
    <s v="No"/>
    <s v="&amp;nbsp"/>
    <m/>
    <m/>
    <s v="260826757 - BR Semifinished Goods"/>
  </r>
  <r>
    <x v="0"/>
    <x v="0"/>
    <x v="3"/>
    <x v="16"/>
    <d v="2025-10-23T08:00:00"/>
    <s v="374035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02882 LZV"/>
    <x v="1"/>
    <m/>
    <s v="2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6"/>
    <d v="2025-10-23T08:00:00"/>
    <s v="367226_OOS"/>
    <s v="Loading"/>
    <s v="AU-SEA-6078274_OOS"/>
    <s v="Aval non piloté_EN"/>
    <s v="MAERSK - Control Tower"/>
    <m/>
    <m/>
    <s v="No"/>
    <s v="NL Haps DC (DSV)"/>
    <s v="OOS_OUT - Delivery OOS"/>
    <n v="20"/>
    <n v="0"/>
    <n v="0"/>
    <n v="0"/>
    <s v="5019179544 5019180133 "/>
    <x v="0"/>
    <m/>
    <s v="24/10/2025 00:02-00:02"/>
    <m/>
    <n v="0"/>
    <m/>
    <s v="No"/>
    <s v="Shipped/Received"/>
    <s v="Direct"/>
    <m/>
    <m/>
    <s v="nutricia.ct.eu@lns.maersk.com"/>
    <m/>
    <m/>
    <m/>
    <s v="No"/>
    <s v="&amp;nbsp"/>
    <m/>
    <m/>
    <n v="260110080"/>
  </r>
  <r>
    <x v="0"/>
    <x v="0"/>
    <x v="3"/>
    <x v="16"/>
    <d v="2025-10-23T08:00:00"/>
    <s v="0006098222_4900"/>
    <s v="Loading"/>
    <n v="462621"/>
    <s v="Primary flows"/>
    <s v="SAMSKIP FOR SN 3PO"/>
    <m/>
    <m/>
    <s v="No"/>
    <s v="NL Haps DC (DSV)"/>
    <s v="RUGB - GB Rugby"/>
    <n v="33"/>
    <n v="0"/>
    <n v="0"/>
    <n v="0"/>
    <s v="1  01"/>
    <x v="1"/>
    <m/>
    <s v="29/10/2025 23:30-23:30"/>
    <m/>
    <n v="0"/>
    <m/>
    <s v="No"/>
    <s v="Shipped/Received"/>
    <s v="Direct"/>
    <m/>
    <m/>
    <m/>
    <s v="HAPSDCUK20251023-06"/>
    <m/>
    <m/>
    <s v="No"/>
    <n v="5019124112"/>
    <m/>
    <m/>
    <m/>
  </r>
  <r>
    <x v="0"/>
    <x v="0"/>
    <x v="3"/>
    <x v="16"/>
    <d v="2025-10-23T09:00:00"/>
    <s v="367228_OOS"/>
    <s v="Loading"/>
    <s v="AU-SEA-6078275_OOS"/>
    <s v="Aval non piloté_EN"/>
    <s v="MAERSK - Control Tower"/>
    <m/>
    <m/>
    <s v="No"/>
    <s v="NL Haps DC (DSV)"/>
    <s v="OOS_OUT - Delivery OOS"/>
    <n v="20"/>
    <n v="0"/>
    <n v="0"/>
    <n v="0"/>
    <s v="5019190128 5019191124 "/>
    <x v="0"/>
    <m/>
    <s v="24/10/2025 00:01-00:01"/>
    <m/>
    <n v="0"/>
    <m/>
    <s v="No"/>
    <s v="Save"/>
    <s v="Direct"/>
    <m/>
    <m/>
    <s v="nutricia.ct.eu@lns.maersk.com"/>
    <m/>
    <m/>
    <m/>
    <s v="No"/>
    <s v="&amp;nbsp"/>
    <m/>
    <m/>
    <n v="260110080"/>
  </r>
  <r>
    <x v="0"/>
    <x v="0"/>
    <x v="3"/>
    <x v="16"/>
    <d v="2025-10-23T09:00:00"/>
    <s v="0006091291_4900"/>
    <s v="Loading"/>
    <n v="457440"/>
    <s v="Primary flows"/>
    <s v="SAMSKIP FOR SN 3PO"/>
    <m/>
    <m/>
    <s v="No"/>
    <s v="NL Haps DC (DSV)"/>
    <s v="RATH - IE Dublin Rathcoole Ambient"/>
    <n v="33"/>
    <n v="0"/>
    <n v="0"/>
    <n v="0"/>
    <s v="1  01"/>
    <x v="1"/>
    <m/>
    <s v="24/10/2025 23:30-23:30"/>
    <m/>
    <n v="0"/>
    <m/>
    <s v="No"/>
    <s v="Shipped/Received"/>
    <s v="Direct"/>
    <m/>
    <m/>
    <m/>
    <s v="HAPSDCIE20251023-01"/>
    <m/>
    <m/>
    <s v="No"/>
    <n v="5019233740"/>
    <m/>
    <m/>
    <m/>
  </r>
  <r>
    <x v="0"/>
    <x v="0"/>
    <x v="3"/>
    <x v="16"/>
    <d v="2025-10-23T09:00:00"/>
    <s v="373749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149931"/>
    <x v="0"/>
    <m/>
    <s v="2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6"/>
    <d v="2025-10-23T09:00:00"/>
    <s v="374447_OOS"/>
    <s v="Loading"/>
    <s v="SFG-BR-WEEK43-3_OOS"/>
    <s v="Aval non piloté_EN"/>
    <s v="MAERSK - Control Tower"/>
    <m/>
    <m/>
    <s v="No"/>
    <s v="NL Haps DC (DSV)"/>
    <s v="OOS_OUT - Delivery OOS"/>
    <n v="20"/>
    <n v="0"/>
    <n v="0"/>
    <n v="0"/>
    <n v="5019243422"/>
    <x v="5"/>
    <m/>
    <s v="24/10/2025 00:01-00:01"/>
    <m/>
    <n v="0"/>
    <m/>
    <s v="No"/>
    <s v="Shipped/Received"/>
    <s v="Direct"/>
    <m/>
    <m/>
    <s v="nutricia.ct.eu@lns.maersk.com"/>
    <m/>
    <m/>
    <m/>
    <s v="No"/>
    <s v="&amp;nbsp"/>
    <m/>
    <m/>
    <s v="260827123 - BR Semifinished Goods"/>
  </r>
  <r>
    <x v="0"/>
    <x v="0"/>
    <x v="3"/>
    <x v="16"/>
    <d v="2025-10-23T10:00:00"/>
    <s v="374449_OOS"/>
    <s v="Loading"/>
    <s v="SFG-BR-WEEK43-4_OOS"/>
    <s v="Aval non piloté_EN"/>
    <s v="MAERSK - Control Tower"/>
    <m/>
    <m/>
    <s v="No"/>
    <s v="NL Haps DC (DSV)"/>
    <s v="OOS_OUT - Delivery OOS"/>
    <n v="20"/>
    <n v="0"/>
    <n v="0"/>
    <n v="0"/>
    <s v="5019240476 5019243353 "/>
    <x v="5"/>
    <m/>
    <s v="24/10/2025 00:01-00:01"/>
    <m/>
    <n v="0"/>
    <m/>
    <s v="No"/>
    <s v="Shipped/Received"/>
    <s v="Direct"/>
    <m/>
    <m/>
    <s v="nutricia.ct.eu@lns.maersk.com"/>
    <m/>
    <m/>
    <m/>
    <s v="No"/>
    <s v="&amp;nbsp"/>
    <m/>
    <m/>
    <s v="260827129 - BR Semifinished Goods"/>
  </r>
  <r>
    <x v="0"/>
    <x v="0"/>
    <x v="3"/>
    <x v="16"/>
    <d v="2025-10-23T10:00:00"/>
    <s v="371839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79318 "/>
    <x v="0"/>
    <m/>
    <s v="24/10/2025 12:00-12:00"/>
    <m/>
    <n v="0"/>
    <m/>
    <s v="No"/>
    <s v="Shipped/Received"/>
    <s v="Direct"/>
    <m/>
    <m/>
    <s v="nutricia-booking.ff.nl@geodis.com"/>
    <m/>
    <m/>
    <m/>
    <s v="No"/>
    <s v="&amp;nbsp"/>
    <m/>
    <s v="ISRAEL 3"/>
    <s v="SRTMS183066"/>
  </r>
  <r>
    <x v="0"/>
    <x v="0"/>
    <x v="3"/>
    <x v="16"/>
    <d v="2025-10-23T10:00:00"/>
    <s v="0006091269_4900"/>
    <s v="Loading"/>
    <n v="457443"/>
    <s v="Primary flows"/>
    <s v="ECS FOR SN 3PO"/>
    <m/>
    <m/>
    <s v="No"/>
    <s v="NL Haps DC (DSV)"/>
    <s v="MOUS - FR Moussy-Le-Neuf"/>
    <n v="33"/>
    <n v="0"/>
    <n v="0"/>
    <n v="0"/>
    <s v="1  01"/>
    <x v="1"/>
    <m/>
    <s v="24/10/2025 08:30-08:30"/>
    <m/>
    <n v="0"/>
    <m/>
    <s v="No"/>
    <s v="Shipped/Received"/>
    <s v="Direct"/>
    <m/>
    <m/>
    <m/>
    <s v="HAPSDCFR20251023-02"/>
    <m/>
    <m/>
    <s v="No"/>
    <n v="5019237777"/>
    <m/>
    <m/>
    <m/>
  </r>
  <r>
    <x v="0"/>
    <x v="0"/>
    <x v="3"/>
    <x v="16"/>
    <d v="2025-10-23T10:00:00"/>
    <s v="375454_OOS"/>
    <s v="Loading"/>
    <s v="US - AIR_OOS"/>
    <s v="Aval non piloté_EN"/>
    <s v="MAERSK"/>
    <m/>
    <m/>
    <s v="No"/>
    <s v="NL Haps DC (DSV)"/>
    <s v="OOS_OUT - Delivery OOS"/>
    <n v="6"/>
    <n v="0"/>
    <n v="0"/>
    <n v="0"/>
    <s v="US AIR 5019167082   5019187394 -6P  ARG AIR EXW - 5019220387 -6P"/>
    <x v="0"/>
    <m/>
    <s v="24/10/2025 10:00-10:00"/>
    <m/>
    <n v="0"/>
    <m/>
    <s v="No"/>
    <s v="Shipped/Received"/>
    <s v="Direct"/>
    <m/>
    <m/>
    <s v="export.AMS@maersk.com"/>
    <m/>
    <m/>
    <m/>
    <s v="No"/>
    <s v="&amp;nbsp"/>
    <m/>
    <m/>
    <m/>
  </r>
  <r>
    <x v="0"/>
    <x v="0"/>
    <x v="3"/>
    <x v="16"/>
    <d v="2025-10-23T10:00:00"/>
    <s v="364709_OOS"/>
    <s v="Loading"/>
    <s v="AU-SEA-6068698_OOS"/>
    <s v="Aval non piloté_EN"/>
    <s v="MAERSK - Control Tower"/>
    <m/>
    <m/>
    <s v="No"/>
    <s v="NL Haps DC (DSV)"/>
    <s v="OOS_OUT - Delivery OOS"/>
    <n v="20"/>
    <n v="0"/>
    <n v="0"/>
    <n v="0"/>
    <s v="5019111274 5019125133 "/>
    <x v="0"/>
    <m/>
    <s v="24/10/2025 00:05-00:05"/>
    <m/>
    <n v="0"/>
    <m/>
    <s v="No"/>
    <s v="Shipped/Received"/>
    <s v="Direct"/>
    <m/>
    <m/>
    <s v="3POeuropect@lns.maersk.com"/>
    <m/>
    <m/>
    <m/>
    <s v="No"/>
    <s v="&amp;nbsp"/>
    <m/>
    <m/>
    <n v="260607777"/>
  </r>
  <r>
    <x v="0"/>
    <x v="0"/>
    <x v="3"/>
    <x v="16"/>
    <d v="2025-10-23T11:00:00"/>
    <s v="0006098218_4900"/>
    <s v="Loading"/>
    <n v="460025"/>
    <s v="Primary flows"/>
    <s v="SAMSKIP FOR SN 3PO"/>
    <m/>
    <m/>
    <s v="No"/>
    <s v="NL Haps DC (DSV)"/>
    <s v="REDD - GB Redditch"/>
    <n v="33"/>
    <n v="0"/>
    <n v="0"/>
    <n v="0"/>
    <s v="1  01"/>
    <x v="1"/>
    <m/>
    <s v="29/10/2025 18:00-18:00"/>
    <m/>
    <n v="0"/>
    <m/>
    <s v="No"/>
    <s v="Shipped/Received"/>
    <s v="Direct"/>
    <m/>
    <m/>
    <m/>
    <s v="HAPSDCUK20251023-02"/>
    <m/>
    <m/>
    <s v="No"/>
    <n v="5019226597"/>
    <m/>
    <m/>
    <m/>
  </r>
  <r>
    <x v="0"/>
    <x v="0"/>
    <x v="3"/>
    <x v="16"/>
    <d v="2025-10-23T11:00:00"/>
    <s v="372647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542563 5018526517 5018595459 5018695653 5018689307 5018705040 5019016524  "/>
    <x v="0"/>
    <m/>
    <s v="2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6"/>
    <d v="2025-10-23T11:00:00"/>
    <s v="371847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1811 "/>
    <x v="0"/>
    <m/>
    <s v="24/10/2025 12:00-12:00"/>
    <m/>
    <n v="0"/>
    <m/>
    <s v="No"/>
    <s v="Shipped/Received"/>
    <s v="Direct"/>
    <m/>
    <m/>
    <s v="nutricia-booking.ff.nl@geodis.com"/>
    <m/>
    <m/>
    <m/>
    <s v="No"/>
    <s v="&amp;nbsp"/>
    <m/>
    <s v="ISRAEL 4"/>
    <s v="SRTMS183066"/>
  </r>
  <r>
    <x v="0"/>
    <x v="0"/>
    <x v="3"/>
    <x v="16"/>
    <d v="2025-10-23T12:00:00"/>
    <s v="37264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10437"/>
    <x v="0"/>
    <m/>
    <s v="2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6"/>
    <d v="2025-10-23T12:00:00"/>
    <s v="0006098217_4900"/>
    <s v="Loading"/>
    <n v="460055"/>
    <s v="Primary flows"/>
    <s v="LKW WALTER FOR SN 3PO"/>
    <m/>
    <m/>
    <s v="No"/>
    <s v="NL Haps DC (DSV)"/>
    <s v="REDD - GB Redditch"/>
    <n v="33"/>
    <n v="0"/>
    <n v="0"/>
    <n v="0"/>
    <s v="1  01"/>
    <x v="1"/>
    <m/>
    <s v="27/10/2025 12:00-12:00"/>
    <m/>
    <n v="0"/>
    <m/>
    <s v="No"/>
    <s v="Shipped/Received"/>
    <s v="Direct"/>
    <m/>
    <m/>
    <m/>
    <s v="HAPSDCUK20251023-01"/>
    <m/>
    <m/>
    <s v="No"/>
    <n v="5019246364"/>
    <m/>
    <m/>
    <m/>
  </r>
  <r>
    <x v="0"/>
    <x v="0"/>
    <x v="3"/>
    <x v="16"/>
    <d v="2025-10-23T12:00:00"/>
    <s v="371851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71747 "/>
    <x v="0"/>
    <m/>
    <s v="24/10/2025 12:00-12:00"/>
    <m/>
    <n v="0"/>
    <m/>
    <s v="No"/>
    <s v="Shipped/Received"/>
    <s v="Direct"/>
    <m/>
    <m/>
    <s v="nutricia-booking.ff.nl@geodis.com"/>
    <m/>
    <m/>
    <m/>
    <s v="No"/>
    <s v="&amp;nbsp"/>
    <m/>
    <s v="ISRAEL 5"/>
    <s v="SRTMS183066"/>
  </r>
  <r>
    <x v="0"/>
    <x v="0"/>
    <x v="3"/>
    <x v="16"/>
    <d v="2025-10-23T12:00:00"/>
    <s v="0006091293_4900"/>
    <s v="Loading"/>
    <s v="463610 / 457432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30/10/2025 15:00-15:00"/>
    <m/>
    <n v="0"/>
    <m/>
    <s v="No"/>
    <s v="Shipped/Received"/>
    <s v="Direct"/>
    <s v=" / "/>
    <s v=" / "/>
    <m/>
    <s v="HAPSDCNO20251023-01 / HAPSDCNO20251023-01"/>
    <m/>
    <m/>
    <s v="No"/>
    <s v="5019215511 / 5019243608"/>
    <m/>
    <m/>
    <m/>
  </r>
  <r>
    <x v="0"/>
    <x v="0"/>
    <x v="3"/>
    <x v="16"/>
    <d v="2025-10-23T13:00:00"/>
    <s v="372649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11017 5019089754 5019170869 5019184240 5019180287 5019189518 5019220048 5019168866 5019217075"/>
    <x v="0"/>
    <m/>
    <s v="2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6"/>
    <d v="2025-10-23T13:00:00"/>
    <s v="375773_OOS"/>
    <s v="Loading"/>
    <s v="NWW-AIR_OOS"/>
    <s v="Aval non piloté_EN"/>
    <s v="SacoAir"/>
    <m/>
    <m/>
    <s v="No"/>
    <s v="NL Haps DC (DSV)"/>
    <s v="OOS_OUT - Delivery OOS"/>
    <n v="8"/>
    <n v="0"/>
    <n v="0"/>
    <n v="0"/>
    <n v="5019135152"/>
    <x v="2"/>
    <m/>
    <s v="24/10/2025 12:00-12:00"/>
    <m/>
    <n v="0"/>
    <m/>
    <s v="No"/>
    <s v="Shipped/Received"/>
    <s v="Direct"/>
    <m/>
    <m/>
    <s v="info.ams@sacoair.com"/>
    <m/>
    <m/>
    <m/>
    <s v="No"/>
    <s v="&amp;nbsp"/>
    <m/>
    <m/>
    <m/>
  </r>
  <r>
    <x v="0"/>
    <x v="0"/>
    <x v="3"/>
    <x v="16"/>
    <d v="2025-10-23T13:00:00"/>
    <s v="0006098220_4900"/>
    <s v="Loading"/>
    <n v="460024"/>
    <s v="Primary flows"/>
    <s v="GIRTEKA FOR SN 3PO"/>
    <m/>
    <m/>
    <s v="No"/>
    <s v="NL Haps DC (DSV)"/>
    <s v="REDD - GB Redditch"/>
    <n v="33"/>
    <n v="0"/>
    <n v="0"/>
    <n v="0"/>
    <s v="1  01"/>
    <x v="1"/>
    <m/>
    <s v="24/10/2025 17:00-17:00"/>
    <s v="PZ_1P569"/>
    <n v="0"/>
    <m/>
    <s v="No"/>
    <s v="Shipped/Received"/>
    <s v="Direct"/>
    <m/>
    <m/>
    <m/>
    <s v="HAPSDCUK20251023-04"/>
    <m/>
    <m/>
    <s v="No"/>
    <n v="5019246365"/>
    <s v="PZ_6S821"/>
    <s v="Viktar Kerez"/>
    <m/>
  </r>
  <r>
    <x v="0"/>
    <x v="0"/>
    <x v="3"/>
    <x v="16"/>
    <d v="2025-10-23T13:00:00"/>
    <s v="371852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79319 "/>
    <x v="0"/>
    <m/>
    <s v="24/10/2025 12:00-12:00"/>
    <m/>
    <n v="0"/>
    <m/>
    <s v="No"/>
    <s v="Shipped/Received"/>
    <s v="Direct"/>
    <m/>
    <m/>
    <s v="nutricia-booking.ff.nl@geodis.com"/>
    <m/>
    <m/>
    <m/>
    <s v="No"/>
    <s v="&amp;nbsp"/>
    <m/>
    <s v="ISRAEL 6"/>
    <s v="SRTMS183066"/>
  </r>
  <r>
    <x v="0"/>
    <x v="0"/>
    <x v="3"/>
    <x v="16"/>
    <d v="2025-10-23T14:00:00"/>
    <s v="372760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85022 "/>
    <x v="0"/>
    <m/>
    <s v="24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7"/>
    <s v="SRTMS183066"/>
  </r>
  <r>
    <x v="0"/>
    <x v="0"/>
    <x v="3"/>
    <x v="16"/>
    <d v="2025-10-23T14:00:00"/>
    <s v="0006091268_4900"/>
    <s v="Loading"/>
    <n v="457410"/>
    <s v="Primary flows"/>
    <s v="ECS FOR SN 3PO"/>
    <m/>
    <m/>
    <s v="No"/>
    <s v="NL Haps DC (DSV)"/>
    <s v="MOUS - FR Moussy-Le-Neuf"/>
    <n v="33"/>
    <n v="0"/>
    <n v="0"/>
    <n v="0"/>
    <s v="1  01"/>
    <x v="1"/>
    <m/>
    <s v="24/10/2025 11:30-11:30"/>
    <m/>
    <n v="0"/>
    <m/>
    <s v="No"/>
    <s v="Shipped/Received"/>
    <s v="Direct"/>
    <m/>
    <m/>
    <m/>
    <s v="HAPSDCFR20251023-01"/>
    <m/>
    <m/>
    <s v="No"/>
    <n v="5019221116"/>
    <m/>
    <m/>
    <m/>
  </r>
  <r>
    <x v="0"/>
    <x v="0"/>
    <x v="3"/>
    <x v="16"/>
    <d v="2025-10-23T14:00:00"/>
    <s v="372650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01673 5019135777 "/>
    <x v="0"/>
    <m/>
    <s v="2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6"/>
    <d v="2025-10-23T15:00:00"/>
    <s v="370804_OOS"/>
    <s v="Loading"/>
    <s v="UA-ROAD_OOS"/>
    <s v="Aval non piloté_EN"/>
    <s v="SCANTEK LTD"/>
    <m/>
    <m/>
    <s v="No"/>
    <s v="NL Haps DC (DSV)"/>
    <s v="OOS_OUT - Delivery OOS"/>
    <n v="20"/>
    <n v="0"/>
    <n v="0"/>
    <n v="0"/>
    <s v="5019134416 + 5019190609 + 5019181567 + 5019188972 + 5019191324 + 5019062918 + 5019134610 + 5019178545"/>
    <x v="1"/>
    <m/>
    <s v="24/10/2025 12:00-12:00"/>
    <m/>
    <n v="0"/>
    <m/>
    <s v="No"/>
    <s v="Shipped/Received"/>
    <s v="Direct"/>
    <m/>
    <m/>
    <s v="olha.pakon@danone.com"/>
    <m/>
    <m/>
    <m/>
    <s v="No"/>
    <s v="&amp;nbsp"/>
    <m/>
    <m/>
    <m/>
  </r>
  <r>
    <x v="0"/>
    <x v="0"/>
    <x v="3"/>
    <x v="16"/>
    <d v="2025-10-23T15:00:00"/>
    <s v="375774_OOS"/>
    <s v="Loading"/>
    <s v="NWW-ROAD_OOS"/>
    <s v="Aval non piloté_EN"/>
    <s v="Kuehne   Nagel Logistics B.V."/>
    <m/>
    <m/>
    <s v="No"/>
    <s v="NL Haps DC (DSV)"/>
    <s v="OOS_OUT - Delivery OOS"/>
    <n v="1"/>
    <n v="0"/>
    <n v="0"/>
    <n v="0"/>
    <n v="5019202841"/>
    <x v="2"/>
    <m/>
    <s v="24/10/2025 12:00-12:00"/>
    <m/>
    <n v="0"/>
    <m/>
    <s v="No"/>
    <s v="Shipped/Received"/>
    <s v="Direct"/>
    <m/>
    <m/>
    <s v="knmoe.forwarding@kuehne-nagel.com"/>
    <m/>
    <m/>
    <m/>
    <s v="No"/>
    <s v="&amp;nbsp"/>
    <m/>
    <m/>
    <m/>
  </r>
  <r>
    <x v="0"/>
    <x v="0"/>
    <x v="3"/>
    <x v="16"/>
    <d v="2025-10-23T15:00:00"/>
    <s v="375535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229646"/>
    <x v="0"/>
    <m/>
    <s v="24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3"/>
    <x v="16"/>
    <d v="2025-10-23T15:00:00"/>
    <s v="374751_OOS"/>
    <s v="Loading"/>
    <s v="5019204161_OOS"/>
    <s v="Aval non piloté_EN"/>
    <s v="TBA STV"/>
    <m/>
    <m/>
    <s v="No"/>
    <s v="NL Haps DC (DSV)"/>
    <s v="OOS_OUT - Delivery OOS"/>
    <n v="20"/>
    <n v="0"/>
    <n v="0"/>
    <n v="0"/>
    <m/>
    <x v="5"/>
    <m/>
    <s v="24/10/2025 16:00-16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0"/>
    <x v="3"/>
    <x v="16"/>
    <d v="2025-10-23T15:00:00"/>
    <s v="373985_OOS"/>
    <s v="Loading"/>
    <s v="NWW-ROAD_OOS"/>
    <s v="Aval non piloté_EN"/>
    <s v="Kuehne   Nagel Logistics B.V."/>
    <m/>
    <m/>
    <s v="No"/>
    <s v="NL Haps DC (DSV)"/>
    <s v="OOS_OUT - Delivery OOS"/>
    <n v="30"/>
    <n v="0"/>
    <n v="0"/>
    <n v="0"/>
    <n v="5019183057"/>
    <x v="0"/>
    <m/>
    <s v="24/10/2025 12:00-12:00"/>
    <m/>
    <n v="0"/>
    <m/>
    <s v="No"/>
    <s v="Shipped/Received"/>
    <s v="Direct"/>
    <m/>
    <m/>
    <s v="knmoe.forwarding@kuehne-nagel.com"/>
    <m/>
    <m/>
    <m/>
    <s v="No"/>
    <s v="&amp;nbsp"/>
    <m/>
    <m/>
    <m/>
  </r>
  <r>
    <x v="0"/>
    <x v="0"/>
    <x v="3"/>
    <x v="16"/>
    <d v="2025-10-23T16:00:00"/>
    <s v="375612_OOS"/>
    <s v="Loading"/>
    <s v="MEA-SEA_OOS"/>
    <s v="Aval non piloté_EN"/>
    <s v="KERRY LOGISTICS"/>
    <m/>
    <m/>
    <s v="No"/>
    <s v="NL Haps DC (DSV)"/>
    <s v="OOS_OUT - Delivery OOS"/>
    <n v="16"/>
    <n v="0"/>
    <n v="0"/>
    <n v="0"/>
    <s v="MEA  5019220883 5019209372 5019075786 5019202433"/>
    <x v="0"/>
    <m/>
    <s v="24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6"/>
    <d v="2025-10-23T16:00:00"/>
    <s v="0006102885_4900"/>
    <s v="Loading"/>
    <s v="463608 / 461767"/>
    <s v="Primary flows / Primary flows"/>
    <s v="P AND O FOR SN 3PO"/>
    <m/>
    <m/>
    <s v="No"/>
    <s v="NL Haps DC (DSV)"/>
    <s v="TAMP - FI Tampere / TAMP - FI Tampere"/>
    <n v="66"/>
    <n v="0"/>
    <n v="0"/>
    <n v="0"/>
    <s v="1  01"/>
    <x v="1"/>
    <m/>
    <s v="30/10/2025 16:00-16:00"/>
    <m/>
    <n v="0"/>
    <m/>
    <s v="No"/>
    <s v="Shipped/Received"/>
    <s v="Direct"/>
    <s v=" / "/>
    <s v=" / "/>
    <m/>
    <s v="HAPSDCFI20251023-01 / HAPSDCFI20251023-01"/>
    <m/>
    <m/>
    <s v="No"/>
    <s v="5019240493 / 5019219679"/>
    <m/>
    <m/>
    <m/>
  </r>
  <r>
    <x v="0"/>
    <x v="0"/>
    <x v="3"/>
    <x v="16"/>
    <d v="2025-10-23T16:00:00"/>
    <s v="0006091265_4900"/>
    <s v="Loading"/>
    <n v="457429"/>
    <s v="Primary flows"/>
    <s v="LKW WALTER FOR SN 3PO"/>
    <m/>
    <m/>
    <s v="No"/>
    <s v="NL Haps DC (DSV)"/>
    <s v="ALZE - DE Alzenau"/>
    <n v="33"/>
    <n v="0"/>
    <n v="0"/>
    <n v="0"/>
    <s v="1  01"/>
    <x v="1"/>
    <m/>
    <s v="24/10/2025 09:00-09:00"/>
    <m/>
    <n v="0"/>
    <m/>
    <s v="No"/>
    <s v="Shipped/Received"/>
    <s v="Direct"/>
    <m/>
    <m/>
    <m/>
    <s v="HAPSDCDE20251023-02"/>
    <m/>
    <m/>
    <s v="No"/>
    <n v="5019220915"/>
    <m/>
    <m/>
    <m/>
  </r>
  <r>
    <x v="0"/>
    <x v="0"/>
    <x v="3"/>
    <x v="16"/>
    <d v="2025-10-23T17:00:00"/>
    <s v="0006091297_4900"/>
    <s v="Loading"/>
    <s v="463882 / 463787 / 457445"/>
    <s v="Primary flows / Primary flows / Primary flows"/>
    <s v="GIRTEKA FOR SN 3PO"/>
    <m/>
    <m/>
    <s v="No"/>
    <s v="NL Haps DC (DSV)"/>
    <s v="AZA2 - PT Azambuja Ambient / AZA2 - PT Azambuja Ambient / AZA2 - PT Azambuja Ambient"/>
    <n v="99"/>
    <n v="0"/>
    <n v="0"/>
    <n v="0"/>
    <s v="1  01"/>
    <x v="1"/>
    <m/>
    <s v="28/10/2025 09:00-09:00"/>
    <s v="PZ_7T156"/>
    <n v="0"/>
    <m/>
    <s v="No"/>
    <s v="Shipped/Received"/>
    <s v="Direct"/>
    <s v=" /  / "/>
    <s v=" /  / "/>
    <m/>
    <s v="HAPSDCPT20251023-02 / HAPSDCPT20251023-02 / HAPSDCPT20251023-02"/>
    <m/>
    <m/>
    <s v="No"/>
    <s v="5019246377 / 5019234597 / 5019245404"/>
    <s v="NED_946"/>
    <s v="Hiloliddin Qosimi"/>
    <m/>
  </r>
  <r>
    <x v="0"/>
    <x v="0"/>
    <x v="3"/>
    <x v="16"/>
    <d v="2025-10-23T17:00:00"/>
    <s v="375611_OOS"/>
    <s v="Loading"/>
    <s v="Scrap Kwaliflex - ROAD_OOS"/>
    <s v="Aval non piloté_EN"/>
    <s v="Kwaliflex"/>
    <m/>
    <m/>
    <s v="No"/>
    <s v="NL Haps DC (DSV)"/>
    <s v="OOS_OUT - Delivery OOS"/>
    <n v="6"/>
    <n v="0"/>
    <n v="0"/>
    <n v="0"/>
    <n v="90030613"/>
    <x v="2"/>
    <m/>
    <s v="24/10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0"/>
    <x v="3"/>
    <x v="16"/>
    <d v="2025-10-23T17:00:00"/>
    <s v="0006091264_4900"/>
    <s v="Loading"/>
    <n v="457431"/>
    <s v="Primary flows"/>
    <s v="LKW WALTER FOR SN 3PO"/>
    <m/>
    <m/>
    <s v="No"/>
    <s v="NL Haps DC (DSV)"/>
    <s v="ALZE - DE Alzenau"/>
    <n v="33"/>
    <n v="0"/>
    <n v="0"/>
    <n v="0"/>
    <s v="1  01"/>
    <x v="1"/>
    <m/>
    <s v="24/10/2025 10:00-10:00"/>
    <m/>
    <n v="0"/>
    <m/>
    <s v="No"/>
    <s v="Shipped/Received"/>
    <s v="Direct"/>
    <m/>
    <m/>
    <m/>
    <s v="HAPSDCDE20251023-01"/>
    <m/>
    <m/>
    <s v="No"/>
    <n v="5019239030"/>
    <m/>
    <m/>
    <m/>
  </r>
  <r>
    <x v="0"/>
    <x v="0"/>
    <x v="3"/>
    <x v="16"/>
    <d v="2025-10-23T17:00:00"/>
    <s v="0006091294_4900"/>
    <s v="Loading"/>
    <s v="463612 / 463611 / 457426"/>
    <s v="Primary flows / Primary flows / Primary flows"/>
    <s v="MIERZWA FOR SN 3PO"/>
    <m/>
    <m/>
    <s v="No"/>
    <s v="NL Haps DC (DSV)"/>
    <s v="GRAB - PL Grabica / GRAB - PL Grabica / GRAB - PL Grabica"/>
    <n v="99"/>
    <n v="0"/>
    <n v="0"/>
    <n v="0"/>
    <s v="1  01"/>
    <x v="1"/>
    <m/>
    <s v="27/10/2025 23:00-23:00"/>
    <s v="KN318PC"/>
    <n v="0"/>
    <m/>
    <s v="No"/>
    <s v="Shipped/Received"/>
    <s v="Direct"/>
    <s v=" /  / "/>
    <s v=" /  / "/>
    <m/>
    <s v="HAPSDCPL20251023-01 / HAPSDCPL20251023-01 / HAPSDCPL20251023-01"/>
    <m/>
    <m/>
    <s v="No"/>
    <s v="5019230396 / 5019233349 / 5019245043"/>
    <s v="WPR0412U"/>
    <s v="Szafran Szymon "/>
    <m/>
  </r>
  <r>
    <x v="0"/>
    <x v="0"/>
    <x v="3"/>
    <x v="16"/>
    <d v="2025-10-23T18:00:00"/>
    <s v="0006091266_4900"/>
    <s v="Loading"/>
    <n v="457448"/>
    <s v="Primary flows"/>
    <s v="LKW WALTER FOR SN 3PO"/>
    <m/>
    <m/>
    <s v="No"/>
    <s v="NL Haps DC (DSV)"/>
    <s v="ALZE - DE Alzenau"/>
    <n v="33"/>
    <n v="0"/>
    <n v="0"/>
    <n v="0"/>
    <s v="1  01"/>
    <x v="1"/>
    <m/>
    <s v="24/10/2025 10:00-10:00"/>
    <m/>
    <n v="0"/>
    <m/>
    <s v="No"/>
    <s v="Shipped/Received"/>
    <s v="Direct"/>
    <m/>
    <m/>
    <m/>
    <s v="HAPSDCDE20251023-03"/>
    <m/>
    <m/>
    <s v="No"/>
    <n v="5019243921"/>
    <m/>
    <m/>
    <m/>
  </r>
  <r>
    <x v="0"/>
    <x v="0"/>
    <x v="3"/>
    <x v="16"/>
    <d v="2025-10-23T18:00:00"/>
    <s v="0006091270_4900"/>
    <s v="Loading"/>
    <n v="457451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4/10/2025 08:00-08:00"/>
    <m/>
    <n v="0"/>
    <m/>
    <s v="No"/>
    <s v="Shipped/Received"/>
    <s v="Direct"/>
    <m/>
    <m/>
    <m/>
    <s v="HAPSDCFR20251023-03"/>
    <m/>
    <m/>
    <s v="No"/>
    <n v="5019221117"/>
    <m/>
    <m/>
    <m/>
  </r>
  <r>
    <x v="0"/>
    <x v="0"/>
    <x v="3"/>
    <x v="16"/>
    <d v="2025-10-23T19:00:00"/>
    <s v="0006102971_4900"/>
    <s v="Loading"/>
    <s v="463613 / 461766"/>
    <s v="Primary flows / Primary flows"/>
    <s v="LKW WALTER FOR SN 3PO HVO"/>
    <m/>
    <m/>
    <s v="No"/>
    <s v="NL Haps DC (DSV)"/>
    <s v="HELS - SE Helsingborg / HELS - SE Helsingborg"/>
    <n v="66"/>
    <n v="0"/>
    <n v="0"/>
    <n v="0"/>
    <s v="1  01"/>
    <x v="1"/>
    <m/>
    <s v="30/10/2025 16:00-16:00"/>
    <m/>
    <n v="0"/>
    <m/>
    <s v="No"/>
    <s v="Shipped/Received"/>
    <s v="Direct"/>
    <s v=" / "/>
    <s v=" / "/>
    <m/>
    <s v="HAPSDCSE20251023-01 / HAPSDCSE20251023-01"/>
    <m/>
    <m/>
    <s v="No"/>
    <s v="5019219678 / 5019243609"/>
    <m/>
    <m/>
    <m/>
  </r>
  <r>
    <x v="0"/>
    <x v="0"/>
    <x v="3"/>
    <x v="16"/>
    <d v="2025-10-23T20:00:00"/>
    <s v="0006091295_4900"/>
    <s v="Loading"/>
    <n v="457405"/>
    <s v="Primary flows"/>
    <s v="PIOMAR FOR SN 3PO"/>
    <m/>
    <m/>
    <s v="No"/>
    <s v="NL Haps DC (DSV)"/>
    <s v="GRAB - PL Grabica"/>
    <n v="33"/>
    <n v="0"/>
    <n v="0"/>
    <n v="0"/>
    <s v="1  01"/>
    <x v="1"/>
    <m/>
    <s v="28/10/2025 12:00-12:00"/>
    <m/>
    <n v="0"/>
    <m/>
    <s v="No"/>
    <s v="Shipped/Received"/>
    <s v="Direct"/>
    <m/>
    <m/>
    <m/>
    <s v="HAPSDCPL20251023-02"/>
    <m/>
    <m/>
    <s v="No"/>
    <n v="5019229505"/>
    <m/>
    <m/>
    <m/>
  </r>
  <r>
    <x v="0"/>
    <x v="0"/>
    <x v="3"/>
    <x v="17"/>
    <d v="2025-10-24T06:00:00"/>
    <s v="0006098228_4900"/>
    <s v="Loading"/>
    <n v="462615"/>
    <s v="Primary flows"/>
    <s v="SAMSKIP FOR SN 3PO"/>
    <m/>
    <m/>
    <s v="No"/>
    <s v="NL Haps DC (DSV)"/>
    <s v="RUGB - GB Rugby"/>
    <n v="33"/>
    <n v="0"/>
    <n v="0"/>
    <n v="0"/>
    <s v="1  01"/>
    <x v="1"/>
    <m/>
    <s v="30/10/2025 23:30-23:30"/>
    <m/>
    <n v="0"/>
    <m/>
    <s v="No"/>
    <s v="Shipped/Received"/>
    <s v="Direct"/>
    <m/>
    <m/>
    <m/>
    <s v="HAPSDCUK20251024-05"/>
    <m/>
    <m/>
    <s v="No"/>
    <n v="5019102545"/>
    <m/>
    <m/>
    <m/>
  </r>
  <r>
    <x v="0"/>
    <x v="0"/>
    <x v="3"/>
    <x v="17"/>
    <d v="2025-10-24T06:00:00"/>
    <s v="373731_OOS"/>
    <s v="Loading"/>
    <s v="CO-SEA-6078300_OOS"/>
    <s v="Aval non piloté_EN"/>
    <s v="Maersk - Control Tower"/>
    <m/>
    <m/>
    <s v="No"/>
    <s v="NL Haps DC (DSV)"/>
    <s v="OOS_OUT - Delivery OOS"/>
    <n v="20"/>
    <n v="0"/>
    <n v="0"/>
    <n v="0"/>
    <s v="5019101329 5019106649 5019175675"/>
    <x v="0"/>
    <m/>
    <s v="25/10/2025 00:00-00:00"/>
    <m/>
    <n v="0"/>
    <m/>
    <s v="No"/>
    <s v="Shipped/Received"/>
    <s v="Direct"/>
    <m/>
    <m/>
    <s v="nutricia.ct.eu@lns.maersk.com"/>
    <m/>
    <m/>
    <m/>
    <s v="No"/>
    <s v="&amp;nbsp"/>
    <m/>
    <m/>
    <n v="57127369"/>
  </r>
  <r>
    <x v="0"/>
    <x v="0"/>
    <x v="3"/>
    <x v="17"/>
    <d v="2025-10-24T07:00:00"/>
    <s v="376584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260974"/>
    <x v="2"/>
    <m/>
    <s v="25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7"/>
    <d v="2025-10-24T07:00:00"/>
    <s v="0006091267_4900"/>
    <s v="Loading"/>
    <s v="463607 / 457421"/>
    <s v="Primary flows / Primary flows"/>
    <s v="FERCAM AUSTRIA FOR SN 3PO"/>
    <m/>
    <m/>
    <s v="No"/>
    <s v="NL Haps DC (DSV)"/>
    <s v="CIE2 - ES Ciempozuelos SN / CIE2 - ES Ciempozuelos SN"/>
    <n v="66"/>
    <n v="0"/>
    <n v="0"/>
    <n v="0"/>
    <s v="1  01"/>
    <x v="3"/>
    <m/>
    <s v="26/10/2025 23:30-23:30"/>
    <m/>
    <n v="0"/>
    <m/>
    <s v="No"/>
    <s v="Shipped/Received"/>
    <s v="Direct"/>
    <s v=" / "/>
    <s v=" / "/>
    <m/>
    <s v="HAPSDCES20251023-01 / HAPSDCES20251023-01"/>
    <m/>
    <m/>
    <s v="No"/>
    <s v="5019246363 / 5019233029"/>
    <m/>
    <m/>
    <m/>
  </r>
  <r>
    <x v="0"/>
    <x v="0"/>
    <x v="3"/>
    <x v="17"/>
    <d v="2025-10-24T07:00:00"/>
    <s v="371853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85213 "/>
    <x v="0"/>
    <m/>
    <s v="25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8"/>
    <s v="SRTMS183066"/>
  </r>
  <r>
    <x v="0"/>
    <x v="0"/>
    <x v="3"/>
    <x v="17"/>
    <d v="2025-10-24T07:00:00"/>
    <s v="374038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04282 LZV"/>
    <x v="1"/>
    <m/>
    <s v="2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7"/>
    <d v="2025-10-24T08:00:00"/>
    <s v="367229_OOS"/>
    <s v="Loading"/>
    <s v="AU-SEA-6078276_OOS"/>
    <s v="Aval non piloté_EN"/>
    <s v="MAERSK - Control Tower"/>
    <m/>
    <m/>
    <s v="No"/>
    <s v="NL Haps DC (DSV)"/>
    <s v="OOS_OUT - Delivery OOS"/>
    <n v="20"/>
    <n v="0"/>
    <n v="0"/>
    <n v="0"/>
    <n v="5019191600"/>
    <x v="0"/>
    <m/>
    <s v="25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110080"/>
  </r>
  <r>
    <x v="0"/>
    <x v="0"/>
    <x v="3"/>
    <x v="17"/>
    <d v="2025-10-24T08:00:00"/>
    <s v="371854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1165 "/>
    <x v="0"/>
    <m/>
    <s v="25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9"/>
    <s v="SRTMS183066"/>
  </r>
  <r>
    <x v="0"/>
    <x v="0"/>
    <x v="3"/>
    <x v="17"/>
    <d v="2025-10-24T08:00:00"/>
    <s v="0006102888_4900"/>
    <s v="Loading"/>
    <n v="461751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31/10/2025 22:00-22:00"/>
    <m/>
    <n v="0"/>
    <m/>
    <s v="No"/>
    <s v="Shipped/Received"/>
    <s v="Direct"/>
    <m/>
    <m/>
    <m/>
    <s v="HAPSDCIE20251024-02"/>
    <m/>
    <m/>
    <s v="No"/>
    <n v="5019246916"/>
    <m/>
    <m/>
    <m/>
  </r>
  <r>
    <x v="0"/>
    <x v="0"/>
    <x v="3"/>
    <x v="17"/>
    <d v="2025-10-24T08:00:00"/>
    <s v="0006098229_4900"/>
    <s v="Loading"/>
    <n v="462614"/>
    <s v="Primary flows"/>
    <s v="SAMSKIP FOR SN 3PO"/>
    <m/>
    <m/>
    <s v="No"/>
    <s v="NL Haps DC (DSV)"/>
    <s v="RUGB - GB Rugby"/>
    <n v="33"/>
    <n v="0"/>
    <n v="0"/>
    <n v="0"/>
    <s v="1  01"/>
    <x v="1"/>
    <m/>
    <s v="30/10/2025 23:30-23:30"/>
    <m/>
    <n v="0"/>
    <m/>
    <s v="No"/>
    <s v="Shipped/Received"/>
    <s v="Direct"/>
    <m/>
    <m/>
    <m/>
    <s v="HAPSDCUK20251024-06"/>
    <m/>
    <m/>
    <s v="No"/>
    <n v="5019102546"/>
    <m/>
    <m/>
    <m/>
  </r>
  <r>
    <x v="0"/>
    <x v="0"/>
    <x v="3"/>
    <x v="17"/>
    <d v="2025-10-24T09:00:00"/>
    <s v="372656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01266 5019209249"/>
    <x v="0"/>
    <m/>
    <s v="2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7"/>
    <d v="2025-10-24T09:00:00"/>
    <s v="0006091316_4900"/>
    <s v="Loading"/>
    <s v="457437 / 457438"/>
    <s v="Primary flows / Primary flows"/>
    <s v="SAMSKIP FOR SN 3PO"/>
    <m/>
    <m/>
    <s v="No"/>
    <s v="NL Haps DC (DSV)"/>
    <s v="DUBL - IE Dublin (United Drug) / DUB3 - IE Dublin (Pemberton)"/>
    <n v="66"/>
    <n v="0"/>
    <n v="0"/>
    <n v="0"/>
    <s v="1  01"/>
    <x v="1"/>
    <m/>
    <s v="31/10/2025 23:00-23:00 / 31/10/2025 18:00-18:00"/>
    <m/>
    <n v="0"/>
    <m/>
    <s v="No"/>
    <s v="Shipped/Received"/>
    <s v="Direct"/>
    <s v=" / "/>
    <s v=" / "/>
    <m/>
    <s v="HAPSDCIE20251024-01 / HAPSDCIE20251024-01"/>
    <m/>
    <m/>
    <s v="No"/>
    <s v="5019241828 / 5019241827"/>
    <m/>
    <m/>
    <m/>
  </r>
  <r>
    <x v="0"/>
    <x v="0"/>
    <x v="3"/>
    <x v="17"/>
    <d v="2025-10-24T09:00:00"/>
    <s v="371855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1166 "/>
    <x v="0"/>
    <m/>
    <s v="25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10"/>
    <s v="SRTMS183066"/>
  </r>
  <r>
    <x v="0"/>
    <x v="0"/>
    <x v="3"/>
    <x v="17"/>
    <d v="2025-10-24T09:00:00"/>
    <s v="0006091317_4900"/>
    <s v="Loading"/>
    <n v="457415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27/10/2025 15:00-15:00"/>
    <m/>
    <n v="0"/>
    <m/>
    <s v="No"/>
    <s v="Shipped/Received"/>
    <s v="Direct"/>
    <m/>
    <m/>
    <m/>
    <s v="HAPSDCIT20251024-01"/>
    <m/>
    <m/>
    <s v="No"/>
    <n v="5019243130"/>
    <m/>
    <m/>
    <m/>
  </r>
  <r>
    <x v="0"/>
    <x v="0"/>
    <x v="3"/>
    <x v="17"/>
    <d v="2025-10-24T10:00:00"/>
    <s v="371856_OOS"/>
    <s v="Loading"/>
    <s v="IL - SEA_OOS"/>
    <s v="Aval non piloté_EN"/>
    <s v="GEODIS"/>
    <m/>
    <m/>
    <s v="No"/>
    <s v="NL Haps DC (DSV)"/>
    <s v="OOS_OUT - Delivery OOS"/>
    <n v="23"/>
    <n v="0"/>
    <n v="0"/>
    <n v="0"/>
    <s v="DN 5019196120 "/>
    <x v="0"/>
    <m/>
    <s v="25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11"/>
    <s v="SRTMS183066"/>
  </r>
  <r>
    <x v="0"/>
    <x v="0"/>
    <x v="3"/>
    <x v="17"/>
    <d v="2025-10-24T10:00:00"/>
    <s v="0006098225_4900"/>
    <s v="Loading"/>
    <n v="460057"/>
    <s v="Primary flows"/>
    <s v="SAMSKIP FOR SN 3PO"/>
    <m/>
    <m/>
    <s v="No"/>
    <s v="NL Haps DC (DSV)"/>
    <s v="REDD - GB Redditch"/>
    <n v="33"/>
    <n v="0"/>
    <n v="0"/>
    <n v="0"/>
    <s v="1  01"/>
    <x v="1"/>
    <m/>
    <s v="30/10/2025 18:00-18:00"/>
    <m/>
    <n v="0"/>
    <m/>
    <s v="No"/>
    <s v="Shipped/Received"/>
    <s v="Direct"/>
    <m/>
    <m/>
    <m/>
    <s v="HAPSDCUK20251024-02"/>
    <m/>
    <m/>
    <s v="No"/>
    <n v="5019224073"/>
    <m/>
    <m/>
    <m/>
  </r>
  <r>
    <x v="0"/>
    <x v="0"/>
    <x v="3"/>
    <x v="17"/>
    <d v="2025-10-24T10:00:00"/>
    <s v="0006098227_4900"/>
    <s v="Loading"/>
    <n v="462613"/>
    <s v="Primary flows"/>
    <s v="SAMSKIP FOR SN 3PO"/>
    <m/>
    <m/>
    <s v="No"/>
    <s v="NL Haps DC (DSV)"/>
    <s v="RUGB - GB Rugby"/>
    <n v="33"/>
    <n v="0"/>
    <n v="0"/>
    <n v="0"/>
    <s v="1  01"/>
    <x v="1"/>
    <m/>
    <s v="30/10/2025 23:30-23:30"/>
    <m/>
    <n v="0"/>
    <m/>
    <s v="No"/>
    <s v="Shipped/Received"/>
    <s v="Direct"/>
    <m/>
    <m/>
    <m/>
    <s v="HAPSDCUK20251024-04"/>
    <m/>
    <m/>
    <s v="No"/>
    <n v="5019123149"/>
    <m/>
    <m/>
    <m/>
  </r>
  <r>
    <x v="0"/>
    <x v="0"/>
    <x v="3"/>
    <x v="17"/>
    <d v="2025-10-24T10:00:00"/>
    <s v="372657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09248 5019211605 5019133952"/>
    <x v="0"/>
    <m/>
    <s v="2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7"/>
    <d v="2025-10-24T11:00:00"/>
    <s v="0006102884_4900"/>
    <s v="Loading"/>
    <n v="461775"/>
    <s v="Primary flows"/>
    <s v="INTERKONTAKT FOR SN 3PO"/>
    <m/>
    <m/>
    <s v="No"/>
    <s v="NL Haps DC (DSV)"/>
    <s v="RICA - CZ Ricany DC2 Ambient WH"/>
    <n v="33"/>
    <n v="0"/>
    <n v="0"/>
    <n v="0"/>
    <s v="1  01"/>
    <x v="1"/>
    <m/>
    <s v="27/10/2025 10:00-10:00"/>
    <s v="6SA1876"/>
    <n v="0"/>
    <m/>
    <s v="No"/>
    <s v="Shipped/Received"/>
    <s v="Direct"/>
    <m/>
    <m/>
    <m/>
    <s v="HAPSDCCZ20251024-02"/>
    <m/>
    <m/>
    <s v="No"/>
    <n v="5019250529"/>
    <s v="6SM7953"/>
    <m/>
    <m/>
  </r>
  <r>
    <x v="0"/>
    <x v="0"/>
    <x v="3"/>
    <x v="17"/>
    <d v="2025-10-24T11:00:00"/>
    <s v="370797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243891 + 5019225036 "/>
    <x v="0"/>
    <m/>
    <s v="25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3"/>
    <x v="17"/>
    <d v="2025-10-24T11:00:00"/>
    <s v="37265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90791 5019144614"/>
    <x v="0"/>
    <m/>
    <s v="2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7"/>
    <d v="2025-10-24T11:00:00"/>
    <s v="376401_OOS"/>
    <s v="Loading"/>
    <s v="5019255670 - 5019263484_OOS"/>
    <s v="Aval non piloté_EN"/>
    <s v="Nabuurs"/>
    <m/>
    <m/>
    <m/>
    <s v="NL Haps DC (DSV)"/>
    <s v="OOS_OUT - Delivery OOS"/>
    <n v="6"/>
    <n v="0"/>
    <n v="0"/>
    <n v="0"/>
    <s v="2 orders to ship rejected pallets for scrapping. Special instructions added: M20004 NBB"/>
    <x v="4"/>
    <m/>
    <s v="25/10/2025 00:00-00:00"/>
    <m/>
    <n v="0"/>
    <m/>
    <s v="No"/>
    <m/>
    <s v="Direct"/>
    <m/>
    <m/>
    <s v="logistic.support.haps@danone.com"/>
    <m/>
    <m/>
    <m/>
    <s v="No"/>
    <s v="&amp;nbsp"/>
    <m/>
    <m/>
    <m/>
  </r>
  <r>
    <x v="0"/>
    <x v="0"/>
    <x v="3"/>
    <x v="17"/>
    <d v="2025-10-24T11:00:00"/>
    <s v="0006091323_4900"/>
    <s v="Loading"/>
    <s v="464653 / 457408"/>
    <s v="Primary flows / Primary flows"/>
    <s v="LKW WALTER FOR SN 3PO HVO"/>
    <m/>
    <m/>
    <s v="No"/>
    <s v="NL Haps DC (DSV)"/>
    <s v="HELS - SE Helsingborg / HELS - SE Helsingborg"/>
    <n v="66"/>
    <n v="0"/>
    <n v="0"/>
    <n v="0"/>
    <s v="1  01"/>
    <x v="1"/>
    <m/>
    <s v="31/10/2025 16:00-16:00"/>
    <m/>
    <n v="0"/>
    <m/>
    <s v="No"/>
    <s v="Shipped/Received"/>
    <s v="Direct"/>
    <s v=" / "/>
    <s v=" / "/>
    <m/>
    <s v="HAPSDCSE20251024-01 / HAPSDCSE20251024-01"/>
    <m/>
    <m/>
    <s v="No"/>
    <s v="5019261011 / 5019238065"/>
    <m/>
    <m/>
    <m/>
  </r>
  <r>
    <x v="0"/>
    <x v="0"/>
    <x v="3"/>
    <x v="17"/>
    <d v="2025-10-24T12:00:00"/>
    <s v="367603_OOS"/>
    <s v="Loading"/>
    <s v="CO-SEA-6078301_OOS"/>
    <s v="Aval non piloté_EN"/>
    <s v="Maersk - Control Tower"/>
    <m/>
    <m/>
    <s v="No"/>
    <s v="NL Haps DC (DSV)"/>
    <s v="OOS_OUT - Delivery OOS"/>
    <n v="20"/>
    <n v="0"/>
    <n v="0"/>
    <n v="0"/>
    <n v="5019178548"/>
    <x v="0"/>
    <m/>
    <s v="25/10/2025 00:02-00:02"/>
    <m/>
    <n v="0"/>
    <m/>
    <s v="No"/>
    <s v="Shipped/Received"/>
    <s v="Direct"/>
    <m/>
    <m/>
    <s v="nutricia.ct.eu@lns.maersk.com"/>
    <m/>
    <m/>
    <m/>
    <s v="No"/>
    <s v="&amp;nbsp"/>
    <m/>
    <m/>
    <n v="59815273"/>
  </r>
  <r>
    <x v="0"/>
    <x v="0"/>
    <x v="3"/>
    <x v="17"/>
    <d v="2025-10-24T12:00:00"/>
    <s v="0006098224_4900"/>
    <s v="Loading"/>
    <n v="460052"/>
    <s v="Primary flows"/>
    <s v="GIRTEKA FOR SN 3PO"/>
    <m/>
    <m/>
    <s v="No"/>
    <s v="NL Haps DC (DSV)"/>
    <s v="REDD - GB Redditch"/>
    <n v="33"/>
    <n v="0"/>
    <n v="0"/>
    <n v="0"/>
    <s v="1  01"/>
    <x v="1"/>
    <m/>
    <s v="27/10/2025 12:00-12:00"/>
    <s v="PZ_719XN"/>
    <n v="0"/>
    <m/>
    <s v="No"/>
    <s v="Shipped/Received"/>
    <s v="Direct"/>
    <m/>
    <m/>
    <m/>
    <s v="HAPSDCUK20251024-01"/>
    <m/>
    <m/>
    <s v="No"/>
    <n v="5019243716"/>
    <s v="PZ_5Y243"/>
    <s v="Yury Hlukhau"/>
    <m/>
  </r>
  <r>
    <x v="0"/>
    <x v="0"/>
    <x v="3"/>
    <x v="17"/>
    <d v="2025-10-24T12:00:00"/>
    <s v="370798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229647"/>
    <x v="0"/>
    <m/>
    <s v="25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3"/>
    <x v="17"/>
    <d v="2025-10-24T12:00:00"/>
    <s v="0006098226_4900"/>
    <s v="Loading"/>
    <n v="462617"/>
    <s v="Primary flows"/>
    <s v="SAMSKIP FOR SN 3PO"/>
    <m/>
    <m/>
    <s v="No"/>
    <s v="NL Haps DC (DSV)"/>
    <s v="RUGB - GB Rugby"/>
    <n v="33"/>
    <n v="0"/>
    <n v="0"/>
    <n v="0"/>
    <s v="1  01"/>
    <x v="1"/>
    <m/>
    <s v="30/10/2025 23:30-23:30"/>
    <m/>
    <n v="0"/>
    <m/>
    <s v="No"/>
    <s v="Shipped/Received"/>
    <s v="Direct"/>
    <m/>
    <m/>
    <m/>
    <s v="HAPSDCUK20251024-03"/>
    <m/>
    <m/>
    <s v="No"/>
    <n v="5019112541"/>
    <m/>
    <m/>
    <m/>
  </r>
  <r>
    <x v="0"/>
    <x v="0"/>
    <x v="3"/>
    <x v="17"/>
    <d v="2025-10-24T13:00:00"/>
    <s v="370802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28015"/>
    <x v="0"/>
    <m/>
    <s v="25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3"/>
    <x v="17"/>
    <d v="2025-10-24T13:00:00"/>
    <s v="0006091320_4900"/>
    <s v="Loading"/>
    <n v="457416"/>
    <s v="Primary flows"/>
    <s v="GIRTEKA FOR SN 3PO"/>
    <m/>
    <m/>
    <s v="No"/>
    <s v="NL Haps DC (DSV)"/>
    <s v="GRAB - PL Grabica"/>
    <n v="33"/>
    <n v="0"/>
    <n v="0"/>
    <n v="0"/>
    <s v="1  01"/>
    <x v="1"/>
    <m/>
    <s v="27/10/2025 12:00-12:00"/>
    <s v="HI_274"/>
    <n v="0"/>
    <m/>
    <s v="No"/>
    <s v="Shipped/Received"/>
    <s v="Direct"/>
    <m/>
    <m/>
    <m/>
    <s v="HAPSDCPL20251024-01"/>
    <m/>
    <m/>
    <s v="No"/>
    <n v="5019245759"/>
    <s v="NCL_764"/>
    <s v="Qurbonbek Shakarmamadov"/>
    <m/>
  </r>
  <r>
    <x v="0"/>
    <x v="0"/>
    <x v="3"/>
    <x v="17"/>
    <d v="2025-10-24T13:00:00"/>
    <s v="375770_OOS"/>
    <s v="Loading"/>
    <s v="AU-AIR_OOS"/>
    <s v="Aval non piloté_EN"/>
    <s v="MAERSK"/>
    <m/>
    <m/>
    <s v="No"/>
    <s v="NL Haps DC (DSV)"/>
    <s v="OOS_OUT - Delivery OOS"/>
    <n v="14"/>
    <n v="0"/>
    <n v="0"/>
    <n v="0"/>
    <s v="AU 5019179747 5019191091"/>
    <x v="0"/>
    <m/>
    <s v="25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3"/>
    <x v="17"/>
    <d v="2025-10-24T13:00:00"/>
    <s v="370799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232247"/>
    <x v="0"/>
    <m/>
    <s v="25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3"/>
    <x v="17"/>
    <d v="2025-10-24T14:00:00"/>
    <s v="375536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226578"/>
    <x v="0"/>
    <m/>
    <s v="25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3"/>
    <x v="17"/>
    <d v="2025-10-24T14:00:00"/>
    <s v="0006091322_4900"/>
    <s v="Loading"/>
    <n v="457446"/>
    <s v="Primary flows"/>
    <s v="GIRTEKA FOR SN 3PO"/>
    <m/>
    <m/>
    <s v="No"/>
    <s v="NL Haps DC (DSV)"/>
    <s v="GRAB - PL Grabica"/>
    <n v="33"/>
    <n v="0"/>
    <n v="0"/>
    <n v="0"/>
    <s v="1  01"/>
    <x v="1"/>
    <m/>
    <s v="27/10/2025 11:00-11:00"/>
    <s v="PZ_254XW"/>
    <n v="0"/>
    <m/>
    <s v="No"/>
    <s v="Shipped/Received"/>
    <s v="Direct"/>
    <m/>
    <m/>
    <m/>
    <s v="HAPSDCPL20251024-03"/>
    <m/>
    <m/>
    <s v="No"/>
    <n v="5019241555"/>
    <s v="MLK_917"/>
    <s v="Nizomjon Buriev"/>
    <m/>
  </r>
  <r>
    <x v="0"/>
    <x v="0"/>
    <x v="3"/>
    <x v="17"/>
    <d v="2025-10-24T14:00:00"/>
    <s v="375466_OOS"/>
    <s v="Loading"/>
    <s v="US - AIR_OOS"/>
    <s v="Aval non piloté_EN"/>
    <s v="JAS"/>
    <m/>
    <m/>
    <s v="No"/>
    <s v="NL Haps DC (DSV)"/>
    <s v="OOS_OUT - Delivery OOS"/>
    <n v="18"/>
    <n v="0"/>
    <n v="0"/>
    <n v="0"/>
    <s v="US AIR 5019200365   5019193027   5019190879 - 18P"/>
    <x v="0"/>
    <m/>
    <s v="25/10/2025 14:00-14:00"/>
    <m/>
    <n v="0"/>
    <m/>
    <s v="No"/>
    <s v="Shipped/Received"/>
    <s v="Direct"/>
    <m/>
    <m/>
    <s v="NLAMS-Export-Air@jas.com"/>
    <m/>
    <m/>
    <m/>
    <s v="No"/>
    <s v="&amp;nbsp"/>
    <m/>
    <m/>
    <m/>
  </r>
  <r>
    <x v="0"/>
    <x v="0"/>
    <x v="3"/>
    <x v="17"/>
    <d v="2025-10-24T14:00:00"/>
    <s v="0006091311_4900"/>
    <s v="Loading"/>
    <n v="457403"/>
    <s v="Primary flows"/>
    <s v="LKW WALTER FOR SN 3PO"/>
    <m/>
    <m/>
    <s v="No"/>
    <s v="NL Haps DC (DSV)"/>
    <s v="ALZE - DE Alzenau"/>
    <n v="33"/>
    <n v="0"/>
    <n v="0"/>
    <n v="0"/>
    <s v="1  01"/>
    <x v="1"/>
    <m/>
    <s v="27/10/2025 08:00-08:00"/>
    <m/>
    <n v="0"/>
    <m/>
    <s v="No"/>
    <s v="Shipped/Received"/>
    <s v="Direct"/>
    <m/>
    <m/>
    <m/>
    <s v="HAPSDCDE20251024-02"/>
    <m/>
    <m/>
    <s v="No"/>
    <n v="5019242958"/>
    <m/>
    <m/>
    <m/>
  </r>
  <r>
    <x v="0"/>
    <x v="0"/>
    <x v="3"/>
    <x v="17"/>
    <d v="2025-10-24T15:00:00"/>
    <s v="375537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226579"/>
    <x v="0"/>
    <m/>
    <s v="25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3"/>
    <x v="17"/>
    <d v="2025-10-24T15:00:00"/>
    <s v="0006091321_4900"/>
    <s v="Loading"/>
    <n v="457433"/>
    <s v="Primary flows"/>
    <s v="GIRTEKA FOR SN 3PO"/>
    <m/>
    <m/>
    <s v="No"/>
    <s v="NL Haps DC (DSV)"/>
    <s v="GRAB - PL Grabica"/>
    <n v="33"/>
    <n v="0"/>
    <n v="0"/>
    <n v="0"/>
    <s v="1  01"/>
    <x v="1"/>
    <m/>
    <s v="27/10/2025 11:00-11:00"/>
    <s v="PZ_7G832"/>
    <n v="0"/>
    <m/>
    <s v="No"/>
    <s v="Shipped/Received"/>
    <s v="Direct"/>
    <m/>
    <m/>
    <m/>
    <s v="HAPSDCPL20251024-02"/>
    <m/>
    <m/>
    <s v="No"/>
    <n v="5019241554"/>
    <s v="PZ_5H278"/>
    <s v="Aliaksandr Hryshchuk"/>
    <m/>
  </r>
  <r>
    <x v="0"/>
    <x v="0"/>
    <x v="3"/>
    <x v="17"/>
    <d v="2025-10-24T15:00:00"/>
    <s v="374279_OOS"/>
    <s v="Loading"/>
    <s v="TW-AIR_OOS / HK-AIR_OOS"/>
    <s v="Aval non piloté_EN / Aval non piloté_EN"/>
    <s v="GEODIS"/>
    <m/>
    <m/>
    <s v="No"/>
    <s v="NL Haps DC (DSV)"/>
    <s v="OOS_OUT - Delivery OOS / OOS_OUT - Delivery OOS"/>
    <n v="5"/>
    <n v="0"/>
    <n v="0"/>
    <n v="0"/>
    <s v="HK 5019191401 (2PL) TW 5019191601   5019191126 (3PL)"/>
    <x v="2"/>
    <m/>
    <s v="25/10/2025 10:00-10:00"/>
    <m/>
    <n v="0"/>
    <m/>
    <s v="No"/>
    <s v="Shipped/Received"/>
    <s v="Direct"/>
    <s v=" / "/>
    <s v=" / "/>
    <s v="mdc.transport@danone.com"/>
    <s v=" / "/>
    <m/>
    <m/>
    <s v="No"/>
    <s v="&amp;nbsp"/>
    <s v=" / &amp;nbsp"/>
    <m/>
    <m/>
  </r>
  <r>
    <x v="0"/>
    <x v="0"/>
    <x v="3"/>
    <x v="17"/>
    <d v="2025-10-24T15:00:00"/>
    <s v="0006091300_4900"/>
    <s v="Loading"/>
    <n v="457442"/>
    <s v="Primary flows"/>
    <s v="LKW WALTER FOR SN 3PO"/>
    <m/>
    <m/>
    <s v="No"/>
    <s v="NL Haps DC (DSV)"/>
    <s v="ALZE - DE Alzenau"/>
    <n v="33"/>
    <n v="0"/>
    <n v="0"/>
    <n v="0"/>
    <s v="1  01"/>
    <x v="1"/>
    <m/>
    <s v="27/10/2025 08:00-08:00"/>
    <m/>
    <n v="0"/>
    <m/>
    <s v="No"/>
    <s v="Shipped/Received"/>
    <s v="Direct"/>
    <m/>
    <m/>
    <m/>
    <s v="HAPSDCDE20251024-01"/>
    <m/>
    <m/>
    <s v="No"/>
    <n v="5019252372"/>
    <m/>
    <m/>
    <m/>
  </r>
  <r>
    <x v="0"/>
    <x v="0"/>
    <x v="3"/>
    <x v="17"/>
    <d v="2025-10-24T15:00:00"/>
    <s v="0006091313_4900"/>
    <s v="Loading"/>
    <s v="464493 / 457428"/>
    <s v="Primary flows / Primary flows"/>
    <s v="KREISS FOR SN 3PO"/>
    <m/>
    <m/>
    <s v="No"/>
    <s v="NL Haps DC (DSV)"/>
    <s v="CIE2 - ES Ciempozuelos SN / CIE2 - ES Ciempozuelos SN"/>
    <n v="66"/>
    <n v="0"/>
    <n v="0"/>
    <n v="0"/>
    <s v="1  01"/>
    <x v="1"/>
    <m/>
    <s v="27/10/2025 14:00-14:00"/>
    <m/>
    <n v="0"/>
    <m/>
    <s v="No"/>
    <s v="Shipped/Received"/>
    <s v="Direct"/>
    <s v=" / "/>
    <s v=" / "/>
    <m/>
    <s v="HAPSDCES20251024-01 / HAPSDCES20251024-01"/>
    <m/>
    <m/>
    <s v="No"/>
    <s v="5019243879 / 5019253012"/>
    <m/>
    <m/>
    <m/>
  </r>
  <r>
    <x v="0"/>
    <x v="0"/>
    <x v="3"/>
    <x v="17"/>
    <d v="2025-10-24T16:00:00"/>
    <s v="0006102886_4900"/>
    <s v="Loading"/>
    <n v="461758"/>
    <s v="Primary flows"/>
    <s v="ABC CZEPCZYNSKI FOR SN 3PO"/>
    <m/>
    <m/>
    <s v="No"/>
    <s v="NL Haps DC (DSV)"/>
    <s v="BUDA - HU Budapest (BILK Logisztikai)"/>
    <n v="33"/>
    <n v="0"/>
    <n v="0"/>
    <n v="0"/>
    <s v="1  01"/>
    <x v="1"/>
    <m/>
    <s v="27/10/2025 10:00-10:00"/>
    <s v="P7094"/>
    <n v="0"/>
    <m/>
    <s v="No"/>
    <s v="Shipped/Received"/>
    <s v="Direct"/>
    <m/>
    <m/>
    <m/>
    <s v="HAPSDCHU20251024-01"/>
    <m/>
    <m/>
    <s v="No"/>
    <n v="5019253008"/>
    <s v="KT9767"/>
    <s v="LT/LT"/>
    <m/>
  </r>
  <r>
    <x v="0"/>
    <x v="0"/>
    <x v="3"/>
    <x v="17"/>
    <d v="2025-10-24T16:00:00"/>
    <s v="0006091312_4900"/>
    <s v="Loading"/>
    <n v="457430"/>
    <s v="Primary flows"/>
    <s v="LKW WALTER FOR SN 3PO"/>
    <m/>
    <m/>
    <s v="No"/>
    <s v="NL Haps DC (DSV)"/>
    <s v="ALZE - DE Alzenau"/>
    <n v="33"/>
    <n v="0"/>
    <n v="0"/>
    <n v="0"/>
    <s v="1  01"/>
    <x v="1"/>
    <m/>
    <s v="27/10/2025 08:00-08:00"/>
    <m/>
    <n v="0"/>
    <m/>
    <s v="No"/>
    <s v="Shipped/Received"/>
    <s v="Direct"/>
    <m/>
    <m/>
    <m/>
    <s v="HAPSDCDE20251024-03"/>
    <m/>
    <m/>
    <s v="No"/>
    <n v="5019252975"/>
    <m/>
    <m/>
    <m/>
  </r>
  <r>
    <x v="0"/>
    <x v="0"/>
    <x v="3"/>
    <x v="17"/>
    <d v="2025-10-24T16:00:00"/>
    <s v="0006091324_4900"/>
    <s v="Loading"/>
    <s v="464168 / 457409"/>
    <s v="Primary flows / Primary flows"/>
    <s v="LKW WALTER FOR SN 3PO HVO"/>
    <m/>
    <m/>
    <s v="No"/>
    <s v="NL Haps DC (DSV)"/>
    <s v="HELS - SE Helsingborg / HELS - SE Helsingborg"/>
    <n v="66"/>
    <n v="0"/>
    <n v="0"/>
    <n v="0"/>
    <s v="1  01"/>
    <x v="1"/>
    <m/>
    <s v="31/10/2025 15:00-15:00"/>
    <m/>
    <n v="0"/>
    <m/>
    <s v="No"/>
    <s v="Shipped/Received"/>
    <s v="Direct"/>
    <s v=" / "/>
    <s v=" / "/>
    <m/>
    <s v="HAPSDCSE20251024-02 / HAPSDCSE20251024-02"/>
    <m/>
    <m/>
    <s v="No"/>
    <s v="5019220557 / 5019240709"/>
    <m/>
    <m/>
    <m/>
  </r>
  <r>
    <x v="0"/>
    <x v="0"/>
    <x v="3"/>
    <x v="17"/>
    <d v="2025-10-24T16:00:00"/>
    <s v="375550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221376"/>
    <x v="0"/>
    <m/>
    <s v="25/10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3"/>
    <x v="17"/>
    <d v="2025-10-24T17:00:00"/>
    <s v="0006091318_4900"/>
    <s v="Loading"/>
    <n v="457404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30/10/2025 16:00-16:00"/>
    <m/>
    <n v="0"/>
    <m/>
    <s v="No"/>
    <s v="Shipped/Received"/>
    <s v="Direct"/>
    <m/>
    <m/>
    <m/>
    <s v="HAPSDCIT20251024-02"/>
    <m/>
    <m/>
    <s v="No"/>
    <n v="5019243735"/>
    <m/>
    <m/>
    <m/>
  </r>
  <r>
    <x v="0"/>
    <x v="0"/>
    <x v="3"/>
    <x v="17"/>
    <d v="2025-10-24T17:00:00"/>
    <s v="0006109420_4900"/>
    <s v="Loading"/>
    <n v="463807"/>
    <s v="Primary flows"/>
    <s v="DSV DK FOR SN 3PO"/>
    <m/>
    <m/>
    <s v="No"/>
    <s v="NL Haps DC (DSV)"/>
    <s v="GLOS - DK Glostrup"/>
    <n v="33"/>
    <n v="0"/>
    <n v="0"/>
    <n v="0"/>
    <s v="1  01"/>
    <x v="1"/>
    <m/>
    <s v="27/10/2025 10:00-10:00"/>
    <m/>
    <n v="0"/>
    <m/>
    <s v="No"/>
    <s v="Shipped/Received"/>
    <s v="Direct"/>
    <m/>
    <m/>
    <m/>
    <s v="HAPSDCDK20251024-01"/>
    <m/>
    <m/>
    <s v="No"/>
    <n v="5019230317"/>
    <m/>
    <m/>
    <m/>
  </r>
  <r>
    <x v="0"/>
    <x v="0"/>
    <x v="4"/>
    <x v="18"/>
    <d v="2025-10-27T06:00:00"/>
    <s v="0006111414_4900"/>
    <s v="Loading"/>
    <n v="464640"/>
    <s v="Primary flows"/>
    <s v="SAMSKIP FOR SN 3PO"/>
    <m/>
    <m/>
    <s v="No"/>
    <s v="NL Haps DC (DSV)"/>
    <s v="REDD - GB Redditch"/>
    <n v="33"/>
    <n v="0"/>
    <n v="0"/>
    <n v="0"/>
    <s v="1  01"/>
    <x v="1"/>
    <m/>
    <s v="07/11/2025 18:00-18:00"/>
    <m/>
    <n v="0"/>
    <m/>
    <s v="No"/>
    <s v="Shipped/Received"/>
    <s v="Direct"/>
    <m/>
    <m/>
    <m/>
    <s v="HAPSDCUK20251027-06"/>
    <m/>
    <m/>
    <s v="No"/>
    <n v="5019263482"/>
    <m/>
    <m/>
    <m/>
  </r>
  <r>
    <x v="0"/>
    <x v="0"/>
    <x v="4"/>
    <x v="18"/>
    <d v="2025-10-27T07:00:00"/>
    <s v="376195_OOS"/>
    <s v="Loading"/>
    <s v="CN - SEA_OOS / EC - SEA_OOS / PY - SEA_OOS / BO - SEA_OOS"/>
    <s v="Aval non piloté_EN / Aval non piloté_EN / Aval non piloté_EN / Aval non piloté_EN"/>
    <s v="GEODIS"/>
    <m/>
    <m/>
    <s v="No"/>
    <s v="NL Haps DC (DSV)"/>
    <s v="OOS_OUT - Delivery OOS / OOS_OUT - Delivery OOS / OOS_OUT - Delivery OOS / OOS_OUT - Delivery OOS"/>
    <n v="24"/>
    <n v="0"/>
    <n v="0"/>
    <n v="0"/>
    <s v="BO : 5019250404 PY : 5019070695 / 5019233099 / 5019243995 EC : 5019256722 CN : 5019243767"/>
    <x v="0"/>
    <m/>
    <s v="28/10/2025 07:00-07:00"/>
    <m/>
    <n v="0"/>
    <m/>
    <s v="No"/>
    <s v="Shipped/Received"/>
    <s v="Direct"/>
    <s v=" /  /  / "/>
    <s v=" /  /  / "/>
    <s v="nutricia-booking.ff.nl@geodis.com"/>
    <s v=" /  /  / "/>
    <m/>
    <m/>
    <s v="No"/>
    <s v="&amp;nbsp"/>
    <s v=" / &amp;nbsp"/>
    <s v=" / &amp;nbsp"/>
    <s v=" / &amp;nbsp"/>
  </r>
  <r>
    <x v="0"/>
    <x v="0"/>
    <x v="4"/>
    <x v="18"/>
    <d v="2025-10-27T07:00:00"/>
    <s v="377469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s v="5019276600   5019256062"/>
    <x v="2"/>
    <m/>
    <s v="28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8"/>
    <d v="2025-10-27T07:00:00"/>
    <s v="0006111412_4900"/>
    <s v="Loading"/>
    <n v="464668"/>
    <s v="Primary flows"/>
    <s v="SAMSKIP FOR SN 3PO"/>
    <m/>
    <m/>
    <s v="No"/>
    <s v="NL Haps DC (DSV)"/>
    <s v="REDD - GB Redditch"/>
    <n v="33"/>
    <n v="0"/>
    <n v="0"/>
    <n v="0"/>
    <s v="1  01"/>
    <x v="1"/>
    <m/>
    <s v="07/11/2025 18:00-18:00"/>
    <m/>
    <n v="0"/>
    <m/>
    <s v="No"/>
    <s v="Shipped/Received"/>
    <s v="Direct"/>
    <m/>
    <m/>
    <m/>
    <s v="HAPSDCUK20251027-04"/>
    <m/>
    <m/>
    <s v="No"/>
    <n v="5019261564"/>
    <m/>
    <m/>
    <m/>
  </r>
  <r>
    <x v="0"/>
    <x v="0"/>
    <x v="4"/>
    <x v="18"/>
    <d v="2025-10-27T08:00:00"/>
    <s v="0006111359_4900"/>
    <s v="Loading"/>
    <s v="464650 / 464649"/>
    <s v="Primary flows / Primary flows"/>
    <s v="GIRTEKA FOR SN 3PO"/>
    <m/>
    <m/>
    <s v="No"/>
    <s v="NL Haps DC (DSV)"/>
    <s v="REDD - GB Redditch / REDD - GB Redditch"/>
    <n v="66"/>
    <n v="0"/>
    <n v="0"/>
    <n v="0"/>
    <s v="1  01"/>
    <x v="1"/>
    <m/>
    <s v="28/10/2025 17:00-17:00"/>
    <m/>
    <n v="0"/>
    <m/>
    <s v="No"/>
    <s v="Shipped/Received"/>
    <s v="Direct"/>
    <s v=" / "/>
    <s v=" / "/>
    <m/>
    <s v="HAPSDCUK20251027-01 / HAPSDCUK20251027-01"/>
    <m/>
    <m/>
    <s v="No"/>
    <s v="5019250412 / 5019242626"/>
    <m/>
    <m/>
    <m/>
  </r>
  <r>
    <x v="0"/>
    <x v="0"/>
    <x v="4"/>
    <x v="18"/>
    <d v="2025-10-27T08:00:00"/>
    <s v="0006109757_4900"/>
    <s v="Loading"/>
    <n v="463917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03/11/2025 22:00-22:00"/>
    <m/>
    <n v="0"/>
    <m/>
    <s v="No"/>
    <s v="Shipped/Received"/>
    <s v="Direct"/>
    <m/>
    <m/>
    <m/>
    <s v="HAPSDCIE20251027-02"/>
    <m/>
    <m/>
    <s v="No"/>
    <n v="5019244238"/>
    <m/>
    <m/>
    <m/>
  </r>
  <r>
    <x v="0"/>
    <x v="0"/>
    <x v="4"/>
    <x v="18"/>
    <d v="2025-10-27T09:00:00"/>
    <s v="374436_OOS"/>
    <s v="Loading"/>
    <s v="NWW-ROAD_OOS"/>
    <s v="Aval non piloté_EN"/>
    <s v="Globalink Logistics"/>
    <m/>
    <m/>
    <s v="No"/>
    <s v="NL Haps DC (DSV)"/>
    <s v="OOS_OUT - Delivery OOS"/>
    <n v="1"/>
    <n v="0"/>
    <n v="0"/>
    <n v="0"/>
    <n v="5019141795"/>
    <x v="2"/>
    <m/>
    <s v="28/10/2025 12:00-12:00"/>
    <m/>
    <n v="0"/>
    <m/>
    <s v="No"/>
    <s v="Shipped/Received"/>
    <s v="Direct"/>
    <m/>
    <m/>
    <s v="a.ussenova@globalinklogistics.com"/>
    <m/>
    <m/>
    <m/>
    <s v="No"/>
    <s v="&amp;nbsp"/>
    <m/>
    <m/>
    <m/>
  </r>
  <r>
    <x v="0"/>
    <x v="0"/>
    <x v="4"/>
    <x v="18"/>
    <d v="2025-10-27T09:00:00"/>
    <s v="370302_OOS"/>
    <s v="Loading"/>
    <s v="NZ-SEA-6087542_OOS"/>
    <s v="Aval non piloté_EN"/>
    <s v="Maersk - Control Tower"/>
    <m/>
    <m/>
    <s v="No"/>
    <s v="NL Haps DC (DSV)"/>
    <s v="OOS_OUT - Delivery OOS"/>
    <n v="20"/>
    <n v="0"/>
    <n v="0"/>
    <n v="0"/>
    <n v="5019244720"/>
    <x v="0"/>
    <m/>
    <s v="28/10/2025 00:01-00:01"/>
    <m/>
    <n v="0"/>
    <m/>
    <s v="No"/>
    <s v="Shipped/Received"/>
    <s v="Direct"/>
    <m/>
    <m/>
    <s v="nutricia.ct.eu@lns.maersk.com"/>
    <m/>
    <m/>
    <m/>
    <s v="No"/>
    <s v="&amp;nbsp"/>
    <m/>
    <m/>
    <n v="260357927"/>
  </r>
  <r>
    <x v="0"/>
    <x v="0"/>
    <x v="4"/>
    <x v="18"/>
    <d v="2025-10-27T09:00:00"/>
    <s v="376614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06149 Regular"/>
    <x v="1"/>
    <m/>
    <s v="2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8"/>
    <d v="2025-10-27T10:00:00"/>
    <s v="0006111360_4900"/>
    <s v="Loading"/>
    <s v="464657 / 464656"/>
    <s v="Primary flows / Primary flows"/>
    <s v="SAMSKIP FOR SN 3PO"/>
    <m/>
    <m/>
    <s v="No"/>
    <s v="NL Haps DC (DSV)"/>
    <s v="REDD - GB Redditch / REDD - GB Redditch"/>
    <n v="66"/>
    <n v="0"/>
    <n v="0"/>
    <n v="0"/>
    <s v="1  01"/>
    <x v="1"/>
    <m/>
    <s v="31/10/2025 18:00-18:00"/>
    <m/>
    <n v="0"/>
    <m/>
    <s v="No"/>
    <s v="Shipped/Received"/>
    <s v="Direct"/>
    <s v=" / "/>
    <s v=" / "/>
    <m/>
    <s v="HAPSDCUK20251027-02 / HAPSDCUK20251027-02"/>
    <m/>
    <m/>
    <s v="No"/>
    <s v="5019244284 / 5019243051"/>
    <m/>
    <m/>
    <m/>
  </r>
  <r>
    <x v="0"/>
    <x v="0"/>
    <x v="4"/>
    <x v="18"/>
    <d v="2025-10-27T10:00:00"/>
    <s v="0006104653_4900"/>
    <s v="Loading"/>
    <n v="462527"/>
    <s v="Primary flows"/>
    <s v="KREISS FOR SN 3PO"/>
    <m/>
    <m/>
    <s v="No"/>
    <s v="NL Haps DC (DSV)"/>
    <s v="CIE2 - ES Ciempozuelos SN"/>
    <n v="33"/>
    <n v="0"/>
    <n v="0"/>
    <n v="0"/>
    <s v="1  01"/>
    <x v="1"/>
    <m/>
    <s v="29/10/2025 14:00-14:00"/>
    <m/>
    <n v="0"/>
    <m/>
    <s v="No"/>
    <s v="Shipped/Received"/>
    <s v="Direct"/>
    <m/>
    <m/>
    <m/>
    <s v="HAPSDCES20251027-01"/>
    <m/>
    <m/>
    <s v="No"/>
    <n v="5019250670"/>
    <m/>
    <m/>
    <m/>
  </r>
  <r>
    <x v="0"/>
    <x v="0"/>
    <x v="4"/>
    <x v="18"/>
    <d v="2025-10-27T10:00:00"/>
    <s v="375772_OOS"/>
    <s v="Loading"/>
    <s v="AU-AIR_OOS"/>
    <s v="Aval non piloté_EN"/>
    <s v="MAERSK"/>
    <m/>
    <m/>
    <s v="No"/>
    <s v="NL Haps DC (DSV)"/>
    <s v="OOS_OUT - Delivery OOS"/>
    <n v="17"/>
    <n v="0"/>
    <n v="0"/>
    <n v="0"/>
    <s v="AU 5019199327"/>
    <x v="0"/>
    <m/>
    <s v="2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8"/>
    <d v="2025-10-27T10:00:00"/>
    <s v="375608_OOS"/>
    <s v="Loading"/>
    <s v="NG-SEA_OOS"/>
    <s v="Aval non piloté_EN"/>
    <s v="Newcorp"/>
    <m/>
    <m/>
    <s v="No"/>
    <s v="NL Haps DC (DSV)"/>
    <s v="OOS_OUT - Delivery OOS"/>
    <n v="18"/>
    <n v="0"/>
    <n v="0"/>
    <n v="0"/>
    <s v="5019100540   5019193468 - NO-SHOW"/>
    <x v="0"/>
    <m/>
    <s v="28/10/2025 12:00-12:00"/>
    <m/>
    <n v="0"/>
    <m/>
    <s v="No"/>
    <s v="Shipped/Received"/>
    <s v="Direct"/>
    <m/>
    <m/>
    <s v="anton@newcorplogistics.nl"/>
    <m/>
    <m/>
    <m/>
    <s v="No"/>
    <s v="&amp;nbsp"/>
    <m/>
    <m/>
    <m/>
  </r>
  <r>
    <x v="0"/>
    <x v="0"/>
    <x v="4"/>
    <x v="18"/>
    <d v="2025-10-27T11:00:00"/>
    <s v="376992_OOS"/>
    <s v="Loading"/>
    <s v="KZ-ROAD_OOS"/>
    <s v="Aval non piloté_EN"/>
    <s v="EXW"/>
    <m/>
    <m/>
    <s v="No"/>
    <s v="NL Haps DC (DSV)"/>
    <s v="OOS_OUT - Delivery OOS"/>
    <n v="30"/>
    <n v="0"/>
    <n v="0"/>
    <n v="0"/>
    <s v="5019244295   5019250734   5019254009"/>
    <x v="0"/>
    <m/>
    <s v="28/10/2025 12:00-12:00"/>
    <m/>
    <n v="0"/>
    <m/>
    <s v="No"/>
    <s v="Shipped/Received"/>
    <s v="Direct"/>
    <m/>
    <m/>
    <s v="ydiris.nassyrov@danone.com"/>
    <m/>
    <m/>
    <m/>
    <s v="No"/>
    <s v="&amp;nbsp"/>
    <m/>
    <m/>
    <m/>
  </r>
  <r>
    <x v="0"/>
    <x v="0"/>
    <x v="4"/>
    <x v="18"/>
    <d v="2025-10-27T11:00:00"/>
    <s v="0006111413_4900"/>
    <s v="Loading"/>
    <n v="464636"/>
    <s v="Primary flows"/>
    <s v="SAMSKIP FOR SN 3PO"/>
    <m/>
    <m/>
    <s v="No"/>
    <s v="NL Haps DC (DSV)"/>
    <s v="REDD - GB Redditch"/>
    <n v="33"/>
    <n v="0"/>
    <n v="0"/>
    <n v="0"/>
    <s v="1  01"/>
    <x v="1"/>
    <m/>
    <s v="07/11/2025 18:00-18:00"/>
    <m/>
    <n v="0"/>
    <m/>
    <s v="No"/>
    <s v="Shipped/Received"/>
    <s v="Direct"/>
    <m/>
    <m/>
    <m/>
    <s v="HAPSDCUK20251027-05"/>
    <m/>
    <m/>
    <s v="No"/>
    <n v="5019262803"/>
    <m/>
    <m/>
    <m/>
  </r>
  <r>
    <x v="0"/>
    <x v="0"/>
    <x v="4"/>
    <x v="18"/>
    <d v="2025-10-27T11:00:00"/>
    <s v="0006104658_4900"/>
    <s v="Loading"/>
    <n v="462525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03/11/2025 23:00-23:00"/>
    <m/>
    <n v="0"/>
    <m/>
    <s v="No"/>
    <s v="Shipped/Received"/>
    <s v="Direct"/>
    <m/>
    <m/>
    <m/>
    <s v="HAPSDCIE20251027-01"/>
    <m/>
    <m/>
    <s v="No"/>
    <n v="5019257934"/>
    <m/>
    <m/>
    <m/>
  </r>
  <r>
    <x v="0"/>
    <x v="0"/>
    <x v="4"/>
    <x v="18"/>
    <d v="2025-10-27T12:00:00"/>
    <s v="0006111411_4900"/>
    <s v="Loading"/>
    <s v="464647 / 464646"/>
    <s v="Primary flows / Primary flows"/>
    <s v="SAMSKIP FOR SN 3PO"/>
    <m/>
    <m/>
    <s v="No"/>
    <s v="NL Haps DC (DSV)"/>
    <s v="REDD - GB Redditch / REDD - GB Redditch"/>
    <n v="66"/>
    <n v="0"/>
    <n v="0"/>
    <n v="0"/>
    <s v="1  01"/>
    <x v="1"/>
    <m/>
    <s v="07/11/2025 18:00-18:00"/>
    <m/>
    <n v="0"/>
    <m/>
    <s v="No"/>
    <s v="Shipped/Received"/>
    <s v="Direct"/>
    <s v=" / "/>
    <s v=" / "/>
    <m/>
    <s v="HAPSDCUK20251027-03 / HAPSDCUK20251027-03"/>
    <m/>
    <m/>
    <s v="No"/>
    <s v="5019254504 / 5019252789"/>
    <m/>
    <m/>
    <m/>
  </r>
  <r>
    <x v="0"/>
    <x v="0"/>
    <x v="4"/>
    <x v="18"/>
    <d v="2025-10-27T12:00:00"/>
    <s v="376301_OOS"/>
    <s v="Loading"/>
    <s v="CN-AIR_OOS"/>
    <s v="Aval non piloté_EN"/>
    <s v="KERRY LOGISTICS"/>
    <m/>
    <m/>
    <s v="No"/>
    <s v="NL Haps DC (DSV)"/>
    <s v="OOS_OUT - Delivery OOS"/>
    <n v="14"/>
    <n v="0"/>
    <n v="0"/>
    <n v="0"/>
    <s v="CN 5019260372"/>
    <x v="0"/>
    <m/>
    <s v="2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8"/>
    <d v="2025-10-27T12:00:00"/>
    <s v="0006104665_4900"/>
    <s v="Loading"/>
    <s v="464732 / 462541"/>
    <s v="Primary flows / Primary flows"/>
    <s v="PIOMAR FOR SN 3PO"/>
    <m/>
    <m/>
    <s v="No"/>
    <s v="NL Haps DC (DSV)"/>
    <s v="GRAB - PL Grabica / GRAB - PL Grabica"/>
    <n v="66"/>
    <n v="0"/>
    <n v="0"/>
    <n v="0"/>
    <s v="1  01"/>
    <x v="1"/>
    <m/>
    <s v="29/10/2025 21:00-21:00"/>
    <s v="OP8380H"/>
    <n v="0"/>
    <m/>
    <s v="No"/>
    <s v="Shipped/Received"/>
    <s v="Direct"/>
    <s v=" / "/>
    <s v=" / "/>
    <m/>
    <s v="HAPSDCPL20251027-03 / HAPSDCPL20251027-03"/>
    <m/>
    <m/>
    <s v="No"/>
    <s v="5019253901 / 5019233319"/>
    <s v="OKR1CX4"/>
    <s v="TOMYS EDMUND"/>
    <m/>
  </r>
  <r>
    <x v="0"/>
    <x v="0"/>
    <x v="4"/>
    <x v="18"/>
    <d v="2025-10-27T13:00:00"/>
    <s v="0006104659_4900"/>
    <s v="Loading"/>
    <n v="462514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29/10/2025 15:00-15:00"/>
    <s v="LN_996"/>
    <n v="0"/>
    <m/>
    <s v="No"/>
    <s v="Shipped/Received"/>
    <s v="Direct"/>
    <m/>
    <m/>
    <m/>
    <s v="HAPSDCIT20251027-01"/>
    <m/>
    <m/>
    <s v="No"/>
    <n v="5019240555"/>
    <s v="MTR_491"/>
    <s v="Andrei Nicolaiciuc"/>
    <m/>
  </r>
  <r>
    <x v="0"/>
    <x v="0"/>
    <x v="4"/>
    <x v="18"/>
    <d v="2025-10-27T13:00:00"/>
    <s v="375808_OOS"/>
    <s v="Loading"/>
    <s v="CO-AIR_OOS"/>
    <s v="Aval non piloté_EN"/>
    <s v="HELLMANN"/>
    <m/>
    <m/>
    <s v="No"/>
    <s v="NL Haps DC (DSV)"/>
    <s v="OOS_OUT - Delivery OOS"/>
    <n v="16"/>
    <n v="0"/>
    <n v="0"/>
    <n v="0"/>
    <s v="CO 5019187490 5019220367 (9PL) CO 5019175303 (7PL) NZ 5019185228 (5PL) TOTAL 21PL"/>
    <x v="0"/>
    <m/>
    <s v="28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8"/>
    <d v="2025-10-27T13:00:00"/>
    <s v="376930_OOS"/>
    <s v="Loading"/>
    <s v="Scrap Denkavit - ROAD_OOS"/>
    <s v="Aval non piloté_EN"/>
    <s v="Denkavit"/>
    <m/>
    <m/>
    <s v="No"/>
    <s v="NL Haps DC (DSV)"/>
    <s v="OOS_OUT - Delivery OOS"/>
    <n v="26"/>
    <n v="0"/>
    <n v="0"/>
    <n v="0"/>
    <s v="90011317 (PO 17292371)"/>
    <x v="0"/>
    <m/>
    <s v="28/10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0"/>
    <x v="4"/>
    <x v="18"/>
    <d v="2025-10-27T14:00:00"/>
    <s v="0006109415_4900"/>
    <s v="Loading"/>
    <n v="463793"/>
    <s v="Primary flows"/>
    <s v="GIRTEKA FOR SN 3PO"/>
    <m/>
    <m/>
    <s v="No"/>
    <s v="NL Haps DC (DSV)"/>
    <s v="ALZE - DE Alzenau"/>
    <n v="33"/>
    <n v="0"/>
    <n v="0"/>
    <n v="0"/>
    <s v="1  01"/>
    <x v="1"/>
    <m/>
    <s v="30/10/2025 09:00-09:00"/>
    <m/>
    <n v="0"/>
    <m/>
    <s v="No"/>
    <s v="Shipped/Received"/>
    <s v="Direct"/>
    <m/>
    <m/>
    <m/>
    <s v="HAPSDCDE20251027-04"/>
    <m/>
    <m/>
    <s v="No"/>
    <n v="5019260893"/>
    <m/>
    <m/>
    <m/>
  </r>
  <r>
    <x v="0"/>
    <x v="0"/>
    <x v="4"/>
    <x v="18"/>
    <d v="2025-10-27T14:00:00"/>
    <s v="377019_OOS"/>
    <s v="Loading"/>
    <s v="KZ-ROAD_OOS"/>
    <s v="Aval non piloté_EN"/>
    <s v="EXW"/>
    <m/>
    <m/>
    <s v="No"/>
    <s v="NL Haps DC (DSV)"/>
    <s v="OOS_OUT - Delivery OOS"/>
    <n v="24"/>
    <n v="0"/>
    <n v="0"/>
    <n v="0"/>
    <n v="5019257936"/>
    <x v="0"/>
    <m/>
    <s v="28/10/2025 12:00-12:00"/>
    <m/>
    <n v="0"/>
    <m/>
    <s v="No"/>
    <s v="Shipped/Received"/>
    <s v="Direct"/>
    <m/>
    <m/>
    <s v="ydiris.nassyrov@danone.com"/>
    <m/>
    <m/>
    <m/>
    <s v="No"/>
    <s v="&amp;nbsp"/>
    <m/>
    <m/>
    <m/>
  </r>
  <r>
    <x v="0"/>
    <x v="0"/>
    <x v="4"/>
    <x v="18"/>
    <d v="2025-10-27T15:00:00"/>
    <s v="0006104655_4900"/>
    <s v="Loading"/>
    <n v="462537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8/10/2025 08:00-08:00"/>
    <m/>
    <n v="0"/>
    <m/>
    <s v="No"/>
    <s v="Shipped/Received"/>
    <s v="Direct"/>
    <m/>
    <m/>
    <m/>
    <s v="HAPSDCFR20251027-02"/>
    <m/>
    <m/>
    <s v="No"/>
    <n v="5019253862"/>
    <m/>
    <m/>
    <m/>
  </r>
  <r>
    <x v="0"/>
    <x v="0"/>
    <x v="4"/>
    <x v="18"/>
    <d v="2025-10-27T16:00:00"/>
    <s v="0006104656_4900"/>
    <s v="Loading"/>
    <n v="462540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8/10/2025 10:00-10:00"/>
    <m/>
    <n v="0"/>
    <m/>
    <s v="No"/>
    <s v="Shipped/Received"/>
    <s v="Direct"/>
    <m/>
    <m/>
    <m/>
    <s v="HAPSDCFR20251027-03"/>
    <m/>
    <m/>
    <s v="No"/>
    <n v="5019257368"/>
    <m/>
    <m/>
    <m/>
  </r>
  <r>
    <x v="0"/>
    <x v="0"/>
    <x v="4"/>
    <x v="18"/>
    <d v="2025-10-27T16:00:00"/>
    <s v="0006104550_4900"/>
    <s v="Loading"/>
    <n v="462534"/>
    <s v="Primary flows"/>
    <s v="LKW WALTER FOR SN 3PO"/>
    <m/>
    <m/>
    <s v="No"/>
    <s v="NL Haps DC (DSV)"/>
    <s v="ALZE - DE Alzenau"/>
    <n v="33"/>
    <n v="0"/>
    <n v="0"/>
    <n v="0"/>
    <s v="1  01"/>
    <x v="1"/>
    <m/>
    <s v="29/10/2025 06:00-06:00"/>
    <m/>
    <n v="0"/>
    <m/>
    <s v="No"/>
    <s v="Shipped/Received"/>
    <s v="Direct"/>
    <m/>
    <m/>
    <m/>
    <s v="HAPSDCDE20251027-01"/>
    <m/>
    <m/>
    <s v="No"/>
    <n v="5019247111"/>
    <m/>
    <m/>
    <m/>
  </r>
  <r>
    <x v="0"/>
    <x v="0"/>
    <x v="4"/>
    <x v="18"/>
    <d v="2025-10-27T16:00:00"/>
    <s v="376206_OOS"/>
    <s v="Loading"/>
    <s v="SV - SEA_OOS / PA -SEA_OOS / DR - SEA_OOS"/>
    <s v="Aval non piloté_EN / Aval non piloté_EN / Aval non piloté_EN"/>
    <s v="GEODIS"/>
    <m/>
    <m/>
    <s v="No"/>
    <s v="NL Haps DC (DSV)"/>
    <s v="OOS_OUT - Delivery OOS / OOS_OUT - Delivery OOS / OOS_OUT - Delivery OOS"/>
    <n v="22"/>
    <n v="0"/>
    <n v="0"/>
    <n v="0"/>
    <s v="DR : 5019245312 PA : 5019242742 SV : 5019223184 (AMN) SV : 5019238580 (ELN)"/>
    <x v="0"/>
    <m/>
    <s v="28/10/2025 15:00-15:00"/>
    <m/>
    <n v="0"/>
    <m/>
    <s v="No"/>
    <s v="Shipped/Received"/>
    <s v="Direct"/>
    <s v=" /  / "/>
    <s v=" /  / "/>
    <s v="nutricia-booking.ff.nl@geodis.com"/>
    <s v=" /  / "/>
    <m/>
    <m/>
    <s v="No"/>
    <s v="&amp;nbsp"/>
    <s v=" / &amp;nbsp"/>
    <s v=" / &amp;nbsp"/>
    <m/>
  </r>
  <r>
    <x v="0"/>
    <x v="0"/>
    <x v="4"/>
    <x v="18"/>
    <d v="2025-10-27T17:00:00"/>
    <s v="0006104651_4900"/>
    <s v="Loading"/>
    <n v="462542"/>
    <s v="Primary flows"/>
    <s v="LKW WALTER FOR SN 3PO"/>
    <m/>
    <m/>
    <s v="No"/>
    <s v="NL Haps DC (DSV)"/>
    <s v="ALZE - DE Alzenau"/>
    <n v="33"/>
    <n v="0"/>
    <n v="0"/>
    <n v="0"/>
    <s v="1  01"/>
    <x v="1"/>
    <m/>
    <s v="29/10/2025 06:00-06:00"/>
    <m/>
    <n v="0"/>
    <m/>
    <s v="No"/>
    <s v="Shipped/Received"/>
    <s v="Direct"/>
    <m/>
    <m/>
    <m/>
    <s v="HAPSDCDE20251027-02"/>
    <m/>
    <m/>
    <s v="No"/>
    <n v="5019261846"/>
    <m/>
    <m/>
    <m/>
  </r>
  <r>
    <x v="0"/>
    <x v="0"/>
    <x v="4"/>
    <x v="18"/>
    <d v="2025-10-27T17:00:00"/>
    <s v="0006104654_4900"/>
    <s v="Loading"/>
    <n v="462518"/>
    <s v="Primary flows"/>
    <s v="ECS FOR SN 3PO"/>
    <m/>
    <m/>
    <s v="No"/>
    <s v="NL Haps DC (DSV)"/>
    <s v="MOUS - FR Moussy-Le-Neuf"/>
    <n v="33"/>
    <n v="0"/>
    <n v="0"/>
    <n v="0"/>
    <s v="1  01"/>
    <x v="1"/>
    <m/>
    <s v="28/10/2025 13:00-13:00"/>
    <m/>
    <n v="0"/>
    <m/>
    <s v="No"/>
    <s v="Shipped/Received"/>
    <s v="Direct"/>
    <m/>
    <m/>
    <m/>
    <s v="HAPSDCFR20251027-01"/>
    <m/>
    <m/>
    <s v="No"/>
    <n v="5019254572"/>
    <m/>
    <m/>
    <m/>
  </r>
  <r>
    <x v="0"/>
    <x v="0"/>
    <x v="4"/>
    <x v="18"/>
    <d v="2025-10-27T17:00:00"/>
    <s v="0006111230_4900"/>
    <s v="Loading"/>
    <n v="464593"/>
    <s v="Primary flows"/>
    <s v="GIRTEKA FOR SN 3PO"/>
    <m/>
    <m/>
    <s v="No"/>
    <s v="NL Haps DC (DSV)"/>
    <s v="NAZA - BE Nazareth (Dematra)"/>
    <n v="33"/>
    <n v="0"/>
    <n v="0"/>
    <n v="0"/>
    <s v="1  01"/>
    <x v="1"/>
    <m/>
    <s v="28/10/2025 11:00-11:00"/>
    <s v="SN_511"/>
    <n v="0"/>
    <m/>
    <s v="No"/>
    <s v="Shipped/Received"/>
    <s v="Direct"/>
    <m/>
    <m/>
    <m/>
    <s v="HAPSDCBE20251027-02"/>
    <m/>
    <m/>
    <s v="No"/>
    <n v="5019261609"/>
    <s v="MJG_621"/>
    <s v="Khushruz Nurilloev"/>
    <m/>
  </r>
  <r>
    <x v="0"/>
    <x v="0"/>
    <x v="4"/>
    <x v="18"/>
    <d v="2025-10-27T18:00:00"/>
    <s v="0006104666_4900"/>
    <s v="Loading"/>
    <n v="462533"/>
    <s v="Primary flows"/>
    <s v="DSV DK FOR SN 3PO"/>
    <m/>
    <m/>
    <s v="No"/>
    <s v="NL Haps DC (DSV)"/>
    <s v="HELS - SE Helsingborg"/>
    <n v="33"/>
    <n v="0"/>
    <n v="0"/>
    <n v="0"/>
    <s v="1  01"/>
    <x v="1"/>
    <m/>
    <s v="29/10/2025 11:00-11:00"/>
    <m/>
    <n v="0"/>
    <m/>
    <s v="No"/>
    <s v="Shipped/Received"/>
    <s v="Direct"/>
    <m/>
    <m/>
    <m/>
    <s v="HAPSDCSE20251027-01"/>
    <m/>
    <m/>
    <s v="No"/>
    <n v="5019258193"/>
    <m/>
    <m/>
    <m/>
  </r>
  <r>
    <x v="0"/>
    <x v="0"/>
    <x v="4"/>
    <x v="18"/>
    <d v="2025-10-27T18:00:00"/>
    <s v="0006104663_4900"/>
    <s v="Loading"/>
    <s v="464735 / 464734 / 462522"/>
    <s v="Primary flows / Primary flows / Primary flows"/>
    <s v="MIERZWA FOR SN 3PO"/>
    <m/>
    <m/>
    <s v="No"/>
    <s v="NL Haps DC (DSV)"/>
    <s v="GRAB - PL Grabica / GRAB - PL Grabica / GRAB - PL Grabica"/>
    <n v="99"/>
    <n v="0"/>
    <n v="0"/>
    <n v="0"/>
    <s v="1  01"/>
    <x v="1"/>
    <m/>
    <s v="30/10/2025 19:00-19:00"/>
    <s v="KRA678PG"/>
    <n v="0"/>
    <m/>
    <s v="No"/>
    <s v="Shipped/Received"/>
    <s v="Direct"/>
    <s v=" /  / "/>
    <s v=" /  / "/>
    <m/>
    <s v="HAPSDCPL20251027-01 / HAPSDCPL20251027-01 / HAPSDCPL20251027-01"/>
    <m/>
    <m/>
    <s v="No"/>
    <s v="5019262721 / 5019253898 / 5019253434"/>
    <s v="WPR0417U"/>
    <s v="Szymon Bana?"/>
    <m/>
  </r>
  <r>
    <x v="0"/>
    <x v="0"/>
    <x v="4"/>
    <x v="18"/>
    <d v="2025-10-27T18:00:00"/>
    <s v="0006111229_4900"/>
    <s v="Loading"/>
    <n v="464592"/>
    <s v="Primary flows"/>
    <s v="GIRTEKA FOR SN 3PO"/>
    <m/>
    <m/>
    <s v="No"/>
    <s v="NL Haps DC (DSV)"/>
    <s v="NAZA - BE Nazareth (Dematra)"/>
    <n v="33"/>
    <n v="0"/>
    <n v="0"/>
    <n v="0"/>
    <s v="1  01"/>
    <x v="1"/>
    <m/>
    <s v="28/10/2025 14:00-14:00"/>
    <s v="PZ_126WP"/>
    <n v="0"/>
    <m/>
    <s v="No"/>
    <s v="Shipped/Received"/>
    <s v="Direct"/>
    <m/>
    <m/>
    <m/>
    <s v="HAPSDCBE20251027-01"/>
    <m/>
    <m/>
    <s v="No"/>
    <n v="5019250415"/>
    <s v="NJM_796"/>
    <s v="Temur Malik Murodov"/>
    <m/>
  </r>
  <r>
    <x v="0"/>
    <x v="0"/>
    <x v="4"/>
    <x v="18"/>
    <d v="2025-10-27T19:00:00"/>
    <s v="0006104664_4900"/>
    <s v="Loading"/>
    <n v="462498"/>
    <s v="Primary flows"/>
    <s v="MIERZWA FOR SN 3PO"/>
    <m/>
    <m/>
    <s v="No"/>
    <s v="NL Haps DC (DSV)"/>
    <s v="GRAB - PL Grabica"/>
    <n v="33"/>
    <n v="0"/>
    <n v="0"/>
    <n v="0"/>
    <s v="1  01"/>
    <x v="1"/>
    <m/>
    <s v="30/10/2025 19:00-19:00"/>
    <s v="WPR119AE"/>
    <n v="0"/>
    <m/>
    <s v="No"/>
    <s v="Shipped/Received"/>
    <s v="Direct"/>
    <m/>
    <m/>
    <m/>
    <s v="HAPSDCPL20251027-02"/>
    <m/>
    <m/>
    <s v="No"/>
    <n v="5019262447"/>
    <s v="WPR3422T"/>
    <s v="Wrona Witold "/>
    <m/>
  </r>
  <r>
    <x v="0"/>
    <x v="0"/>
    <x v="4"/>
    <x v="18"/>
    <d v="2025-10-27T19:00:00"/>
    <s v="0006091292_4900"/>
    <s v="Loading"/>
    <n v="457455"/>
    <s v="Primary flows"/>
    <s v="ECS FOR SN 3PO"/>
    <m/>
    <m/>
    <s v="No"/>
    <s v="NL Haps DC (DSV)"/>
    <s v="GREZ - IT Grezzago (Pozzuolo Martesana)"/>
    <n v="33"/>
    <n v="0"/>
    <n v="0"/>
    <n v="0"/>
    <s v="1  01"/>
    <x v="3"/>
    <m/>
    <s v="29/10/2025 19:00-19:00"/>
    <m/>
    <n v="0"/>
    <m/>
    <s v="No"/>
    <s v="Shipped/Received"/>
    <s v="Direct"/>
    <m/>
    <m/>
    <m/>
    <s v="HAPSDCIT20251023-01"/>
    <m/>
    <m/>
    <s v="No"/>
    <n v="5019247083"/>
    <m/>
    <m/>
    <m/>
  </r>
  <r>
    <x v="0"/>
    <x v="0"/>
    <x v="4"/>
    <x v="19"/>
    <d v="2025-10-28T06:00:00"/>
    <s v="0006111417_4900"/>
    <s v="Loading"/>
    <n v="464631"/>
    <s v="Primary flows"/>
    <s v="SAMSKIP FOR SN 3PO"/>
    <m/>
    <m/>
    <s v="No"/>
    <s v="NL Haps DC (DSV)"/>
    <s v="REDD - GB Redditch"/>
    <n v="33"/>
    <n v="0"/>
    <n v="0"/>
    <n v="0"/>
    <s v="1  01"/>
    <x v="1"/>
    <m/>
    <s v="31/10/2025 18:00-18:00"/>
    <m/>
    <n v="0"/>
    <m/>
    <s v="No"/>
    <s v="Shipped/Received"/>
    <s v="Direct"/>
    <m/>
    <m/>
    <m/>
    <s v="HAPSDCUK20251028-03"/>
    <m/>
    <m/>
    <s v="No"/>
    <n v="5019272603"/>
    <m/>
    <m/>
    <m/>
  </r>
  <r>
    <x v="0"/>
    <x v="0"/>
    <x v="4"/>
    <x v="19"/>
    <d v="2025-10-28T06:00:00"/>
    <s v="374492_OOS"/>
    <s v="Loading"/>
    <s v="CN-SEA-6102020_OOS"/>
    <s v="Aval non piloté_EN"/>
    <s v="MAERSK - Control Tower"/>
    <m/>
    <m/>
    <s v="No"/>
    <s v="NL Haps DC (DSV)"/>
    <s v="OOS_OUT - Delivery OOS"/>
    <n v="20"/>
    <n v="0"/>
    <n v="0"/>
    <n v="0"/>
    <n v="5019199891"/>
    <x v="0"/>
    <m/>
    <s v="29/10/2025 00:02-00:02"/>
    <m/>
    <n v="0"/>
    <m/>
    <s v="No"/>
    <s v="Shipped/Received"/>
    <s v="Direct"/>
    <m/>
    <m/>
    <s v="3POeuropect@lns.maersk.com"/>
    <m/>
    <m/>
    <m/>
    <s v="No"/>
    <s v="&amp;nbsp"/>
    <m/>
    <m/>
    <n v="260831726"/>
  </r>
  <r>
    <x v="0"/>
    <x v="0"/>
    <x v="4"/>
    <x v="19"/>
    <d v="2025-10-28T07:00:00"/>
    <s v="377813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s v="5019272064   5019282849"/>
    <x v="2"/>
    <m/>
    <s v="29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07:00:00"/>
    <s v="374494_OOS"/>
    <s v="Loading"/>
    <s v="CN-SEA-6102091_OOS"/>
    <s v="Aval non piloté_EN"/>
    <s v="Maersk - Control Tower"/>
    <m/>
    <m/>
    <s v="No"/>
    <s v="NL Haps DC (DSV)"/>
    <s v="OOS_OUT - Delivery OOS"/>
    <n v="20"/>
    <n v="0"/>
    <n v="0"/>
    <n v="0"/>
    <n v="5019194313"/>
    <x v="0"/>
    <m/>
    <s v="29/10/2025 00:02-00:02"/>
    <m/>
    <n v="0"/>
    <m/>
    <s v="No"/>
    <s v="Shipped/Received"/>
    <s v="Direct"/>
    <m/>
    <m/>
    <s v="3POeuropect@lns.maersk.com"/>
    <m/>
    <m/>
    <m/>
    <s v="No"/>
    <s v="&amp;nbsp"/>
    <m/>
    <m/>
    <n v="260831726"/>
  </r>
  <r>
    <x v="0"/>
    <x v="0"/>
    <x v="4"/>
    <x v="19"/>
    <d v="2025-10-28T07:00:00"/>
    <s v="0006111416_4900"/>
    <s v="Loading"/>
    <n v="464660"/>
    <s v="Primary flows"/>
    <s v="SAMSKIP FOR SN 3PO"/>
    <m/>
    <m/>
    <s v="No"/>
    <s v="NL Haps DC (DSV)"/>
    <s v="REDD - GB Redditch"/>
    <n v="33"/>
    <n v="0"/>
    <n v="0"/>
    <n v="0"/>
    <s v="1  01"/>
    <x v="1"/>
    <m/>
    <s v="03/11/2025 23:00-23:00"/>
    <m/>
    <n v="0"/>
    <m/>
    <s v="No"/>
    <s v="Shipped/Received"/>
    <s v="Direct"/>
    <m/>
    <m/>
    <m/>
    <s v="HAPSDCUK20251028-02"/>
    <m/>
    <m/>
    <s v="No"/>
    <n v="5019269497"/>
    <m/>
    <m/>
    <m/>
  </r>
  <r>
    <x v="0"/>
    <x v="0"/>
    <x v="4"/>
    <x v="19"/>
    <d v="2025-10-28T07:00:00"/>
    <s v="0006091314_4900"/>
    <s v="Loading"/>
    <n v="457444"/>
    <s v="Primary flows"/>
    <s v="LOGISTA FOR SN 3PO"/>
    <m/>
    <m/>
    <s v="No"/>
    <s v="NL Haps DC (DSV)"/>
    <s v="CIE2 - ES Ciempozuelos SN"/>
    <n v="33"/>
    <n v="0"/>
    <n v="0"/>
    <n v="0"/>
    <s v="1  01"/>
    <x v="3"/>
    <m/>
    <s v="31/10/2025 09:00-09:00"/>
    <s v="R0207BCW"/>
    <n v="0"/>
    <m/>
    <s v="No"/>
    <s v="Shipped/Received"/>
    <s v="Direct"/>
    <m/>
    <m/>
    <m/>
    <s v="HAPSDCES20251024-02"/>
    <m/>
    <m/>
    <s v="No"/>
    <n v="5019251292"/>
    <s v="9687MBZ"/>
    <s v="ABDEL"/>
    <m/>
  </r>
  <r>
    <x v="0"/>
    <x v="0"/>
    <x v="4"/>
    <x v="19"/>
    <d v="2025-10-28T08:00:00"/>
    <s v="374649_OOS"/>
    <s v="Loading"/>
    <s v="IL - SEA_OOS"/>
    <s v="Aval non piloté_EN"/>
    <s v="GEODIS"/>
    <m/>
    <m/>
    <s v="No"/>
    <s v="NL Haps DC (DSV)"/>
    <s v="OOS_OUT - Delivery OOS"/>
    <n v="23"/>
    <n v="0"/>
    <n v="0"/>
    <n v="0"/>
    <s v="5019017342 5019091046 5019007593 5019191100 5019027880 5019107292 "/>
    <x v="0"/>
    <m/>
    <s v="29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MEGAPHARM"/>
    <s v="SRTMS183038"/>
  </r>
  <r>
    <x v="0"/>
    <x v="0"/>
    <x v="4"/>
    <x v="19"/>
    <d v="2025-10-28T08:00:00"/>
    <s v="375007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64616 5018757989 5018824700 5019093693 5019088146 5019107312 "/>
    <x v="0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08:00:00"/>
    <s v="376615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08396 LZV"/>
    <x v="1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09:00:00"/>
    <s v="377631_OOS"/>
    <s v="Loading"/>
    <s v="Kivits Elshout - ROAD_OOS"/>
    <s v="Aval non piloté_EN"/>
    <s v="Koopman Cargo B.V."/>
    <m/>
    <m/>
    <s v="No"/>
    <s v="NL Haps DC (DSV)"/>
    <s v="OOS_OUT - Delivery OOS"/>
    <n v="33"/>
    <n v="0"/>
    <n v="0"/>
    <n v="0"/>
    <n v="4505795486"/>
    <x v="0"/>
    <m/>
    <s v="29/10/2025 12:00-12:00"/>
    <m/>
    <n v="0"/>
    <m/>
    <s v="No"/>
    <s v="Shipped/Received"/>
    <s v="Direct"/>
    <m/>
    <m/>
    <s v="va-planning@koopman.nl"/>
    <m/>
    <m/>
    <m/>
    <s v="No"/>
    <s v="&amp;nbsp"/>
    <m/>
    <m/>
    <m/>
  </r>
  <r>
    <x v="0"/>
    <x v="0"/>
    <x v="4"/>
    <x v="19"/>
    <d v="2025-10-28T09:00:00"/>
    <s v="376933_OOS"/>
    <s v="Loading"/>
    <s v="Scrap Denkavit - ROAD_OOS"/>
    <s v="Aval non piloté_EN"/>
    <s v="Denkavit"/>
    <m/>
    <m/>
    <s v="No"/>
    <s v="NL Haps DC (DSV)"/>
    <s v="OOS_OUT - Delivery OOS"/>
    <n v="29"/>
    <n v="0"/>
    <n v="0"/>
    <n v="0"/>
    <s v="90030308 (PO 17292369)"/>
    <x v="0"/>
    <m/>
    <s v="29/10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0"/>
    <x v="4"/>
    <x v="19"/>
    <d v="2025-10-28T09:00:00"/>
    <s v="375833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220728"/>
    <x v="0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10:00:00"/>
    <s v="377340_OOS"/>
    <s v="Loading"/>
    <s v="IQ-SEA_OOS"/>
    <s v="Aval non piloté_EN"/>
    <s v="EXW"/>
    <m/>
    <m/>
    <s v="No"/>
    <s v="NL Haps DC (DSV)"/>
    <s v="OOS_OUT - Delivery OOS"/>
    <n v="18"/>
    <n v="0"/>
    <n v="0"/>
    <n v="0"/>
    <n v="5019093695"/>
    <x v="0"/>
    <m/>
    <s v="29/10/2025 12:00-12:00"/>
    <m/>
    <n v="0"/>
    <m/>
    <s v="No"/>
    <s v="Shipped/Received"/>
    <s v="Direct"/>
    <m/>
    <m/>
    <s v="feisal.ally@danone.com"/>
    <m/>
    <m/>
    <m/>
    <s v="No"/>
    <s v="&amp;nbsp"/>
    <m/>
    <m/>
    <m/>
  </r>
  <r>
    <x v="0"/>
    <x v="0"/>
    <x v="4"/>
    <x v="19"/>
    <d v="2025-10-28T10:00:00"/>
    <s v="377549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57677"/>
    <x v="0"/>
    <m/>
    <s v="29/10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0"/>
    <x v="4"/>
    <x v="19"/>
    <d v="2025-10-28T10:00:00"/>
    <s v="0006104678_4900"/>
    <s v="Loading"/>
    <n v="462528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04/11/2025 23:00-23:00"/>
    <m/>
    <n v="0"/>
    <m/>
    <s v="No"/>
    <s v="Shipped/Received"/>
    <s v="Direct"/>
    <m/>
    <m/>
    <m/>
    <s v="HAPSDCIE20251028-01"/>
    <m/>
    <m/>
    <s v="No"/>
    <n v="5019257185"/>
    <m/>
    <m/>
    <m/>
  </r>
  <r>
    <x v="0"/>
    <x v="0"/>
    <x v="4"/>
    <x v="19"/>
    <d v="2025-10-28T11:00:00"/>
    <s v="377447_OOS"/>
    <s v="Loading"/>
    <s v="CN-AIR_OOS"/>
    <s v="Aval non piloté_EN"/>
    <s v="GEODIS"/>
    <m/>
    <m/>
    <s v="No"/>
    <s v="NL Haps DC (DSV)"/>
    <s v="OOS_OUT - Delivery OOS"/>
    <n v="7"/>
    <n v="0"/>
    <n v="0"/>
    <n v="0"/>
    <s v="HK 5019259116 (7PL)"/>
    <x v="2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11:00:00"/>
    <s v="0006111419_4900"/>
    <s v="Loading"/>
    <n v="464645"/>
    <s v="Primary flows"/>
    <s v="SAMSKIP FOR SN 3PO"/>
    <m/>
    <m/>
    <s v="No"/>
    <s v="NL Haps DC (DSV)"/>
    <s v="REDD - GB Redditch"/>
    <n v="33"/>
    <n v="0"/>
    <n v="0"/>
    <n v="0"/>
    <s v="1  01"/>
    <x v="1"/>
    <m/>
    <s v="07/11/2025 17:00-17:00"/>
    <m/>
    <n v="0"/>
    <m/>
    <s v="No"/>
    <s v="Shipped/Received"/>
    <s v="Direct"/>
    <m/>
    <m/>
    <m/>
    <s v="HAPSDCUK20251028-05"/>
    <m/>
    <m/>
    <s v="No"/>
    <n v="5019257314"/>
    <m/>
    <m/>
    <m/>
  </r>
  <r>
    <x v="0"/>
    <x v="0"/>
    <x v="4"/>
    <x v="19"/>
    <d v="2025-10-28T11:00:00"/>
    <s v="375834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232630"/>
    <x v="0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11:00:00"/>
    <s v="377163_OOS"/>
    <s v="Loading"/>
    <s v="NWW-ROAD_OOS"/>
    <s v="Aval non piloté_EN"/>
    <s v="Kuehne   Nagel Logistics B.V."/>
    <m/>
    <m/>
    <s v="No"/>
    <s v="NL Haps DC (DSV)"/>
    <s v="OOS_OUT - Delivery OOS"/>
    <n v="30"/>
    <n v="0"/>
    <n v="0"/>
    <n v="0"/>
    <s v="5018749690   5018916960"/>
    <x v="0"/>
    <m/>
    <s v="29/10/2025 12:00-12:00"/>
    <m/>
    <n v="0"/>
    <m/>
    <s v="No"/>
    <s v="Shipped/Received"/>
    <s v="Direct"/>
    <m/>
    <m/>
    <s v="diana.topalova@kuehne-nagel.com"/>
    <m/>
    <m/>
    <m/>
    <s v="No"/>
    <s v="&amp;nbsp"/>
    <m/>
    <m/>
    <m/>
  </r>
  <r>
    <x v="0"/>
    <x v="0"/>
    <x v="4"/>
    <x v="19"/>
    <d v="2025-10-28T12:00:00"/>
    <s v="0006111418_4900"/>
    <s v="Loading"/>
    <n v="464658"/>
    <s v="Primary flows"/>
    <s v="SAMSKIP FOR SN 3PO"/>
    <m/>
    <m/>
    <s v="No"/>
    <s v="NL Haps DC (DSV)"/>
    <s v="REDD - GB Redditch"/>
    <n v="33"/>
    <n v="0"/>
    <n v="0"/>
    <n v="0"/>
    <s v="1  01"/>
    <x v="1"/>
    <m/>
    <s v="07/11/2025 17:00-17:00"/>
    <m/>
    <n v="0"/>
    <m/>
    <s v="No"/>
    <s v="Shipped/Received"/>
    <s v="Direct"/>
    <m/>
    <m/>
    <m/>
    <s v="HAPSDCUK20251028-04"/>
    <m/>
    <m/>
    <s v="No"/>
    <n v="5019257313"/>
    <m/>
    <m/>
    <m/>
  </r>
  <r>
    <x v="0"/>
    <x v="0"/>
    <x v="4"/>
    <x v="19"/>
    <d v="2025-10-28T12:00:00"/>
    <s v="0006111420_4900"/>
    <s v="Loading"/>
    <n v="464667"/>
    <s v="Primary flows"/>
    <s v="EMONS FOR SN 3PO"/>
    <m/>
    <m/>
    <s v="No"/>
    <s v="NL Haps DC (DSV)"/>
    <s v="REDD - GB Redditch"/>
    <n v="33"/>
    <n v="0"/>
    <n v="0"/>
    <n v="0"/>
    <s v="1  01"/>
    <x v="1"/>
    <m/>
    <s v="29/10/2025 16:00-16:00"/>
    <m/>
    <n v="0"/>
    <m/>
    <s v="No"/>
    <s v="Shipped/Received"/>
    <s v="Direct"/>
    <m/>
    <m/>
    <m/>
    <s v="HAPSDCUK20251028-06"/>
    <m/>
    <m/>
    <s v="No"/>
    <n v="5019271813"/>
    <m/>
    <m/>
    <m/>
  </r>
  <r>
    <x v="0"/>
    <x v="0"/>
    <x v="4"/>
    <x v="19"/>
    <d v="2025-10-28T12:00:00"/>
    <s v="373447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49925"/>
    <x v="0"/>
    <m/>
    <s v="29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4"/>
    <x v="19"/>
    <d v="2025-10-28T13:00:00"/>
    <s v="0006109792_4900"/>
    <s v="Loading"/>
    <s v="465995 / 463934 / 463933 / 463932 / 465994 / 463931 / 463930 / 463929"/>
    <s v="Primary flows / Primary flows / Primary flows / Primary flows / Primary flows / Primary flows / Primary flows / Primary flows"/>
    <s v="GEFCO FOR SN 3PO"/>
    <m/>
    <m/>
    <s v="No"/>
    <s v="NL Haps DC (DSV)"/>
    <s v="ZAGR - HR Zagreb / ZAGR - HR Zagreb / ZAGR - HR Zagreb / ZAGR - HR Zagreb / LJUB - SI Ljubljana / LJUB - SI Ljubljana / LJUB - SI Ljubljana / LJUB - SI Ljubljana"/>
    <n v="32"/>
    <n v="0"/>
    <n v="0"/>
    <n v="0"/>
    <s v="1  01"/>
    <x v="0"/>
    <m/>
    <s v="30/10/2025 16:00-16:00 / 29/10/2025 16:00-16:00"/>
    <s v="LJ-01-EPT"/>
    <n v="0"/>
    <m/>
    <s v="No"/>
    <s v="Shipped/Received"/>
    <s v="Direct"/>
    <s v=" /  /  /  /  /  /  / "/>
    <s v=" /  /  /  /  /  /  / "/>
    <m/>
    <s v="HAPSDCBG20251028-01 / HAPSDCBG20251028-01 / HAPSDCBG20251028-01 / HAPSDCBG20251028-01 / HAPSDCBG20251028-01 / HAPSDCBG20251028-01 / HAPSDCBG20251028-01 / HAPSDCBG20251028-01"/>
    <m/>
    <m/>
    <s v="No"/>
    <s v="5019268156 / 5019228037 / 5019189412 / 5019111676 / 5019277575 / 5019239057 / 5019175714 / 5019136640"/>
    <s v="LJ-29-DSK"/>
    <s v="Milo? Mitrovi?"/>
    <m/>
  </r>
  <r>
    <x v="0"/>
    <x v="0"/>
    <x v="4"/>
    <x v="19"/>
    <d v="2025-10-28T13:00:00"/>
    <s v="372823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6017"/>
    <x v="0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13:00:00"/>
    <s v="0006111415_4900"/>
    <s v="Loading"/>
    <n v="464661"/>
    <s v="Primary flows"/>
    <s v="LKW WALTER FOR SN 3PO"/>
    <m/>
    <m/>
    <s v="No"/>
    <s v="NL Haps DC (DSV)"/>
    <s v="REDD - GB Redditch"/>
    <n v="33"/>
    <n v="0"/>
    <n v="0"/>
    <n v="0"/>
    <s v="1  01"/>
    <x v="1"/>
    <m/>
    <s v="30/10/2025 16:00-16:00"/>
    <m/>
    <n v="0"/>
    <m/>
    <s v="No"/>
    <s v="Shipped/Received"/>
    <s v="Direct"/>
    <m/>
    <m/>
    <m/>
    <s v="HAPSDCUK20251028-01"/>
    <m/>
    <m/>
    <s v="No"/>
    <n v="5019269496"/>
    <m/>
    <m/>
    <m/>
  </r>
  <r>
    <x v="0"/>
    <x v="0"/>
    <x v="4"/>
    <x v="19"/>
    <d v="2025-10-28T14:00:00"/>
    <s v="377521_OOS"/>
    <s v="Loading"/>
    <s v="CN-AIR_OOS"/>
    <s v="Aval non piloté_EN"/>
    <s v="GEODIS"/>
    <m/>
    <m/>
    <s v="No"/>
    <s v="NL Haps DC (DSV)"/>
    <s v="OOS_OUT - Delivery OOS"/>
    <n v="9"/>
    <n v="0"/>
    <n v="0"/>
    <n v="0"/>
    <s v="CN 5019286523"/>
    <x v="2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14:00:00"/>
    <s v="372827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69982"/>
    <x v="0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14:00:00"/>
    <s v="0006104668_4900"/>
    <s v="Loading"/>
    <n v="462536"/>
    <s v="Primary flows"/>
    <s v="PIOMAR FOR SN 3PO"/>
    <m/>
    <m/>
    <s v="No"/>
    <s v="NL Haps DC (DSV)"/>
    <s v="RICA - CZ Ricany DC2 Ambient WH"/>
    <n v="33"/>
    <n v="0"/>
    <n v="0"/>
    <n v="0"/>
    <s v="1  01"/>
    <x v="1"/>
    <m/>
    <s v="31/10/2025 07:00-07:00"/>
    <m/>
    <n v="0"/>
    <m/>
    <s v="No"/>
    <s v="Shipped/Received"/>
    <s v="Direct"/>
    <m/>
    <m/>
    <m/>
    <s v="HAPSDCCZ20251028-01"/>
    <m/>
    <m/>
    <s v="No"/>
    <n v="5019253667"/>
    <m/>
    <m/>
    <m/>
  </r>
  <r>
    <x v="0"/>
    <x v="0"/>
    <x v="4"/>
    <x v="19"/>
    <d v="2025-10-28T15:00:00"/>
    <s v="0006104667_4900"/>
    <s v="Loading"/>
    <s v="465859 / 465705 / 464071"/>
    <s v="Primary flows / Primary flows / Primary flows"/>
    <s v="HELLMANN FOR SN 3PO"/>
    <m/>
    <m/>
    <s v="No"/>
    <s v="NL Haps DC (DSV)"/>
    <s v="NEUE - CH Neuendorf (MURPF) SN / NEUE - CH Neuendorf (MURPF) SN / NEUE - CH Neuendorf (MURPF) SN"/>
    <n v="99"/>
    <n v="0"/>
    <n v="0"/>
    <n v="0"/>
    <s v="1  01"/>
    <x v="1"/>
    <m/>
    <s v="30/10/2025 13:30-13:30"/>
    <m/>
    <n v="0"/>
    <m/>
    <s v="No"/>
    <s v="Shipped/Received"/>
    <s v="Direct"/>
    <s v=" /  / "/>
    <s v=" /  / "/>
    <m/>
    <s v="HAPSDCCH20251028-01 / HAPSDCCH20251028-01 / HAPSDCCH20251028-01"/>
    <m/>
    <m/>
    <s v="No"/>
    <s v="5019273171 / 5019271847 / 5019257184"/>
    <m/>
    <m/>
    <m/>
  </r>
  <r>
    <x v="0"/>
    <x v="0"/>
    <x v="4"/>
    <x v="19"/>
    <d v="2025-10-28T15:00:00"/>
    <s v="372828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9165"/>
    <x v="0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15:00:00"/>
    <s v="0006104675_4900"/>
    <s v="Loading"/>
    <n v="462513"/>
    <s v="Primary flows"/>
    <s v="ECS FOR SN 3PO"/>
    <m/>
    <m/>
    <s v="No"/>
    <s v="NL Haps DC (DSV)"/>
    <s v="MOUS - FR Moussy-Le-Neuf"/>
    <n v="33"/>
    <n v="0"/>
    <n v="0"/>
    <n v="0"/>
    <s v="1  01"/>
    <x v="1"/>
    <m/>
    <s v="29/10/2025 10:30-10:30"/>
    <m/>
    <n v="0"/>
    <m/>
    <s v="No"/>
    <s v="Shipped/Received"/>
    <s v="Direct"/>
    <m/>
    <m/>
    <m/>
    <s v="HAPSDCFR20251028-01"/>
    <m/>
    <m/>
    <s v="No"/>
    <n v="5019261626"/>
    <m/>
    <m/>
    <m/>
  </r>
  <r>
    <x v="0"/>
    <x v="0"/>
    <x v="4"/>
    <x v="19"/>
    <d v="2025-10-28T15:00:00"/>
    <s v="375793_OOS"/>
    <s v="Loading"/>
    <s v="AIR - IL_OOS"/>
    <s v="Aval non piloté_EN"/>
    <s v="GEODIS"/>
    <m/>
    <m/>
    <s v="No"/>
    <s v="NL Haps DC (DSV)"/>
    <s v="OOS_OUT - Delivery OOS"/>
    <n v="2"/>
    <n v="0"/>
    <n v="0"/>
    <n v="0"/>
    <s v="5019060719+5019176019 (2 PLT IL) 5019195663+5019210762 (5 PLT HK)"/>
    <x v="2"/>
    <m/>
    <s v="29/10/2025 12:00-12:00"/>
    <m/>
    <n v="0"/>
    <m/>
    <s v="No"/>
    <s v="Shipped/Received"/>
    <s v="Direct"/>
    <m/>
    <m/>
    <s v="tom.bloos@geodis.com"/>
    <m/>
    <m/>
    <m/>
    <s v="No"/>
    <s v="&amp;nbsp"/>
    <m/>
    <m/>
    <m/>
  </r>
  <r>
    <x v="0"/>
    <x v="0"/>
    <x v="4"/>
    <x v="19"/>
    <d v="2025-10-28T16:00:00"/>
    <s v="376458_OOS"/>
    <s v="Loading"/>
    <s v="NWW-ROAD_OOS"/>
    <s v="Aval non piloté_EN"/>
    <s v="Kuehne   Nagel Logistics B.V."/>
    <m/>
    <m/>
    <s v="No"/>
    <s v="NL Haps DC (DSV)"/>
    <s v="OOS_OUT - Delivery OOS"/>
    <n v="30"/>
    <n v="0"/>
    <n v="0"/>
    <n v="0"/>
    <n v="5019267641"/>
    <x v="0"/>
    <m/>
    <s v="29/10/2025 12:00-12:00"/>
    <m/>
    <n v="0"/>
    <m/>
    <s v="No"/>
    <s v="Shipped/Received"/>
    <s v="Direct"/>
    <m/>
    <m/>
    <s v="diana.topalova@kuehne-nagel.com"/>
    <m/>
    <m/>
    <m/>
    <s v="No"/>
    <s v="&amp;nbsp"/>
    <m/>
    <m/>
    <m/>
  </r>
  <r>
    <x v="0"/>
    <x v="0"/>
    <x v="4"/>
    <x v="19"/>
    <d v="2025-10-28T16:00:00"/>
    <s v="0006104674_4900"/>
    <s v="Loading"/>
    <n v="462520"/>
    <s v="Primary flows"/>
    <s v="P AND O FOR SN 3PO"/>
    <m/>
    <m/>
    <s v="No"/>
    <s v="NL Haps DC (DSV)"/>
    <s v="TAMP - FI Tampere"/>
    <n v="33"/>
    <n v="0"/>
    <n v="0"/>
    <n v="0"/>
    <s v="1  01"/>
    <x v="1"/>
    <m/>
    <s v="04/11/2025 16:00-16:00"/>
    <m/>
    <n v="0"/>
    <m/>
    <s v="No"/>
    <s v="Shipped/Received"/>
    <s v="Direct"/>
    <m/>
    <m/>
    <m/>
    <s v="HAPSDCFI20251028-01"/>
    <m/>
    <m/>
    <s v="No"/>
    <n v="5019260712"/>
    <m/>
    <m/>
    <m/>
  </r>
  <r>
    <x v="0"/>
    <x v="0"/>
    <x v="4"/>
    <x v="19"/>
    <d v="2025-10-28T16:00:00"/>
    <s v="372829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5972"/>
    <x v="0"/>
    <m/>
    <s v="29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19"/>
    <d v="2025-10-28T16:00:00"/>
    <s v="0006104671_4900"/>
    <s v="Loading"/>
    <n v="462504"/>
    <s v="Primary flows"/>
    <s v="LKW WALTER FOR SN 3PO"/>
    <m/>
    <m/>
    <s v="No"/>
    <s v="NL Haps DC (DSV)"/>
    <s v="ALZE - DE Alzenau"/>
    <n v="33"/>
    <n v="0"/>
    <n v="0"/>
    <n v="0"/>
    <s v="1  01"/>
    <x v="1"/>
    <m/>
    <s v="29/10/2025 07:00-07:00"/>
    <m/>
    <n v="0"/>
    <m/>
    <s v="No"/>
    <s v="Shipped/Received"/>
    <s v="Direct"/>
    <m/>
    <m/>
    <m/>
    <s v="HAPSDCDE20251028-03"/>
    <m/>
    <m/>
    <s v="No"/>
    <n v="5019262857"/>
    <m/>
    <m/>
    <m/>
  </r>
  <r>
    <x v="0"/>
    <x v="0"/>
    <x v="4"/>
    <x v="19"/>
    <d v="2025-10-28T17:00:00"/>
    <s v="0006104677_4900"/>
    <s v="Loading"/>
    <n v="462538"/>
    <s v="Primary flows"/>
    <s v="ECS FOR SN 3PO"/>
    <m/>
    <m/>
    <s v="No"/>
    <s v="NL Haps DC (DSV)"/>
    <s v="MOUS - FR Moussy-Le-Neuf"/>
    <n v="33"/>
    <n v="0"/>
    <n v="0"/>
    <n v="0"/>
    <s v="1  01"/>
    <x v="1"/>
    <m/>
    <s v="29/10/2025 13:00-13:00"/>
    <m/>
    <n v="0"/>
    <m/>
    <s v="No"/>
    <s v="Shipped/Received"/>
    <s v="Direct"/>
    <m/>
    <m/>
    <m/>
    <s v="HAPSDCFR20251028-03"/>
    <m/>
    <m/>
    <s v="No"/>
    <n v="5019276800"/>
    <m/>
    <m/>
    <m/>
  </r>
  <r>
    <x v="0"/>
    <x v="0"/>
    <x v="4"/>
    <x v="19"/>
    <d v="2025-10-28T17:00:00"/>
    <s v="377448_OOS"/>
    <s v="Loading"/>
    <s v="Scrap Kwaliflex - ROAD_OOS"/>
    <s v="Aval non piloté_EN"/>
    <s v="Kwaliflex"/>
    <m/>
    <m/>
    <s v="No"/>
    <s v="NL Haps DC (DSV)"/>
    <s v="OOS_OUT - Delivery OOS"/>
    <n v="32"/>
    <n v="0"/>
    <n v="0"/>
    <n v="0"/>
    <n v="90014139"/>
    <x v="0"/>
    <m/>
    <s v="29/10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0"/>
    <x v="4"/>
    <x v="19"/>
    <d v="2025-10-28T17:00:00"/>
    <s v="0006104676_4900"/>
    <s v="Loading"/>
    <n v="462499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29/10/2025 08:00-08:00"/>
    <m/>
    <n v="0"/>
    <m/>
    <s v="No"/>
    <s v="Shipped/Received"/>
    <s v="Direct"/>
    <m/>
    <m/>
    <m/>
    <s v="HAPSDCFR20251028-02"/>
    <m/>
    <m/>
    <s v="No"/>
    <n v="5019275605"/>
    <m/>
    <m/>
    <m/>
  </r>
  <r>
    <x v="0"/>
    <x v="0"/>
    <x v="4"/>
    <x v="19"/>
    <d v="2025-10-28T18:00:00"/>
    <s v="377449_OOS"/>
    <s v="Loading"/>
    <s v="Scrap Kwaliflex - ROAD_OOS"/>
    <s v="Aval non piloté_EN"/>
    <s v="Kwaliflex"/>
    <m/>
    <m/>
    <s v="No"/>
    <s v="NL Haps DC (DSV)"/>
    <s v="OOS_OUT - Delivery OOS"/>
    <n v="33"/>
    <n v="0"/>
    <n v="0"/>
    <n v="0"/>
    <n v="90010910"/>
    <x v="0"/>
    <m/>
    <s v="29/10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0"/>
    <x v="4"/>
    <x v="19"/>
    <d v="2025-10-28T18:00:00"/>
    <s v="0006113307_4900"/>
    <s v="Loading"/>
    <n v="465247"/>
    <s v="Primary flows"/>
    <s v="PIOMAR FOR SN 3PO"/>
    <m/>
    <m/>
    <s v="No"/>
    <s v="NL Haps DC (DSV)"/>
    <s v="RICA - CZ Ricany DC2 Ambient WH"/>
    <n v="33"/>
    <n v="0"/>
    <n v="0"/>
    <n v="0"/>
    <s v="1  01"/>
    <x v="1"/>
    <m/>
    <s v="30/10/2025 11:00-11:00"/>
    <m/>
    <n v="0"/>
    <m/>
    <s v="No"/>
    <s v="Shipped/Received"/>
    <s v="Direct"/>
    <m/>
    <m/>
    <m/>
    <s v="HAPSDCCZ20251028-02"/>
    <m/>
    <m/>
    <s v="No"/>
    <n v="5019232688"/>
    <m/>
    <m/>
    <m/>
  </r>
  <r>
    <x v="0"/>
    <x v="0"/>
    <x v="4"/>
    <x v="19"/>
    <d v="2025-10-28T18:00:00"/>
    <s v="0006104673_4900"/>
    <s v="Loading"/>
    <s v="465724 / 462512"/>
    <s v="Primary flows / Primary flows"/>
    <s v="KREISS FOR SN 3PO"/>
    <m/>
    <m/>
    <s v="No"/>
    <s v="NL Haps DC (DSV)"/>
    <s v="CIE2 - ES Ciempozuelos SN / CIE2 - ES Ciempozuelos SN"/>
    <n v="66"/>
    <n v="0"/>
    <n v="0"/>
    <n v="0"/>
    <s v="1  01"/>
    <x v="1"/>
    <m/>
    <s v="30/10/2025 14:00-14:00"/>
    <m/>
    <n v="0"/>
    <m/>
    <s v="No"/>
    <s v="Shipped/Received"/>
    <s v="Direct"/>
    <s v=" / "/>
    <s v=" / "/>
    <m/>
    <s v="HAPSDCES20251028-02 / HAPSDCES20251028-02"/>
    <m/>
    <m/>
    <s v="No"/>
    <s v="5019266373 / 5019257511"/>
    <m/>
    <m/>
    <m/>
  </r>
  <r>
    <x v="0"/>
    <x v="0"/>
    <x v="4"/>
    <x v="19"/>
    <d v="2025-10-28T19:00:00"/>
    <s v="0006104672_4900"/>
    <s v="Loading"/>
    <n v="462519"/>
    <s v="Primary flows"/>
    <s v="FERCAM AUSTRIA FOR SN 3PO"/>
    <m/>
    <m/>
    <s v="No"/>
    <s v="NL Haps DC (DSV)"/>
    <s v="CIE2 - ES Ciempozuelos SN"/>
    <n v="33"/>
    <n v="0"/>
    <n v="0"/>
    <n v="0"/>
    <s v="1  01"/>
    <x v="1"/>
    <m/>
    <s v="30/10/2025 09:00-09:00"/>
    <m/>
    <n v="0"/>
    <m/>
    <s v="No"/>
    <s v="Shipped/Received"/>
    <s v="Direct"/>
    <m/>
    <m/>
    <m/>
    <s v="HAPSDCES20251028-01"/>
    <m/>
    <m/>
    <s v="No"/>
    <n v="5019272802"/>
    <m/>
    <m/>
    <m/>
  </r>
  <r>
    <x v="0"/>
    <x v="0"/>
    <x v="4"/>
    <x v="19"/>
    <d v="2025-10-28T19:00:00"/>
    <s v="0006104682_4900"/>
    <s v="Loading"/>
    <n v="462507"/>
    <s v="Primary flows"/>
    <s v="VLANTANA FOR SN 3PO"/>
    <m/>
    <m/>
    <s v="No"/>
    <s v="NL Haps DC (DSV)"/>
    <s v="RIGA - LV Riga (EUGESTA SIA)"/>
    <n v="33"/>
    <n v="0"/>
    <n v="0"/>
    <n v="0"/>
    <s v="1  01"/>
    <x v="1"/>
    <m/>
    <s v="31/10/2025 13:30-13:30"/>
    <m/>
    <n v="0"/>
    <m/>
    <s v="No"/>
    <s v="Shipped/Received"/>
    <s v="Direct"/>
    <m/>
    <m/>
    <m/>
    <s v="HAPSDCLV20251028-01"/>
    <m/>
    <m/>
    <s v="No"/>
    <n v="5019260193"/>
    <m/>
    <m/>
    <m/>
  </r>
  <r>
    <x v="0"/>
    <x v="0"/>
    <x v="4"/>
    <x v="19"/>
    <d v="2025-10-28T20:00:00"/>
    <s v="0006104685_4900"/>
    <s v="Loading"/>
    <n v="462505"/>
    <s v="Primary flows"/>
    <s v="DSV DK FOR SN 3PO"/>
    <m/>
    <m/>
    <s v="No"/>
    <s v="NL Haps DC (DSV)"/>
    <s v="HELS - SE Helsingborg"/>
    <n v="33"/>
    <n v="0"/>
    <n v="0"/>
    <n v="0"/>
    <s v="1  01"/>
    <x v="1"/>
    <m/>
    <s v="30/10/2025 15:00-15:00"/>
    <m/>
    <n v="0"/>
    <m/>
    <s v="No"/>
    <s v="Shipped/Received"/>
    <s v="Direct"/>
    <m/>
    <m/>
    <m/>
    <s v="HAPSDCSE20251028-01"/>
    <m/>
    <m/>
    <s v="No"/>
    <n v="5019257944"/>
    <m/>
    <m/>
    <m/>
  </r>
  <r>
    <x v="0"/>
    <x v="0"/>
    <x v="4"/>
    <x v="20"/>
    <d v="2025-10-29T06:00:00"/>
    <s v="0006111424_4900"/>
    <s v="Loading"/>
    <n v="464664"/>
    <s v="Primary flows"/>
    <s v="SAMSKIP FOR SN 3PO"/>
    <m/>
    <m/>
    <s v="No"/>
    <s v="NL Haps DC (DSV)"/>
    <s v="REDD - GB Redditch"/>
    <n v="33"/>
    <n v="0"/>
    <n v="0"/>
    <n v="0"/>
    <s v="1  01"/>
    <x v="1"/>
    <m/>
    <s v="07/11/2025 18:00-18:00"/>
    <m/>
    <n v="0"/>
    <m/>
    <s v="No"/>
    <s v="Shipped/Received"/>
    <s v="Direct"/>
    <m/>
    <m/>
    <m/>
    <s v="HAPSDCUK20251029-04"/>
    <m/>
    <m/>
    <s v="No"/>
    <n v="5019285136"/>
    <m/>
    <m/>
    <m/>
  </r>
  <r>
    <x v="0"/>
    <x v="0"/>
    <x v="4"/>
    <x v="20"/>
    <d v="2025-10-29T07:00:00"/>
    <s v="376934_OOS"/>
    <s v="Loading"/>
    <s v="Scrap Denkavit - ROAD_OOS"/>
    <s v="Aval non piloté_EN"/>
    <s v="Denkavit"/>
    <m/>
    <m/>
    <s v="No"/>
    <s v="NL Haps DC (DSV)"/>
    <s v="OOS_OUT - Delivery OOS"/>
    <n v="33"/>
    <n v="0"/>
    <n v="0"/>
    <n v="0"/>
    <s v="90009744 (PO 17292370)"/>
    <x v="3"/>
    <m/>
    <s v="30/10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0"/>
    <x v="4"/>
    <x v="20"/>
    <d v="2025-10-29T07:00:00"/>
    <s v="378241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s v="5019286064 + 5019282849 "/>
    <x v="2"/>
    <m/>
    <s v="30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07:00:00"/>
    <s v="377922_OOS"/>
    <s v="Loading"/>
    <s v="NWW-ROAD_OOS"/>
    <s v="Aval non piloté_EN"/>
    <s v="Globalink Logistics"/>
    <m/>
    <m/>
    <s v="No"/>
    <s v="NL Haps DC (DSV)"/>
    <s v="OOS_OUT - Delivery OOS"/>
    <n v="4"/>
    <n v="0"/>
    <n v="0"/>
    <n v="0"/>
    <s v="5019111910   5019124968 NO-SHOW"/>
    <x v="2"/>
    <m/>
    <s v="30/10/2025 12:00-12:00"/>
    <m/>
    <n v="0"/>
    <m/>
    <s v="No"/>
    <s v="Shipped/Received"/>
    <s v="Direct"/>
    <m/>
    <m/>
    <s v="z.baigabulova@globalinklogistics.com"/>
    <m/>
    <m/>
    <m/>
    <s v="No"/>
    <s v="&amp;nbsp"/>
    <m/>
    <m/>
    <m/>
  </r>
  <r>
    <x v="0"/>
    <x v="0"/>
    <x v="4"/>
    <x v="20"/>
    <d v="2025-10-29T07:00:00"/>
    <s v="376616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09576 LZV"/>
    <x v="1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08:00:00"/>
    <s v="0006104702_4900"/>
    <s v="Loading"/>
    <n v="462564"/>
    <s v="Primary flows"/>
    <s v="SAMSKIP FOR SN 3PO"/>
    <m/>
    <m/>
    <s v="No"/>
    <s v="NL Haps DC (DSV)"/>
    <s v="VEST - NO Vestby Leman"/>
    <n v="33"/>
    <n v="0"/>
    <n v="0"/>
    <n v="0"/>
    <s v="1  01"/>
    <x v="1"/>
    <m/>
    <s v="05/11/2025 15:00-15:00"/>
    <m/>
    <n v="0"/>
    <m/>
    <s v="No"/>
    <s v="Shipped/Received"/>
    <s v="Direct"/>
    <m/>
    <m/>
    <m/>
    <s v="HAPSDCNO20251029-02"/>
    <m/>
    <m/>
    <s v="No"/>
    <n v="5019272339"/>
    <m/>
    <m/>
    <m/>
  </r>
  <r>
    <x v="0"/>
    <x v="0"/>
    <x v="4"/>
    <x v="20"/>
    <d v="2025-10-29T08:00:00"/>
    <s v="375767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217073"/>
    <x v="0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08:00:00"/>
    <s v="377860_OOS"/>
    <s v="Loading"/>
    <s v="NZ-AIR_OOS"/>
    <s v="Aval non piloté_EN"/>
    <s v="HELLMANN"/>
    <m/>
    <m/>
    <s v="No"/>
    <s v="NL Haps DC (DSV)"/>
    <s v="OOS_OUT - Delivery OOS"/>
    <n v="13"/>
    <n v="0"/>
    <n v="0"/>
    <n v="0"/>
    <s v="NZ 5019185144 (13PL)"/>
    <x v="0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09:00:00"/>
    <s v="370407_OOS"/>
    <s v="Loading"/>
    <s v="ZA-SEA-6087545_OOS"/>
    <s v="Aval non piloté_EN"/>
    <s v="Maersk - Control Tower"/>
    <m/>
    <m/>
    <s v="No"/>
    <s v="NL Haps DC (DSV)"/>
    <s v="OOS_OUT - Delivery OOS"/>
    <n v="20"/>
    <n v="0"/>
    <n v="0"/>
    <n v="0"/>
    <s v="5019220099 5019220502"/>
    <x v="0"/>
    <m/>
    <s v="30/10/2025 00:01-00:01"/>
    <m/>
    <n v="0"/>
    <m/>
    <s v="No"/>
    <s v="Shipped/Received"/>
    <s v="Direct"/>
    <m/>
    <m/>
    <s v="nutricia.ct.eu@lns.maersk.com"/>
    <m/>
    <m/>
    <m/>
    <s v="No"/>
    <s v="&amp;nbsp"/>
    <m/>
    <m/>
    <n v="36879541"/>
  </r>
  <r>
    <x v="0"/>
    <x v="0"/>
    <x v="4"/>
    <x v="20"/>
    <d v="2025-10-29T09:00:00"/>
    <s v="0006104701_4900"/>
    <s v="Loading"/>
    <s v="466252 / 462556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05/11/2025 15:00-15:00"/>
    <m/>
    <n v="0"/>
    <m/>
    <s v="No"/>
    <s v="Shipped/Received"/>
    <s v="Direct"/>
    <s v=" / "/>
    <s v=" / "/>
    <m/>
    <s v="HAPSDCNO20251029-01 / HAPSDCNO20251029-01"/>
    <m/>
    <m/>
    <s v="No"/>
    <s v="5019275737 / 5019264386"/>
    <m/>
    <m/>
    <m/>
  </r>
  <r>
    <x v="0"/>
    <x v="0"/>
    <x v="4"/>
    <x v="20"/>
    <d v="2025-10-29T09:00:00"/>
    <s v="37576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33321"/>
    <x v="0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10:00:00"/>
    <s v="370485_OOS"/>
    <s v="Loading"/>
    <s v="BR-SEA-6087534_OOS"/>
    <s v="Aval non piloté_EN"/>
    <s v="MAERSK - Control Tower"/>
    <m/>
    <s v="loaded and shipped  but not yet picked up by the driver"/>
    <s v="No"/>
    <s v="NL Haps DC (DSV)"/>
    <s v="OOS_OUT - Delivery OOS"/>
    <n v="20"/>
    <n v="0"/>
    <n v="0"/>
    <n v="0"/>
    <n v="5019224931"/>
    <x v="0"/>
    <m/>
    <s v="30/10/2025 00:01-00:01"/>
    <m/>
    <n v="0"/>
    <m/>
    <s v="No"/>
    <s v="Save"/>
    <s v="Direct"/>
    <m/>
    <m/>
    <s v="nutricia.ct.eu@lns.maersk.com"/>
    <m/>
    <m/>
    <m/>
    <s v="No"/>
    <s v="&amp;nbsp"/>
    <m/>
    <m/>
    <n v="260366923"/>
  </r>
  <r>
    <x v="0"/>
    <x v="0"/>
    <x v="4"/>
    <x v="20"/>
    <d v="2025-10-29T10:00:00"/>
    <s v="0006104699_4900"/>
    <s v="Loading"/>
    <n v="462548"/>
    <s v="Primary flows"/>
    <s v="SAMSKIP FOR SN 3PO"/>
    <m/>
    <m/>
    <s v="No"/>
    <s v="NL Haps DC (DSV)"/>
    <s v="BELF - IE Belfast (Moviento)"/>
    <n v="33"/>
    <n v="0"/>
    <n v="0"/>
    <n v="0"/>
    <s v="1  01"/>
    <x v="1"/>
    <m/>
    <s v="05/11/2025 16:00-16:00"/>
    <m/>
    <n v="0"/>
    <m/>
    <s v="No"/>
    <s v="Shipped/Received"/>
    <s v="Direct"/>
    <m/>
    <m/>
    <m/>
    <s v="HAPSDCIE20251029-01"/>
    <m/>
    <m/>
    <s v="No"/>
    <n v="5019276296"/>
    <m/>
    <m/>
    <m/>
  </r>
  <r>
    <x v="0"/>
    <x v="0"/>
    <x v="4"/>
    <x v="20"/>
    <d v="2025-10-29T10:00:00"/>
    <s v="377579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66388"/>
    <x v="0"/>
    <m/>
    <s v="30/10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0"/>
    <x v="4"/>
    <x v="20"/>
    <d v="2025-10-29T10:00:00"/>
    <s v="375769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033450 5019090146 5019101364 5019179605 5019211603 5019233548 5018918056 "/>
    <x v="0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11:00:00"/>
    <s v="0006111423_4900"/>
    <s v="Loading"/>
    <n v="464663"/>
    <s v="Primary flows"/>
    <s v="SAMSKIP FOR SN 3PO"/>
    <m/>
    <m/>
    <s v="No"/>
    <s v="NL Haps DC (DSV)"/>
    <s v="REDD - GB Redditch"/>
    <n v="33"/>
    <n v="0"/>
    <n v="0"/>
    <n v="0"/>
    <s v="1  01"/>
    <x v="1"/>
    <m/>
    <s v="07/11/2025 17:00-17:00"/>
    <m/>
    <n v="0"/>
    <m/>
    <s v="No"/>
    <s v="Shipped/Received"/>
    <s v="Direct"/>
    <m/>
    <m/>
    <m/>
    <s v="HAPSDCUK20251029-03"/>
    <m/>
    <m/>
    <s v="No"/>
    <n v="5019271789"/>
    <m/>
    <m/>
    <m/>
  </r>
  <r>
    <x v="0"/>
    <x v="0"/>
    <x v="4"/>
    <x v="20"/>
    <d v="2025-10-29T11:00:00"/>
    <s v="373446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52854"/>
    <x v="0"/>
    <m/>
    <s v="30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4"/>
    <x v="20"/>
    <d v="2025-10-29T11:00:00"/>
    <s v="375016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224543"/>
    <x v="0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11:00:00"/>
    <s v="375654_OOS"/>
    <s v="Loading"/>
    <s v="MU - SEA_OOS"/>
    <s v="Aval non piloté_EN"/>
    <s v="MAERSK"/>
    <m/>
    <m/>
    <s v="No"/>
    <s v="NL Haps DC (DSV)"/>
    <s v="OOS_OUT - Delivery OOS"/>
    <n v="11"/>
    <n v="0"/>
    <n v="0"/>
    <n v="0"/>
    <s v="MU SEA EXW 5019065185   5019101099   5019232479 -11P"/>
    <x v="0"/>
    <m/>
    <s v="30/10/2025 11:00-11:00"/>
    <m/>
    <n v="0"/>
    <m/>
    <s v="No"/>
    <s v="Shipped/Received"/>
    <s v="Direct"/>
    <m/>
    <m/>
    <s v="tomasz.szarmach1@lns.maersk.com"/>
    <m/>
    <m/>
    <m/>
    <s v="No"/>
    <s v="&amp;nbsp"/>
    <m/>
    <m/>
    <m/>
  </r>
  <r>
    <x v="0"/>
    <x v="0"/>
    <x v="4"/>
    <x v="20"/>
    <d v="2025-10-29T12:00:00"/>
    <s v="0006111422_4900"/>
    <s v="Loading"/>
    <n v="464629"/>
    <s v="Primary flows"/>
    <s v="SAMSKIP FOR SN 3PO"/>
    <m/>
    <m/>
    <s v="No"/>
    <s v="NL Haps DC (DSV)"/>
    <s v="REDD - GB Redditch"/>
    <n v="33"/>
    <n v="0"/>
    <n v="0"/>
    <n v="0"/>
    <s v="1  01"/>
    <x v="1"/>
    <m/>
    <s v="03/11/2025 23:00-23:00"/>
    <m/>
    <n v="0"/>
    <m/>
    <s v="No"/>
    <s v="Shipped/Received"/>
    <s v="Direct"/>
    <m/>
    <m/>
    <m/>
    <s v="HAPSDCUK20251029-02"/>
    <m/>
    <m/>
    <s v="No"/>
    <n v="5019263911"/>
    <m/>
    <m/>
    <m/>
  </r>
  <r>
    <x v="0"/>
    <x v="0"/>
    <x v="4"/>
    <x v="20"/>
    <d v="2025-10-29T12:00:00"/>
    <s v="356763_OOS"/>
    <s v="Loading"/>
    <s v="US-SEA-6038632_OOS"/>
    <s v="Aval non piloté_EN"/>
    <s v="MAERSK - Control Tower"/>
    <m/>
    <m/>
    <s v="No"/>
    <s v="NL Haps DC (DSV)"/>
    <s v="OOS_OUT - Delivery OOS"/>
    <n v="20"/>
    <n v="0"/>
    <n v="0"/>
    <n v="0"/>
    <s v="5019183158 5019190660 5019200885 5019201096 "/>
    <x v="0"/>
    <m/>
    <s v="30/10/2025 00:06-00:06"/>
    <m/>
    <n v="0"/>
    <m/>
    <s v="No"/>
    <s v="Shipped/Received"/>
    <s v="Direct"/>
    <m/>
    <m/>
    <s v="3POeuropect@lns.maersk.com"/>
    <m/>
    <m/>
    <m/>
    <s v="No"/>
    <s v="&amp;nbsp"/>
    <m/>
    <m/>
    <n v="259044905"/>
  </r>
  <r>
    <x v="0"/>
    <x v="0"/>
    <x v="4"/>
    <x v="20"/>
    <d v="2025-10-29T12:00:00"/>
    <s v="367263_OOS"/>
    <s v="Loading"/>
    <s v="TW-SEA-6078307_OOS"/>
    <s v="Aval non piloté_EN"/>
    <s v="MAERSK - Control Tower"/>
    <m/>
    <m/>
    <s v="No"/>
    <s v="NL Haps DC (DSV)"/>
    <s v="OOS_OUT - Delivery OOS"/>
    <n v="20"/>
    <n v="0"/>
    <n v="0"/>
    <n v="0"/>
    <n v="5019235593"/>
    <x v="0"/>
    <m/>
    <s v="30/10/2025 00:01-00:01"/>
    <m/>
    <n v="0"/>
    <m/>
    <s v="No"/>
    <s v="Shipped/Received"/>
    <s v="Direct"/>
    <m/>
    <m/>
    <s v="3POeuropect@lns.maersk.com"/>
    <m/>
    <m/>
    <m/>
    <s v="No"/>
    <s v="&amp;nbsp"/>
    <m/>
    <m/>
    <n v="260111058"/>
  </r>
  <r>
    <x v="0"/>
    <x v="0"/>
    <x v="4"/>
    <x v="20"/>
    <d v="2025-10-29T12:00:00"/>
    <s v="0006111421_4900"/>
    <s v="Loading"/>
    <n v="464648"/>
    <s v="Primary flows"/>
    <s v="GIRTEKA FOR SN 3PO"/>
    <m/>
    <m/>
    <s v="No"/>
    <s v="NL Haps DC (DSV)"/>
    <s v="REDD - GB Redditch"/>
    <n v="33"/>
    <n v="0"/>
    <n v="0"/>
    <n v="0"/>
    <s v="1  01"/>
    <x v="1"/>
    <m/>
    <s v="30/10/2025 17:00-17:00"/>
    <s v="PZ_4N407"/>
    <n v="0"/>
    <m/>
    <s v="No"/>
    <s v="Shipped/Received"/>
    <s v="Direct"/>
    <m/>
    <m/>
    <m/>
    <s v="HAPSDCUK20251029-01"/>
    <m/>
    <m/>
    <s v="No"/>
    <n v="5019288728"/>
    <s v="PZ_5K839"/>
    <s v="Dzmitry Udodau"/>
    <m/>
  </r>
  <r>
    <x v="0"/>
    <x v="0"/>
    <x v="4"/>
    <x v="20"/>
    <d v="2025-10-29T13:00:00"/>
    <s v="372831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5973"/>
    <x v="0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13:00:00"/>
    <s v="0006111426_4900"/>
    <s v="Loading"/>
    <n v="464662"/>
    <s v="Primary flows"/>
    <s v="EMONS FOR SN 3PO"/>
    <m/>
    <m/>
    <s v="No"/>
    <s v="NL Haps DC (DSV)"/>
    <s v="REDD - GB Redditch"/>
    <n v="33"/>
    <n v="0"/>
    <n v="0"/>
    <n v="0"/>
    <s v="1  01"/>
    <x v="1"/>
    <m/>
    <s v="30/10/2025 16:00-16:00"/>
    <m/>
    <n v="0"/>
    <m/>
    <s v="No"/>
    <s v="Shipped/Received"/>
    <s v="Direct"/>
    <m/>
    <m/>
    <m/>
    <s v="HAPSDCUK20251029-06"/>
    <m/>
    <m/>
    <s v="No"/>
    <n v="5019274447"/>
    <m/>
    <m/>
    <m/>
  </r>
  <r>
    <x v="0"/>
    <x v="0"/>
    <x v="4"/>
    <x v="20"/>
    <d v="2025-10-29T13:00:00"/>
    <s v="373132_OOS"/>
    <s v="Loading"/>
    <s v="MY-SEA-6099244_OOS"/>
    <s v="Aval non piloté_EN"/>
    <s v="MAERSK - Control Tower"/>
    <m/>
    <m/>
    <s v="No"/>
    <s v="NL Haps DC (DSV)"/>
    <s v="OOS_OUT - Delivery OOS"/>
    <n v="10"/>
    <n v="0"/>
    <n v="0"/>
    <n v="0"/>
    <n v="5019204705"/>
    <x v="0"/>
    <m/>
    <s v="30/10/2025 00:01-00:01"/>
    <m/>
    <n v="0"/>
    <m/>
    <s v="No"/>
    <s v="Shipped/Received"/>
    <s v="Direct"/>
    <m/>
    <m/>
    <s v="3POeuropect@lns.maersk.com"/>
    <m/>
    <m/>
    <m/>
    <s v="No"/>
    <s v="&amp;nbsp"/>
    <m/>
    <m/>
    <n v="260681035"/>
  </r>
  <r>
    <x v="0"/>
    <x v="0"/>
    <x v="4"/>
    <x v="20"/>
    <d v="2025-10-29T13:00:00"/>
    <s v="367264_OOS"/>
    <s v="Loading"/>
    <s v="TW-SEA-6078308_OOS"/>
    <s v="Aval non piloté_EN"/>
    <s v="MAERSK - Control Tower"/>
    <m/>
    <m/>
    <s v="No"/>
    <s v="NL Haps DC (DSV)"/>
    <s v="OOS_OUT - Delivery OOS"/>
    <n v="20"/>
    <n v="0"/>
    <n v="0"/>
    <n v="0"/>
    <n v="5019249335"/>
    <x v="0"/>
    <m/>
    <s v="30/10/2025 00:03-00:03"/>
    <m/>
    <n v="0"/>
    <m/>
    <s v="No"/>
    <s v="Shipped/Received"/>
    <s v="Direct"/>
    <m/>
    <m/>
    <s v="3POeuropect@lns.maersk.com"/>
    <m/>
    <m/>
    <m/>
    <s v="No"/>
    <s v="&amp;nbsp"/>
    <m/>
    <m/>
    <n v="260111058"/>
  </r>
  <r>
    <x v="0"/>
    <x v="0"/>
    <x v="4"/>
    <x v="20"/>
    <d v="2025-10-29T14:00:00"/>
    <s v="372761_OOS"/>
    <s v="Loading"/>
    <s v="US-SEA-6087113_OOS"/>
    <s v="Aval non piloté_EN"/>
    <s v="MAERSK - Control Tower"/>
    <m/>
    <m/>
    <s v="No"/>
    <s v="NL Haps DC (DSV)"/>
    <s v="OOS_OUT - Delivery OOS"/>
    <n v="20"/>
    <n v="0"/>
    <n v="0"/>
    <n v="0"/>
    <n v="5019198853"/>
    <x v="0"/>
    <m/>
    <s v="30/10/2025 00:02-00:02"/>
    <m/>
    <n v="0"/>
    <m/>
    <s v="No"/>
    <s v="Shipped/Received"/>
    <s v="Direct"/>
    <m/>
    <m/>
    <s v="nutricia.ct.eu@lns.maersk.com"/>
    <m/>
    <m/>
    <m/>
    <s v="No"/>
    <s v="&amp;nbsp"/>
    <m/>
    <m/>
    <n v="260353768"/>
  </r>
  <r>
    <x v="0"/>
    <x v="0"/>
    <x v="4"/>
    <x v="20"/>
    <d v="2025-10-29T14:00:00"/>
    <s v="372830_OOS"/>
    <s v="Loading"/>
    <s v="CN-AIR_OOS"/>
    <s v="Aval non piloté_EN"/>
    <s v="KERRY LOGISTICS"/>
    <m/>
    <m/>
    <s v="No"/>
    <s v="NL Haps DC (DSV)"/>
    <s v="OOS_OUT - Delivery OOS"/>
    <n v="9"/>
    <n v="0"/>
    <n v="0"/>
    <n v="0"/>
    <s v="CN 5019169983"/>
    <x v="2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14:00:00"/>
    <s v="0006104687_4900"/>
    <s v="Loading"/>
    <n v="462581"/>
    <s v="Primary flows"/>
    <s v="PIOMAR FOR SN 3PO"/>
    <m/>
    <m/>
    <s v="No"/>
    <s v="NL Haps DC (DSV)"/>
    <s v="RICA - CZ Ricany DC2 Ambient WH"/>
    <n v="33"/>
    <n v="0"/>
    <n v="0"/>
    <n v="0"/>
    <s v="1  01"/>
    <x v="1"/>
    <m/>
    <s v="31/10/2025 17:00-17:00"/>
    <m/>
    <n v="0"/>
    <m/>
    <s v="No"/>
    <s v="Shipped/Received"/>
    <s v="Direct"/>
    <m/>
    <m/>
    <m/>
    <s v="HAPSDCCZ20251029-01"/>
    <m/>
    <m/>
    <s v="No"/>
    <n v="5019272895"/>
    <m/>
    <m/>
    <m/>
  </r>
  <r>
    <x v="0"/>
    <x v="0"/>
    <x v="4"/>
    <x v="20"/>
    <d v="2025-10-29T14:00:00"/>
    <s v="377502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284965"/>
    <x v="0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15:00:00"/>
    <s v="0006104696_4900"/>
    <s v="Loading"/>
    <n v="462594"/>
    <s v="Primary flows"/>
    <s v="ECS FOR SN 3PO"/>
    <m/>
    <m/>
    <s v="No"/>
    <s v="NL Haps DC (DSV)"/>
    <s v="MOUS - FR Moussy-Le-Neuf"/>
    <n v="33"/>
    <n v="0"/>
    <n v="0"/>
    <n v="0"/>
    <s v="1  01"/>
    <x v="1"/>
    <m/>
    <s v="05/11/2025 08:00-08:00"/>
    <m/>
    <n v="0"/>
    <m/>
    <s v="No"/>
    <s v="Shipped/Received"/>
    <s v="Direct"/>
    <m/>
    <m/>
    <m/>
    <s v="HAPSDCFR20251029-03"/>
    <m/>
    <m/>
    <s v="No"/>
    <n v="5019285687"/>
    <m/>
    <m/>
    <m/>
  </r>
  <r>
    <x v="0"/>
    <x v="0"/>
    <x v="4"/>
    <x v="20"/>
    <d v="2025-10-29T15:00:00"/>
    <s v="0006104686_4900"/>
    <s v="Loading"/>
    <n v="462598"/>
    <s v="Primary flows"/>
    <s v="GIRTEKA FOR SN 3PO HVO"/>
    <m/>
    <m/>
    <s v="No"/>
    <s v="NL Haps DC (DSV)"/>
    <s v="PUCH - AT Puch"/>
    <n v="33"/>
    <n v="0"/>
    <n v="0"/>
    <n v="0"/>
    <s v="1  01"/>
    <x v="1"/>
    <m/>
    <s v="31/10/2025 07:00-07:00"/>
    <s v="PZ_820WS"/>
    <n v="0"/>
    <m/>
    <s v="No"/>
    <s v="Shipped/Received"/>
    <s v="Direct"/>
    <m/>
    <m/>
    <m/>
    <s v="HAPSDCAT20251029-01"/>
    <m/>
    <m/>
    <s v="No"/>
    <n v="5019287640"/>
    <s v="NED_895"/>
    <s v="Uladzimir Atroshchanka"/>
    <m/>
  </r>
  <r>
    <x v="0"/>
    <x v="0"/>
    <x v="4"/>
    <x v="20"/>
    <d v="2025-10-29T15:00:00"/>
    <s v="376207_OOS"/>
    <s v="Loading"/>
    <s v="NZ-AIR_OOS"/>
    <s v="Aval non piloté_EN"/>
    <s v="JAS"/>
    <m/>
    <m/>
    <s v="No"/>
    <s v="NL Haps DC (DSV)"/>
    <s v="OOS_OUT - Delivery OOS"/>
    <n v="1"/>
    <n v="0"/>
    <n v="0"/>
    <n v="0"/>
    <s v="NZ 5019219755"/>
    <x v="2"/>
    <m/>
    <s v="30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0"/>
    <d v="2025-10-29T15:00:00"/>
    <s v="374660_OOS"/>
    <s v="Loading"/>
    <s v="GT - SEA_OOS"/>
    <s v="Aval non piloté_EN"/>
    <s v="GEODIS"/>
    <m/>
    <m/>
    <s v="No"/>
    <s v="NL Haps DC (DSV)"/>
    <s v="OOS_OUT - Delivery OOS"/>
    <n v="20"/>
    <n v="0"/>
    <n v="0"/>
    <n v="0"/>
    <s v="5019185657  5019235783 "/>
    <x v="0"/>
    <m/>
    <s v="30/10/2025 12:00-12:00"/>
    <m/>
    <n v="0"/>
    <m/>
    <s v="No"/>
    <s v="Shipped/Received"/>
    <s v="Direct"/>
    <m/>
    <m/>
    <s v="nutricia-booking.ff.nl@geodis.com"/>
    <m/>
    <m/>
    <m/>
    <s v="No"/>
    <s v="&amp;nbsp"/>
    <m/>
    <s v="GUATEMALA"/>
    <s v="SRTMS181950"/>
  </r>
  <r>
    <x v="0"/>
    <x v="0"/>
    <x v="4"/>
    <x v="20"/>
    <d v="2025-10-29T16:00:00"/>
    <s v="0006104695_4900"/>
    <s v="Loading"/>
    <n v="462591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30/10/2025 08:00-08:00"/>
    <m/>
    <n v="0"/>
    <m/>
    <s v="No"/>
    <s v="Shipped/Received"/>
    <s v="Direct"/>
    <m/>
    <m/>
    <m/>
    <s v="HAPSDCFR20251029-02"/>
    <m/>
    <m/>
    <s v="No"/>
    <n v="5019256078"/>
    <m/>
    <m/>
    <m/>
  </r>
  <r>
    <x v="0"/>
    <x v="0"/>
    <x v="4"/>
    <x v="20"/>
    <d v="2025-10-29T16:00:00"/>
    <s v="0006104689_4900"/>
    <s v="Loading"/>
    <n v="462554"/>
    <s v="Primary flows"/>
    <s v="LKW WALTER FOR SN 3PO"/>
    <m/>
    <m/>
    <s v="No"/>
    <s v="NL Haps DC (DSV)"/>
    <s v="ALZE - DE Alzenau"/>
    <n v="33"/>
    <n v="0"/>
    <n v="0"/>
    <n v="0"/>
    <s v="1  01"/>
    <x v="1"/>
    <m/>
    <s v="30/10/2025 08:00-08:00"/>
    <m/>
    <n v="0"/>
    <m/>
    <s v="No"/>
    <s v="Shipped/Received"/>
    <s v="Direct"/>
    <m/>
    <m/>
    <m/>
    <s v="HAPSDCDE20251029-02"/>
    <m/>
    <m/>
    <s v="No"/>
    <n v="5019283452"/>
    <m/>
    <m/>
    <m/>
  </r>
  <r>
    <x v="0"/>
    <x v="0"/>
    <x v="4"/>
    <x v="20"/>
    <d v="2025-10-29T16:00:00"/>
    <s v="377472_OOS"/>
    <s v="Loading"/>
    <s v="Scrap Kwaliflex - ROAD_OOS"/>
    <s v="Aval non piloté_EN"/>
    <s v="Kwaliflex"/>
    <m/>
    <m/>
    <s v="No"/>
    <s v="NL Haps DC (DSV)"/>
    <s v="OOS_OUT - Delivery OOS"/>
    <n v="33"/>
    <n v="0"/>
    <n v="0"/>
    <n v="0"/>
    <n v="90009745"/>
    <x v="0"/>
    <m/>
    <s v="30/10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0"/>
    <x v="4"/>
    <x v="20"/>
    <d v="2025-10-29T16:00:00"/>
    <s v="0006104680_4900"/>
    <s v="Loading"/>
    <n v="462539"/>
    <s v="Primary flows"/>
    <s v="ECS FOR SN 3PO"/>
    <m/>
    <s v="driver drove away"/>
    <s v="No"/>
    <s v="NL Haps DC (DSV)"/>
    <s v="GREZ - IT Grezzago (Pozzuolo Martesana)"/>
    <n v="33"/>
    <n v="0"/>
    <n v="0"/>
    <n v="0"/>
    <s v="1  01"/>
    <x v="3"/>
    <m/>
    <s v="04/11/2025 08:00-08:00"/>
    <m/>
    <n v="0"/>
    <m/>
    <s v="No"/>
    <s v="Shipped/Received"/>
    <s v="Direct"/>
    <m/>
    <m/>
    <m/>
    <s v="HAPSDCIT20251028-01"/>
    <m/>
    <m/>
    <s v="No"/>
    <n v="5019276120"/>
    <m/>
    <m/>
    <m/>
  </r>
  <r>
    <x v="0"/>
    <x v="0"/>
    <x v="4"/>
    <x v="20"/>
    <d v="2025-10-29T17:00:00"/>
    <s v="0006104694_4900"/>
    <s v="Loading"/>
    <n v="462600"/>
    <s v="Primary flows"/>
    <s v="ECS FOR SN 3PO"/>
    <m/>
    <m/>
    <s v="No"/>
    <s v="NL Haps DC (DSV)"/>
    <s v="MOUS - FR Moussy-Le-Neuf"/>
    <n v="33"/>
    <n v="0"/>
    <n v="0"/>
    <n v="0"/>
    <s v="1  01"/>
    <x v="1"/>
    <m/>
    <s v="30/10/2025 13:00-13:00"/>
    <m/>
    <n v="0"/>
    <m/>
    <s v="No"/>
    <s v="Shipped/Received"/>
    <s v="Direct"/>
    <m/>
    <m/>
    <m/>
    <s v="HAPSDCFR20251029-01"/>
    <m/>
    <m/>
    <s v="No"/>
    <n v="5019261199"/>
    <m/>
    <m/>
    <m/>
  </r>
  <r>
    <x v="0"/>
    <x v="0"/>
    <x v="4"/>
    <x v="20"/>
    <d v="2025-10-29T17:00:00"/>
    <s v="376733_OOS"/>
    <s v="Loading"/>
    <s v="NWW-ROAD_OOS"/>
    <s v="Aval non piloté_EN"/>
    <s v="Kuehne   Nagel Logistics B.V."/>
    <m/>
    <m/>
    <s v="No"/>
    <s v="NL Haps DC (DSV)"/>
    <s v="OOS_OUT - Delivery OOS"/>
    <n v="33"/>
    <n v="0"/>
    <n v="0"/>
    <n v="0"/>
    <s v="5019240614   5019247768   5019240613   5019233105   5019235354"/>
    <x v="0"/>
    <m/>
    <s v="30/10/2025 12:00-12:00"/>
    <m/>
    <n v="0"/>
    <m/>
    <s v="No"/>
    <s v="Shipped/Received"/>
    <s v="Direct"/>
    <m/>
    <m/>
    <s v="diana.topalova@kuehne-nagel.com"/>
    <m/>
    <m/>
    <m/>
    <s v="No"/>
    <s v="&amp;nbsp"/>
    <m/>
    <m/>
    <m/>
  </r>
  <r>
    <x v="0"/>
    <x v="0"/>
    <x v="4"/>
    <x v="20"/>
    <d v="2025-10-29T17:00:00"/>
    <s v="377474_OOS"/>
    <s v="Loading"/>
    <s v="Scrap Kwaliflex - ROAD_OOS"/>
    <s v="Aval non piloté_EN"/>
    <s v="Kwaliflex"/>
    <m/>
    <m/>
    <s v="No"/>
    <s v="NL Haps DC (DSV)"/>
    <s v="OOS_OUT - Delivery OOS"/>
    <n v="33"/>
    <n v="0"/>
    <n v="0"/>
    <n v="0"/>
    <n v="90014117"/>
    <x v="0"/>
    <m/>
    <s v="30/10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0"/>
    <x v="4"/>
    <x v="20"/>
    <d v="2025-10-29T17:00:00"/>
    <s v="377341_OOS"/>
    <s v="Loading"/>
    <s v="IQ-SEA_OOS"/>
    <s v="Aval non piloté_EN"/>
    <s v="EXW"/>
    <m/>
    <m/>
    <s v="No"/>
    <s v="NL Haps DC (DSV)"/>
    <s v="OOS_OUT - Delivery OOS"/>
    <n v="13"/>
    <n v="0"/>
    <n v="0"/>
    <n v="0"/>
    <s v="5019162588   5019209247   5019262649 - NO-SHOW"/>
    <x v="0"/>
    <m/>
    <s v="30/10/2025 12:00-12:00"/>
    <m/>
    <n v="0"/>
    <m/>
    <s v="No"/>
    <s v="Shipped/Received"/>
    <s v="Direct"/>
    <m/>
    <m/>
    <s v="feisal.ally@danone.com"/>
    <m/>
    <m/>
    <m/>
    <s v="No"/>
    <s v="&amp;nbsp"/>
    <m/>
    <m/>
    <m/>
  </r>
  <r>
    <x v="0"/>
    <x v="0"/>
    <x v="4"/>
    <x v="20"/>
    <d v="2025-10-29T18:00:00"/>
    <s v="0006104700_4900"/>
    <s v="Loading"/>
    <n v="462602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31/10/2025 15:00-15:00"/>
    <m/>
    <n v="0"/>
    <m/>
    <s v="No"/>
    <s v="Shipped/Received"/>
    <s v="Direct"/>
    <m/>
    <m/>
    <m/>
    <s v="HAPSDCIT20251029-01"/>
    <m/>
    <m/>
    <s v="No"/>
    <n v="5019272297"/>
    <m/>
    <m/>
    <m/>
  </r>
  <r>
    <x v="0"/>
    <x v="0"/>
    <x v="4"/>
    <x v="20"/>
    <d v="2025-10-29T18:00:00"/>
    <s v="0006104691_4900"/>
    <s v="Loading"/>
    <s v="466247 / 462599"/>
    <s v="Primary flows / Primary flows"/>
    <s v="DSV DK FOR SN 3PO"/>
    <m/>
    <m/>
    <s v="No"/>
    <s v="NL Haps DC (DSV)"/>
    <s v="GLOS - DK Glostrup / GLOS - DK Glostrup"/>
    <n v="66"/>
    <n v="0"/>
    <n v="0"/>
    <n v="0"/>
    <s v="1  01"/>
    <x v="1"/>
    <m/>
    <s v="31/10/2025 09:00-09:00"/>
    <m/>
    <n v="0"/>
    <m/>
    <s v="No"/>
    <s v="Shipped/Received"/>
    <s v="Direct"/>
    <s v=" / "/>
    <s v=" / "/>
    <m/>
    <s v="HAPSDCDK20251029-01 / HAPSDCDK20251029-01"/>
    <m/>
    <m/>
    <s v="No"/>
    <s v="5019276658 / 5019265139"/>
    <m/>
    <m/>
    <m/>
  </r>
  <r>
    <x v="0"/>
    <x v="0"/>
    <x v="4"/>
    <x v="20"/>
    <d v="2025-10-29T18:00:00"/>
    <s v="0006115730_4900"/>
    <s v="Loading"/>
    <n v="466034"/>
    <s v="Primary flows"/>
    <s v="GIRTEKA FOR SN 3PO"/>
    <m/>
    <m/>
    <s v="No"/>
    <s v="NL Haps DC (DSV)"/>
    <s v="NAZA - BE Nazareth (Dematra)"/>
    <n v="33"/>
    <n v="0"/>
    <n v="0"/>
    <n v="0"/>
    <s v="1  01"/>
    <x v="1"/>
    <m/>
    <s v="30/10/2025 11:00-11:00"/>
    <s v="PZ_3V156"/>
    <n v="0"/>
    <m/>
    <s v="No"/>
    <s v="Shipped/Received"/>
    <s v="Direct"/>
    <m/>
    <m/>
    <m/>
    <s v="HAPSDCBE20251029-01"/>
    <m/>
    <m/>
    <s v="No"/>
    <n v="5019261877"/>
    <s v="PZ_8A122"/>
    <s v="Aliaksei Pinchuk"/>
    <m/>
  </r>
  <r>
    <x v="0"/>
    <x v="0"/>
    <x v="4"/>
    <x v="20"/>
    <d v="2025-10-29T19:00:00"/>
    <s v="0006104698_4900"/>
    <s v="Loading"/>
    <s v="466248 / 462566 / 462565"/>
    <s v="Primary flows / Primary flows / Primary flows"/>
    <s v="KREISS FOR SN 3PO"/>
    <m/>
    <m/>
    <s v="No"/>
    <s v="NL Haps DC (DSV)"/>
    <s v="BRAT - SK Bratislava / BRAT - SK Bratislava / BUDA - HU Budapest (BILK Logisztikai)"/>
    <n v="99"/>
    <n v="0"/>
    <n v="0"/>
    <n v="0"/>
    <s v="1  01"/>
    <x v="1"/>
    <m/>
    <s v="03/11/2025 14:00-14:00 / 03/11/2025 08:00-08:00"/>
    <m/>
    <n v="0"/>
    <m/>
    <s v="No"/>
    <s v="Shipped/Received"/>
    <s v="Direct"/>
    <s v=" /  / "/>
    <s v=" /  / "/>
    <m/>
    <s v="HAPSDCHU20251029-01 / HAPSDCHU20251029-01 / HAPSDCHU20251029-01"/>
    <m/>
    <m/>
    <s v="No"/>
    <s v="5019286926 / 5019283740 / 5019283739"/>
    <m/>
    <m/>
    <m/>
  </r>
  <r>
    <x v="0"/>
    <x v="0"/>
    <x v="4"/>
    <x v="20"/>
    <d v="2025-10-29T19:00:00"/>
    <s v="0006114271_4900"/>
    <s v="Loading"/>
    <s v="465666 / 465665"/>
    <s v="Primary flows / Primary flows"/>
    <s v="LKW WALTER FOR SN 3PO"/>
    <m/>
    <m/>
    <s v="No"/>
    <s v="NL Haps DC (DSV)"/>
    <s v="PET2 - RO Dragomiresti (Petresti) / PETR - RO Petresti"/>
    <n v="66"/>
    <n v="0"/>
    <n v="0"/>
    <n v="0"/>
    <s v="1  01"/>
    <x v="1"/>
    <m/>
    <s v="04/11/2025 08:00-08:00 / 04/11/2025 12:00-12:00"/>
    <m/>
    <n v="0"/>
    <m/>
    <s v="No"/>
    <s v="Shipped/Received"/>
    <s v="Direct"/>
    <s v=" / "/>
    <s v=" / "/>
    <m/>
    <s v="UIT: 5E8F772590730169 / UIT: 5T0N972590730186"/>
    <m/>
    <m/>
    <s v="No"/>
    <s v="5019256818 / 5019280173"/>
    <m/>
    <m/>
    <m/>
  </r>
  <r>
    <x v="0"/>
    <x v="0"/>
    <x v="4"/>
    <x v="20"/>
    <d v="2025-10-29T19:00:00"/>
    <s v="0006104692_4900"/>
    <s v="Loading"/>
    <s v="466249 / 462585"/>
    <s v="Primary flows / Primary flows"/>
    <s v="FERCAM AUSTRIA FOR SN 3PO"/>
    <m/>
    <m/>
    <s v="No"/>
    <s v="NL Haps DC (DSV)"/>
    <s v="CIE2 - ES Ciempozuelos SN / CIE2 - ES Ciempozuelos SN"/>
    <n v="66"/>
    <n v="0"/>
    <n v="0"/>
    <n v="0"/>
    <s v="1  01"/>
    <x v="1"/>
    <m/>
    <s v="31/10/2025 08:00-08:00"/>
    <m/>
    <n v="0"/>
    <m/>
    <s v="No"/>
    <s v="Shipped/Received"/>
    <s v="Direct"/>
    <s v=" / "/>
    <s v=" / "/>
    <m/>
    <s v="HAPSDCES20251029-01 / HAPSDCES20251029-01"/>
    <m/>
    <m/>
    <s v="No"/>
    <s v="5019283585 / 5019269438"/>
    <m/>
    <m/>
    <m/>
  </r>
  <r>
    <x v="0"/>
    <x v="0"/>
    <x v="4"/>
    <x v="20"/>
    <d v="2025-10-29T20:00:00"/>
    <s v="0006104704_4900"/>
    <s v="Loading"/>
    <s v="466251 / 466250 / 462575"/>
    <s v="Primary flows / Primary flows / Primary flows"/>
    <s v="MIERZWA FOR SN 3PO"/>
    <m/>
    <m/>
    <s v="No"/>
    <s v="NL Haps DC (DSV)"/>
    <s v="GRAB - PL Grabica / GRAB - PL Grabica / GRAB - PL Grabica"/>
    <n v="99"/>
    <n v="0"/>
    <n v="0"/>
    <n v="0"/>
    <s v="1  01"/>
    <x v="1"/>
    <m/>
    <s v="31/10/2025 21:00-21:00"/>
    <s v="KRA929PA"/>
    <n v="0"/>
    <m/>
    <s v="No"/>
    <s v="Shipped/Received"/>
    <s v="Direct"/>
    <s v=" /  / "/>
    <s v=" /  / "/>
    <m/>
    <s v="HAPSDCPL20251029-02 / HAPSDCPL20251029-02 / HAPSDCPL20251029-02"/>
    <m/>
    <m/>
    <s v="No"/>
    <s v="5019274575 / 5019272393 / 5019261875"/>
    <s v="WPR4371T"/>
    <s v="Bogus?aw Borysiuk"/>
    <m/>
  </r>
  <r>
    <x v="0"/>
    <x v="0"/>
    <x v="4"/>
    <x v="21"/>
    <d v="2025-10-30T06:00:00"/>
    <s v="377833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564246 5019220507 5019232570 5019286364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06:00:00"/>
    <s v="0006111430_4900"/>
    <s v="Loading"/>
    <n v="464655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23:00-23:00"/>
    <m/>
    <n v="0"/>
    <m/>
    <s v="No"/>
    <s v="Shipped/Received"/>
    <s v="Direct"/>
    <m/>
    <m/>
    <m/>
    <s v="HAPSDCUK20251030-04"/>
    <m/>
    <m/>
    <s v="No"/>
    <n v="5019295566"/>
    <m/>
    <m/>
    <m/>
  </r>
  <r>
    <x v="0"/>
    <x v="0"/>
    <x v="4"/>
    <x v="21"/>
    <d v="2025-10-30T07:00:00"/>
    <s v="378499_OOS"/>
    <s v="Loading"/>
    <s v="BR-SEA-6087534  NOSHOW_OOS"/>
    <s v="Aval non piloté_EN"/>
    <s v="MAERSK - Control Tower"/>
    <m/>
    <m/>
    <s v="No"/>
    <s v="NL Haps DC (DSV)"/>
    <s v="OOS_OUT - Delivery OOS"/>
    <n v="20"/>
    <n v="0"/>
    <n v="0"/>
    <n v="0"/>
    <s v="5019224931 - NO SHOW"/>
    <x v="3"/>
    <m/>
    <s v="31/10/2025 00:00-00:00"/>
    <m/>
    <n v="0"/>
    <m/>
    <s v="No"/>
    <s v="Shipped/Received"/>
    <s v="Direct"/>
    <m/>
    <m/>
    <s v="nutricia.ct.eu@lns.maersk.com"/>
    <m/>
    <m/>
    <m/>
    <s v="No"/>
    <s v="&amp;nbsp"/>
    <m/>
    <m/>
    <n v="260366923"/>
  </r>
  <r>
    <x v="0"/>
    <x v="0"/>
    <x v="4"/>
    <x v="21"/>
    <d v="2025-10-30T07:00:00"/>
    <s v="374651_OOS"/>
    <s v="Loading"/>
    <s v="IL - SEA_OOS"/>
    <s v="Aval non piloté_EN"/>
    <s v="GEODIS"/>
    <m/>
    <m/>
    <s v="No"/>
    <s v="NL Haps DC (DSV)"/>
    <s v="OOS_OUT - Delivery OOS"/>
    <n v="23"/>
    <n v="0"/>
    <n v="0"/>
    <n v="0"/>
    <n v="5019247206"/>
    <x v="0"/>
    <m/>
    <s v="31/10/2025 09:00-09:00"/>
    <m/>
    <n v="0"/>
    <m/>
    <s v="No"/>
    <s v="Shipped/Received"/>
    <s v="Direct"/>
    <m/>
    <m/>
    <s v="nutricia-booking.ff.nl@geodis.com"/>
    <m/>
    <m/>
    <m/>
    <s v="No"/>
    <s v="&amp;nbsp"/>
    <m/>
    <s v="ISRAEL 1"/>
    <s v="SRTMS179792"/>
  </r>
  <r>
    <x v="0"/>
    <x v="0"/>
    <x v="4"/>
    <x v="21"/>
    <d v="2025-10-30T07:00:00"/>
    <s v="0006104718_4900"/>
    <s v="Loading"/>
    <s v="466728 / 466727 / 466726 / 462550"/>
    <s v="Primary flows / Primary flows / Primary flows / Primary flows"/>
    <s v="SAMSKIP FOR SN 3PO"/>
    <m/>
    <m/>
    <s v="No"/>
    <s v="NL Haps DC (DSV)"/>
    <s v="VEST - NO Vestby Leman / VEST - NO Vestby Leman / VEST - NO Vestby Leman / VEST - NO Vestby Leman"/>
    <n v="132"/>
    <n v="0"/>
    <n v="0"/>
    <n v="0"/>
    <s v="1  01"/>
    <x v="1"/>
    <m/>
    <s v="06/11/2025 15:00-15:00"/>
    <m/>
    <n v="0"/>
    <m/>
    <s v="No"/>
    <s v="Shipped/Received"/>
    <s v="Direct"/>
    <s v=" /  /  / "/>
    <s v=" /  /  / "/>
    <m/>
    <s v="HAPSDCNO20251030-02 / HAPSDCNO20251030-02 / HAPSDCNO20251030-02 / HAPSDCNO20251030-02"/>
    <m/>
    <m/>
    <s v="No"/>
    <s v="5019272624 / 5019295098 / 5019296320 / 5019296360"/>
    <m/>
    <m/>
    <m/>
  </r>
  <r>
    <x v="0"/>
    <x v="0"/>
    <x v="4"/>
    <x v="21"/>
    <d v="2025-10-30T07:00:00"/>
    <s v="378565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05006"/>
    <x v="2"/>
    <m/>
    <s v="31/10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08:00:00"/>
    <s v="378243_OOS"/>
    <s v="Loading"/>
    <s v="CL - SEA_OOS"/>
    <s v="Aval non piloté_EN"/>
    <s v="GEODIS"/>
    <m/>
    <m/>
    <s v="No"/>
    <s v="NL Haps DC (DSV)"/>
    <s v="OOS_OUT - Delivery OOS"/>
    <n v="19"/>
    <n v="0"/>
    <n v="0"/>
    <n v="0"/>
    <s v="5019242850 / 5019242906 / 5019183075 / 5019232271 / 5019296201 / 5019189501"/>
    <x v="0"/>
    <m/>
    <s v="31/10/2025 09:00-09:00"/>
    <m/>
    <n v="0"/>
    <m/>
    <s v="No"/>
    <s v="Shipped/Received"/>
    <s v="Direct"/>
    <m/>
    <m/>
    <s v="nutricia-booking.ff.nl@geodis.com"/>
    <m/>
    <m/>
    <m/>
    <s v="No"/>
    <s v="&amp;nbsp"/>
    <m/>
    <s v="CHILI"/>
    <s v="SRTMS"/>
  </r>
  <r>
    <x v="0"/>
    <x v="0"/>
    <x v="4"/>
    <x v="21"/>
    <d v="2025-10-30T08:00:00"/>
    <s v="376623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11343 LZV"/>
    <x v="1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08:00:00"/>
    <s v="374654_OOS"/>
    <s v="Loading"/>
    <s v="IL - SEA_OOS"/>
    <s v="Aval non piloté_EN"/>
    <s v="GEODIS"/>
    <m/>
    <m/>
    <s v="No"/>
    <s v="NL Haps DC (DSV)"/>
    <s v="OOS_OUT - Delivery OOS"/>
    <n v="23"/>
    <n v="0"/>
    <n v="0"/>
    <n v="0"/>
    <n v="5019233745"/>
    <x v="0"/>
    <m/>
    <s v="31/10/2025 12:00-12:00"/>
    <m/>
    <n v="0"/>
    <m/>
    <s v="No"/>
    <s v="Shipped/Received"/>
    <s v="Direct"/>
    <m/>
    <m/>
    <s v="nutricia-booking.ff.nl@geodis.com"/>
    <m/>
    <m/>
    <m/>
    <s v="No"/>
    <s v="&amp;nbsp"/>
    <m/>
    <s v="ISRAEL 2"/>
    <s v="SRTMS179792"/>
  </r>
  <r>
    <x v="0"/>
    <x v="0"/>
    <x v="4"/>
    <x v="21"/>
    <d v="2025-10-30T09:00:00"/>
    <s v="374655_OOS"/>
    <s v="Loading"/>
    <s v="IL - SEA_OOS"/>
    <s v="Aval non piloté_EN"/>
    <s v="GEODIS"/>
    <m/>
    <m/>
    <s v="No"/>
    <s v="NL Haps DC (DSV)"/>
    <s v="OOS_OUT - Delivery OOS"/>
    <n v="23"/>
    <n v="0"/>
    <n v="0"/>
    <n v="0"/>
    <n v="5019230302"/>
    <x v="0"/>
    <m/>
    <s v="31/10/2025 12:00-12:00"/>
    <m/>
    <n v="0"/>
    <m/>
    <s v="No"/>
    <s v="Shipped/Received"/>
    <s v="Direct"/>
    <m/>
    <m/>
    <s v="nutricia-booking.ff.nl@geodis.com"/>
    <m/>
    <m/>
    <m/>
    <s v="No"/>
    <s v="&amp;nbsp"/>
    <m/>
    <s v="ISRAEL 3"/>
    <s v="SRTMS179792"/>
  </r>
  <r>
    <x v="0"/>
    <x v="0"/>
    <x v="4"/>
    <x v="21"/>
    <d v="2025-10-30T09:00:00"/>
    <s v="0006104714_4900"/>
    <s v="Loading"/>
    <n v="466325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06/11/2025 23:00-23:00"/>
    <m/>
    <n v="0"/>
    <m/>
    <s v="No"/>
    <s v="Shipped/Received"/>
    <s v="Direct"/>
    <m/>
    <m/>
    <m/>
    <s v="HAPSDCIE20251030-01"/>
    <m/>
    <m/>
    <s v="No"/>
    <n v="5019295844"/>
    <m/>
    <m/>
    <m/>
  </r>
  <r>
    <x v="0"/>
    <x v="0"/>
    <x v="4"/>
    <x v="21"/>
    <d v="2025-10-30T10:00:00"/>
    <s v="370016_OOS"/>
    <s v="Loading"/>
    <s v="AU-SEA-6087513_OOS"/>
    <s v="Aval non piloté_EN"/>
    <s v="MAERSK - Control Tower"/>
    <m/>
    <m/>
    <s v="No"/>
    <s v="NL Haps DC (DSV)"/>
    <s v="OOS_OUT - Delivery OOS"/>
    <n v="20"/>
    <n v="0"/>
    <n v="0"/>
    <n v="0"/>
    <n v="5019242326"/>
    <x v="0"/>
    <m/>
    <s v="31/10/2025 00:03-00:03"/>
    <m/>
    <n v="0"/>
    <m/>
    <s v="No"/>
    <s v="Shipped/Received"/>
    <s v="Direct"/>
    <m/>
    <m/>
    <s v="nutricia.ct.eu@lns.maersk.com"/>
    <m/>
    <m/>
    <m/>
    <s v="No"/>
    <s v="&amp;nbsp"/>
    <m/>
    <m/>
    <n v="260356170"/>
  </r>
  <r>
    <x v="0"/>
    <x v="0"/>
    <x v="4"/>
    <x v="21"/>
    <d v="2025-10-30T10:00:00"/>
    <s v="375017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15508 5019224544 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0:00:00"/>
    <s v="374657_OOS"/>
    <s v="Loading"/>
    <s v="IL - SEA_OOS"/>
    <s v="Aval non piloté_EN"/>
    <s v="GEODIS"/>
    <m/>
    <m/>
    <s v="No"/>
    <s v="NL Haps DC (DSV)"/>
    <s v="OOS_OUT - Delivery OOS"/>
    <n v="23"/>
    <n v="0"/>
    <n v="0"/>
    <n v="0"/>
    <n v="5019245477"/>
    <x v="0"/>
    <m/>
    <s v="31/10/2025 12:00-12:00"/>
    <m/>
    <n v="0"/>
    <m/>
    <s v="No"/>
    <s v="Shipped/Received"/>
    <s v="Direct"/>
    <m/>
    <m/>
    <s v="nutricia-booking.ff.nl@geodis.com"/>
    <m/>
    <m/>
    <m/>
    <s v="No"/>
    <s v="&amp;nbsp"/>
    <m/>
    <s v="ISRAEL 4"/>
    <s v="SRTMS179792"/>
  </r>
  <r>
    <x v="0"/>
    <x v="0"/>
    <x v="4"/>
    <x v="21"/>
    <d v="2025-10-30T10:00:00"/>
    <s v="0006111428_4900"/>
    <s v="Loading"/>
    <n v="464669"/>
    <s v="Primary flows"/>
    <s v="SAMSKIP FOR SN 3PO"/>
    <m/>
    <m/>
    <s v="No"/>
    <s v="NL Haps DC (DSV)"/>
    <s v="REDD - GB Redditch"/>
    <n v="33"/>
    <n v="0"/>
    <n v="0"/>
    <n v="0"/>
    <s v="1  01"/>
    <x v="1"/>
    <m/>
    <s v="03/11/2025 23:00-23:00"/>
    <m/>
    <n v="0"/>
    <m/>
    <s v="No"/>
    <s v="Shipped/Received"/>
    <s v="Direct"/>
    <m/>
    <m/>
    <m/>
    <s v="HAPSDCUK20251030-02"/>
    <m/>
    <m/>
    <s v="No"/>
    <n v="5019277505"/>
    <m/>
    <m/>
    <m/>
  </r>
  <r>
    <x v="0"/>
    <x v="0"/>
    <x v="4"/>
    <x v="21"/>
    <d v="2025-10-30T11:00:00"/>
    <s v="372735_OOS"/>
    <s v="Loading"/>
    <s v="KR - SEA_OOS"/>
    <s v="Aval non piloté_EN"/>
    <s v="GEODIS"/>
    <m/>
    <m/>
    <s v="No"/>
    <s v="NL Haps DC (DSV)"/>
    <s v="OOS_OUT - Delivery OOS"/>
    <n v="20"/>
    <n v="0"/>
    <n v="0"/>
    <n v="0"/>
    <n v="5019230273"/>
    <x v="0"/>
    <m/>
    <s v="31/10/2025 09:00-09:00"/>
    <m/>
    <n v="0"/>
    <m/>
    <s v="No"/>
    <s v="Shipped/Received"/>
    <s v="Direct"/>
    <m/>
    <m/>
    <s v="nutricia-booking.ff.nl@geodis.com"/>
    <m/>
    <m/>
    <m/>
    <s v="No"/>
    <s v="&amp;nbsp"/>
    <m/>
    <s v="KOREA"/>
    <s v="SRTMS"/>
  </r>
  <r>
    <x v="0"/>
    <x v="0"/>
    <x v="4"/>
    <x v="21"/>
    <d v="2025-10-30T11:00:00"/>
    <s v="0006104721_4900"/>
    <s v="Loading"/>
    <s v="466901 / 466725 / 466724 / 462572"/>
    <s v="Primary flows / Primary flows / Primary flows / Primary flows"/>
    <s v="GIRTEKA FOR SN 3PO"/>
    <m/>
    <m/>
    <s v="No"/>
    <s v="NL Haps DC (DSV)"/>
    <s v="AZA2 - PT Azambuja Ambient / AZA2 - PT Azambuja Ambient / AZA2 - PT Azambuja Ambient / AZA2 - PT Azambuja Ambient"/>
    <n v="132"/>
    <n v="0"/>
    <n v="0"/>
    <n v="0"/>
    <s v="1  01"/>
    <x v="1"/>
    <m/>
    <s v="04/11/2025 15:00-15:00"/>
    <s v="PZ_709XN"/>
    <n v="0"/>
    <m/>
    <s v="No"/>
    <s v="Shipped/Received"/>
    <s v="Direct"/>
    <s v=" /  /  / "/>
    <s v=" /  /  / "/>
    <m/>
    <s v="HAPSDCPT20251030-01 / HAPSDCPT20251030-01 / HAPSDCPT20251030-01 / HAPSDCPT20251030-01"/>
    <m/>
    <m/>
    <s v="No"/>
    <s v="5019288431 / 5019295930 / 5019294814 / 5019283755"/>
    <s v="MTD_225"/>
    <s v="Jagroop Singh"/>
    <m/>
  </r>
  <r>
    <x v="0"/>
    <x v="0"/>
    <x v="4"/>
    <x v="21"/>
    <d v="2025-10-30T11:00:00"/>
    <s v="37501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20139 5019209603 5019209088 5019228023 5018969706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1:00:00"/>
    <s v="376217_OOS"/>
    <s v="Loading"/>
    <s v="NZ-AIR_OOS"/>
    <s v="Aval non piloté_EN"/>
    <s v="HELLMANN"/>
    <m/>
    <m/>
    <s v="No"/>
    <s v="NL Haps DC (DSV)"/>
    <s v="OOS_OUT - Delivery OOS"/>
    <n v="13"/>
    <n v="0"/>
    <n v="0"/>
    <n v="0"/>
    <s v="NZ 5019227688 (12PL) 5019235761 (1PL)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1:00:00"/>
    <s v="376212_OOS"/>
    <s v="Loading"/>
    <s v="US-AIR_OOS"/>
    <s v="Aval non piloté_EN"/>
    <s v="MAERSK"/>
    <m/>
    <m/>
    <s v="No"/>
    <s v="NL Haps DC (DSV)"/>
    <s v="OOS_OUT - Delivery OOS"/>
    <n v="6"/>
    <n v="0"/>
    <n v="0"/>
    <n v="0"/>
    <s v="US AIR 5019239023 - 6P "/>
    <x v="2"/>
    <m/>
    <s v="31/10/2025 11:00-11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2:00:00"/>
    <s v="0006111431_4900"/>
    <s v="Loading"/>
    <n v="464639"/>
    <s v="Primary flows"/>
    <s v="SAMSKIP FOR SN 3PO"/>
    <m/>
    <m/>
    <s v="No"/>
    <s v="NL Haps DC (DSV)"/>
    <s v="REDD - GB Redditch"/>
    <n v="33"/>
    <n v="0"/>
    <n v="0"/>
    <n v="0"/>
    <s v="1  01"/>
    <x v="1"/>
    <m/>
    <s v="30/10/2025 18:00-18:00"/>
    <m/>
    <n v="0"/>
    <m/>
    <s v="No"/>
    <s v="Shipped/Received"/>
    <s v="Direct"/>
    <m/>
    <m/>
    <m/>
    <s v="HAPSDCUK20251030-05"/>
    <m/>
    <m/>
    <s v="No"/>
    <n v="5019219356"/>
    <m/>
    <m/>
    <m/>
  </r>
  <r>
    <x v="0"/>
    <x v="0"/>
    <x v="4"/>
    <x v="21"/>
    <d v="2025-10-30T12:00:00"/>
    <s v="373448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54553"/>
    <x v="0"/>
    <m/>
    <s v="31/10/2025 12:00-12:00"/>
    <m/>
    <n v="0"/>
    <m/>
    <s v="No"/>
    <s v="Shipped/Received"/>
    <s v="Direct"/>
    <m/>
    <m/>
    <s v="seray.sezer@intercombi.com"/>
    <m/>
    <m/>
    <m/>
    <s v="No"/>
    <s v="&amp;nbsp"/>
    <m/>
    <m/>
    <m/>
  </r>
  <r>
    <x v="0"/>
    <x v="0"/>
    <x v="4"/>
    <x v="21"/>
    <d v="2025-10-30T12:00:00"/>
    <s v="0006111429_4900"/>
    <s v="Loading"/>
    <n v="464635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23:00-23:00"/>
    <m/>
    <n v="0"/>
    <m/>
    <s v="No"/>
    <s v="Shipped/Received"/>
    <s v="Direct"/>
    <m/>
    <m/>
    <m/>
    <s v="HAPSDCUK20251030-03"/>
    <m/>
    <m/>
    <s v="No"/>
    <n v="5019272997"/>
    <m/>
    <m/>
    <m/>
  </r>
  <r>
    <x v="0"/>
    <x v="0"/>
    <x v="4"/>
    <x v="21"/>
    <d v="2025-10-30T12:00:00"/>
    <s v="372832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63534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3:00:00"/>
    <s v="372736_OOS"/>
    <s v="Loading"/>
    <s v="KR - SEA_OOS"/>
    <s v="Aval non piloté_EN"/>
    <s v="GEODIS"/>
    <m/>
    <m/>
    <s v="No"/>
    <s v="NL Haps DC (DSV)"/>
    <s v="OOS_OUT - Delivery OOS"/>
    <n v="20"/>
    <n v="0"/>
    <n v="0"/>
    <n v="0"/>
    <n v="5019242858"/>
    <x v="0"/>
    <m/>
    <s v="31/10/2025 09:00-09:00"/>
    <m/>
    <n v="0"/>
    <m/>
    <s v="No"/>
    <s v="Shipped/Received"/>
    <s v="Direct"/>
    <m/>
    <m/>
    <s v="nutricia-booking.ff.nl@geodis.com"/>
    <m/>
    <m/>
    <m/>
    <s v="No"/>
    <s v="&amp;nbsp"/>
    <m/>
    <s v="KOREA"/>
    <s v="SRTMS"/>
  </r>
  <r>
    <x v="0"/>
    <x v="0"/>
    <x v="4"/>
    <x v="21"/>
    <d v="2025-10-30T13:00:00"/>
    <s v="0006111427_4900"/>
    <s v="Loading"/>
    <n v="464627"/>
    <s v="Primary flows"/>
    <s v="LKW WALTER FOR SN 3PO"/>
    <m/>
    <m/>
    <s v="No"/>
    <s v="NL Haps DC (DSV)"/>
    <s v="REDD - GB Redditch"/>
    <n v="33"/>
    <n v="0"/>
    <n v="0"/>
    <n v="0"/>
    <s v="1  01"/>
    <x v="1"/>
    <m/>
    <s v="03/11/2025 15:00-15:00"/>
    <m/>
    <n v="0"/>
    <m/>
    <s v="No"/>
    <s v="Shipped/Received"/>
    <s v="Direct"/>
    <m/>
    <m/>
    <m/>
    <s v="HAPSDCUK20251030-01"/>
    <m/>
    <m/>
    <s v="No"/>
    <n v="5019286458"/>
    <m/>
    <m/>
    <m/>
  </r>
  <r>
    <x v="0"/>
    <x v="0"/>
    <x v="4"/>
    <x v="21"/>
    <d v="2025-10-30T13:00:00"/>
    <s v="377816_OOS"/>
    <s v="Loading"/>
    <s v="MEA-SEA_OOS"/>
    <s v="Aval non piloté_EN"/>
    <s v="KERRY LOGISTICS"/>
    <m/>
    <m/>
    <s v="No"/>
    <s v="NL Haps DC (DSV)"/>
    <s v="OOS_OUT - Delivery OOS"/>
    <n v="15"/>
    <n v="0"/>
    <n v="0"/>
    <n v="0"/>
    <s v="MEA 5019209290 5019225097 5019232445 5019217074 5019262665 5019271940 5019272462 5019285043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3:00:00"/>
    <s v="376218_OOS"/>
    <s v="Loading"/>
    <s v="AU-AIR_OOS"/>
    <s v="Aval non piloté_EN"/>
    <s v="HELLMANN"/>
    <m/>
    <m/>
    <s v="No"/>
    <s v="NL Haps DC (DSV)"/>
    <s v="OOS_OUT - Delivery OOS"/>
    <n v="27"/>
    <n v="0"/>
    <n v="0"/>
    <n v="0"/>
    <s v="AU 5019227770 (27 PL - line 1162) AU 5019229369 (3PL - line 1157) TOTAL 30PL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4:00:00"/>
    <s v="372833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5853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4:00:00"/>
    <s v="0006111432_4900"/>
    <s v="Loading"/>
    <n v="464637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23:00-23:00"/>
    <m/>
    <n v="0"/>
    <m/>
    <s v="No"/>
    <s v="Shipped/Received"/>
    <s v="Direct"/>
    <m/>
    <m/>
    <m/>
    <s v="HAPSDCUK20251030-06"/>
    <m/>
    <m/>
    <s v="No"/>
    <n v="5019243255"/>
    <m/>
    <m/>
    <m/>
  </r>
  <r>
    <x v="0"/>
    <x v="0"/>
    <x v="4"/>
    <x v="21"/>
    <d v="2025-10-30T14:00:00"/>
    <s v="377845_OOS"/>
    <s v="Loading"/>
    <s v="MEA-SEA_OOS"/>
    <s v="Aval non piloté_EN"/>
    <s v="KERRY LOGISTICS"/>
    <m/>
    <m/>
    <s v="No"/>
    <s v="NL Haps DC (DSV)"/>
    <s v="OOS_OUT - Delivery OOS"/>
    <n v="9"/>
    <n v="0"/>
    <n v="0"/>
    <n v="0"/>
    <s v="MEA 5019285769 5019278535 5019286367 5019284735"/>
    <x v="2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5:00:00"/>
    <s v="376439_OOS"/>
    <s v="Loading"/>
    <s v="NWW-ROAD_OOS"/>
    <s v="Aval non piloté_EN"/>
    <s v="Kuehne   Nagel Logistics B.V."/>
    <m/>
    <m/>
    <s v="No"/>
    <s v="NL Haps DC (DSV)"/>
    <s v="OOS_OUT - Delivery OOS"/>
    <n v="1"/>
    <n v="0"/>
    <n v="0"/>
    <n v="0"/>
    <n v="5019242328"/>
    <x v="2"/>
    <m/>
    <s v="31/10/2025 12:00-12:00"/>
    <m/>
    <n v="0"/>
    <m/>
    <s v="No"/>
    <s v="Shipped/Received"/>
    <s v="Direct"/>
    <m/>
    <m/>
    <s v="diana.topalova@kuehne-nagel.com"/>
    <m/>
    <m/>
    <m/>
    <s v="No"/>
    <s v="&amp;nbsp"/>
    <m/>
    <m/>
    <m/>
  </r>
  <r>
    <x v="0"/>
    <x v="0"/>
    <x v="4"/>
    <x v="21"/>
    <d v="2025-10-30T15:00:00"/>
    <s v="372870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3112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5:00:00"/>
    <s v="0006104712_4900"/>
    <s v="Loading"/>
    <n v="462578"/>
    <s v="Primary flows"/>
    <s v="ECS FOR SN 3PO"/>
    <m/>
    <m/>
    <s v="No"/>
    <s v="NL Haps DC (DSV)"/>
    <s v="MOUS - FR Moussy-Le-Neuf"/>
    <n v="33"/>
    <n v="0"/>
    <n v="0"/>
    <n v="0"/>
    <s v="1  01"/>
    <x v="1"/>
    <m/>
    <s v="31/10/2025 10:30-10:30"/>
    <m/>
    <n v="0"/>
    <m/>
    <s v="No"/>
    <s v="Shipped/Received"/>
    <s v="Direct"/>
    <m/>
    <m/>
    <m/>
    <s v="HAPSDCFR20251030-02"/>
    <m/>
    <m/>
    <s v="No"/>
    <n v="5019282104"/>
    <m/>
    <m/>
    <m/>
  </r>
  <r>
    <x v="0"/>
    <x v="0"/>
    <x v="4"/>
    <x v="21"/>
    <d v="2025-10-30T16:00:00"/>
    <s v="372872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66477"/>
    <x v="0"/>
    <m/>
    <s v="31/10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1"/>
    <d v="2025-10-30T16:00:00"/>
    <s v="0006104711_4900"/>
    <s v="Loading"/>
    <n v="462551"/>
    <s v="Primary flows"/>
    <s v="ECS FOR SN 3PO"/>
    <m/>
    <m/>
    <s v="No"/>
    <s v="NL Haps DC (DSV)"/>
    <s v="MOUS - FR Moussy-Le-Neuf"/>
    <n v="33"/>
    <n v="0"/>
    <n v="0"/>
    <n v="0"/>
    <s v="1  01"/>
    <x v="1"/>
    <m/>
    <s v="31/10/2025 11:30-11:30"/>
    <m/>
    <n v="0"/>
    <m/>
    <s v="No"/>
    <s v="Shipped/Received"/>
    <s v="Direct"/>
    <m/>
    <m/>
    <m/>
    <s v="HAPSDCFR20251030-01"/>
    <m/>
    <m/>
    <s v="No"/>
    <n v="5019296003"/>
    <m/>
    <m/>
    <m/>
  </r>
  <r>
    <x v="0"/>
    <x v="0"/>
    <x v="4"/>
    <x v="21"/>
    <d v="2025-10-30T16:00:00"/>
    <s v="0006116747_4900"/>
    <s v="Loading"/>
    <n v="466349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6/11/2025 10:00-10:00"/>
    <s v="Qaud428"/>
    <n v="0"/>
    <m/>
    <s v="No"/>
    <s v="Shipped/Received"/>
    <s v="Direct"/>
    <m/>
    <m/>
    <m/>
    <s v="HAPSDCIT20251030-03"/>
    <m/>
    <m/>
    <s v="No"/>
    <n v="5019295886"/>
    <s v="IS63XXV"/>
    <s v="Ojog Octavian"/>
    <m/>
  </r>
  <r>
    <x v="0"/>
    <x v="0"/>
    <x v="4"/>
    <x v="21"/>
    <d v="2025-10-30T17:00:00"/>
    <s v="0006104706_4900"/>
    <s v="Loading"/>
    <n v="462558"/>
    <s v="Primary flows"/>
    <s v="LKW WALTER FOR SN 3PO"/>
    <m/>
    <m/>
    <s v="No"/>
    <s v="NL Haps DC (DSV)"/>
    <s v="ALZE - DE Alzenau"/>
    <n v="33"/>
    <n v="0"/>
    <n v="0"/>
    <n v="0"/>
    <s v="1  01"/>
    <x v="1"/>
    <m/>
    <s v="31/10/2025 09:00-09:00"/>
    <m/>
    <n v="0"/>
    <m/>
    <s v="No"/>
    <s v="Shipped/Received"/>
    <s v="Direct"/>
    <m/>
    <m/>
    <m/>
    <s v="HAPSDCDE20251030-01"/>
    <m/>
    <m/>
    <s v="No"/>
    <n v="5019289496"/>
    <m/>
    <m/>
    <m/>
  </r>
  <r>
    <x v="0"/>
    <x v="0"/>
    <x v="4"/>
    <x v="21"/>
    <d v="2025-10-30T17:00:00"/>
    <s v="0006116748_4900"/>
    <s v="Loading"/>
    <n v="466350"/>
    <s v="Primary flows"/>
    <s v="MIERZWA FOR SN 3PO"/>
    <m/>
    <m/>
    <s v="No"/>
    <s v="NL Haps DC (DSV)"/>
    <s v="GRAB - PL Grabica"/>
    <n v="33"/>
    <n v="0"/>
    <n v="0"/>
    <n v="0"/>
    <s v="1  01"/>
    <x v="1"/>
    <m/>
    <s v="03/11/2025 06:00-06:00"/>
    <s v="KRA8994P"/>
    <n v="0"/>
    <m/>
    <s v="No"/>
    <s v="Shipped/Received"/>
    <s v="Direct"/>
    <m/>
    <m/>
    <m/>
    <s v="HAPSDCPL20251030-03"/>
    <m/>
    <m/>
    <s v="No"/>
    <n v="5019272998"/>
    <s v="KRA725CF"/>
    <s v="Andrzej Kasper "/>
    <m/>
  </r>
  <r>
    <x v="0"/>
    <x v="0"/>
    <x v="4"/>
    <x v="21"/>
    <d v="2025-10-30T17:00:00"/>
    <s v="0006116749_4900"/>
    <s v="Loading"/>
    <n v="466351"/>
    <s v="Primary flows"/>
    <s v="MIERZWA FOR SN 3PO"/>
    <m/>
    <m/>
    <s v="No"/>
    <s v="NL Haps DC (DSV)"/>
    <s v="GRAB - PL Grabica"/>
    <n v="33"/>
    <n v="0"/>
    <n v="0"/>
    <n v="0"/>
    <s v="1  01"/>
    <x v="1"/>
    <m/>
    <s v="03/11/2025 12:00-12:00"/>
    <s v="KRA8184P"/>
    <n v="0"/>
    <m/>
    <s v="No"/>
    <s v="Shipped/Received"/>
    <s v="Direct"/>
    <m/>
    <m/>
    <m/>
    <s v="HAPSDCPL20251030-04"/>
    <m/>
    <m/>
    <s v="No"/>
    <n v="5019285030"/>
    <s v="WPR3472T"/>
    <s v="Krzysztof Baniak"/>
    <m/>
  </r>
  <r>
    <x v="0"/>
    <x v="0"/>
    <x v="4"/>
    <x v="21"/>
    <d v="2025-10-30T18:00:00"/>
    <s v="0006104719_4900"/>
    <s v="Loading"/>
    <n v="462589"/>
    <s v="Primary flows"/>
    <s v="MIERZWA FOR SN 3PO"/>
    <m/>
    <m/>
    <s v="No"/>
    <s v="NL Haps DC (DSV)"/>
    <s v="GRAB - PL Grabica"/>
    <n v="33"/>
    <n v="0"/>
    <n v="0"/>
    <n v="0"/>
    <s v="1  01"/>
    <x v="1"/>
    <m/>
    <s v="31/10/2025 21:00-21:00"/>
    <s v="WPR145AE"/>
    <n v="0"/>
    <m/>
    <s v="No"/>
    <s v="Shipped/Received"/>
    <s v="Direct"/>
    <m/>
    <m/>
    <m/>
    <s v="HAPSDCPL20251030-01"/>
    <m/>
    <m/>
    <s v="No"/>
    <n v="5019281863"/>
    <s v="KRA938AJ"/>
    <s v="Adrian S?odowski"/>
    <m/>
  </r>
  <r>
    <x v="0"/>
    <x v="0"/>
    <x v="4"/>
    <x v="21"/>
    <d v="2025-10-30T18:00:00"/>
    <s v="0006104720_4900"/>
    <s v="Loading"/>
    <n v="462596"/>
    <s v="Primary flows"/>
    <s v="PIOMAR FOR SN 3PO"/>
    <m/>
    <m/>
    <s v="No"/>
    <s v="NL Haps DC (DSV)"/>
    <s v="GRAB - PL Grabica"/>
    <n v="33"/>
    <n v="0"/>
    <n v="0"/>
    <n v="0"/>
    <s v="1  01"/>
    <x v="1"/>
    <m/>
    <s v="31/10/2025 20:00-20:00"/>
    <m/>
    <n v="0"/>
    <m/>
    <s v="No"/>
    <s v="Shipped/Received"/>
    <s v="Direct"/>
    <m/>
    <m/>
    <m/>
    <s v="HAPSDCPL20251030-02"/>
    <m/>
    <m/>
    <s v="No"/>
    <n v="5019285666"/>
    <m/>
    <m/>
    <m/>
  </r>
  <r>
    <x v="0"/>
    <x v="0"/>
    <x v="4"/>
    <x v="21"/>
    <d v="2025-10-30T18:00:00"/>
    <s v="0006104713_4900"/>
    <s v="Loading"/>
    <n v="462576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31/10/2025 08:00-08:00"/>
    <m/>
    <n v="0"/>
    <m/>
    <s v="No"/>
    <s v="Shipped/Received"/>
    <s v="Direct"/>
    <m/>
    <m/>
    <m/>
    <s v="HAPSDCFR20251030-03"/>
    <m/>
    <m/>
    <s v="No"/>
    <n v="5019280228"/>
    <m/>
    <m/>
    <m/>
  </r>
  <r>
    <x v="0"/>
    <x v="0"/>
    <x v="4"/>
    <x v="21"/>
    <d v="2025-10-30T19:00:00"/>
    <s v="0006104715_4900"/>
    <s v="Loading"/>
    <n v="462593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6/11/2025 08:00-08:00"/>
    <m/>
    <n v="0"/>
    <m/>
    <s v="No"/>
    <s v="Shipped/Received"/>
    <s v="Direct"/>
    <m/>
    <m/>
    <m/>
    <s v="HAPSDCIT20251030-01"/>
    <m/>
    <m/>
    <s v="No"/>
    <n v="5019290406"/>
    <m/>
    <m/>
    <m/>
  </r>
  <r>
    <x v="0"/>
    <x v="0"/>
    <x v="4"/>
    <x v="21"/>
    <d v="2025-10-30T19:00:00"/>
    <s v="0006104716_4900"/>
    <s v="Loading"/>
    <n v="462574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6/11/2025 08:00-08:00"/>
    <m/>
    <n v="0"/>
    <m/>
    <s v="No"/>
    <s v="Shipped/Received"/>
    <s v="Direct"/>
    <m/>
    <m/>
    <m/>
    <s v="HAPSDCIT20251030-02"/>
    <m/>
    <m/>
    <s v="No"/>
    <n v="5019286182"/>
    <m/>
    <m/>
    <m/>
  </r>
  <r>
    <x v="0"/>
    <x v="0"/>
    <x v="4"/>
    <x v="21"/>
    <d v="2025-10-30T19:00:00"/>
    <s v="0006104710_4900"/>
    <s v="Loading"/>
    <s v="466783 / 462555"/>
    <s v="Primary flows / Primary flows"/>
    <s v="LOGISTA FOR SN 3PO"/>
    <m/>
    <m/>
    <s v="No"/>
    <s v="NL Haps DC (DSV)"/>
    <s v="CIE2 - ES Ciempozuelos SN / CIE2 - ES Ciempozuelos SN"/>
    <n v="66"/>
    <n v="0"/>
    <n v="0"/>
    <n v="0"/>
    <s v="1  01"/>
    <x v="1"/>
    <m/>
    <s v="04/11/2025 08:00-08:00"/>
    <s v="R5049BDC "/>
    <n v="0"/>
    <m/>
    <s v="No"/>
    <s v="Shipped/Received"/>
    <s v="Direct"/>
    <s v=" / "/>
    <s v=" / "/>
    <m/>
    <s v="HAPSDCES20251030-01 / HAPSDCES20251030-01"/>
    <m/>
    <m/>
    <s v="No"/>
    <s v="5019290901 / 5019285034"/>
    <s v="6081MVC"/>
    <s v="Cristian Vlaicu Solomon"/>
    <m/>
  </r>
  <r>
    <x v="0"/>
    <x v="0"/>
    <x v="4"/>
    <x v="21"/>
    <d v="2025-10-30T20:00:00"/>
    <s v="0006104705_4900"/>
    <s v="Loading"/>
    <n v="462582"/>
    <s v="Primary flows"/>
    <s v="GIRTEKA FOR SN 3PO"/>
    <m/>
    <m/>
    <s v="No"/>
    <s v="NL Haps DC (DSV)"/>
    <s v="NAZA - BE Nazareth (Dematra)"/>
    <n v="33"/>
    <n v="0"/>
    <n v="0"/>
    <n v="0"/>
    <s v="1  01"/>
    <x v="1"/>
    <m/>
    <s v="31/10/2025 11:00-11:00"/>
    <s v="PZ_2M633"/>
    <n v="0"/>
    <m/>
    <s v="No"/>
    <s v="Shipped/Received"/>
    <s v="Direct"/>
    <m/>
    <m/>
    <m/>
    <s v="HAPSDCBE20251030-01"/>
    <m/>
    <m/>
    <s v="No"/>
    <n v="5019288131"/>
    <s v="NMB_065"/>
    <s v="Muhammad Faisal"/>
    <m/>
  </r>
  <r>
    <x v="0"/>
    <x v="0"/>
    <x v="4"/>
    <x v="22"/>
    <d v="2025-10-31T06:00:00"/>
    <s v="0006111436_4900"/>
    <s v="Loading"/>
    <s v="467444 / 464651"/>
    <s v="Primary flows / Primary flows"/>
    <s v="SAMSKIP FOR SN 3PO"/>
    <m/>
    <m/>
    <s v="No"/>
    <s v="NL Haps DC (DSV)"/>
    <s v="REDD - GB Redditch / REDD - GB Redditch"/>
    <n v="66"/>
    <n v="0"/>
    <n v="0"/>
    <n v="0"/>
    <s v="1  01"/>
    <x v="1"/>
    <m/>
    <s v="10/11/2025 18:00-18:00"/>
    <m/>
    <n v="0"/>
    <m/>
    <s v="No"/>
    <s v="Shipped/Received"/>
    <s v="Direct"/>
    <s v=" / "/>
    <s v=" / "/>
    <m/>
    <s v="HAPSDCUK20251031-04 / HAPSDCUK20251031-04"/>
    <m/>
    <m/>
    <s v="No"/>
    <s v="5019297988 / 5019294996"/>
    <m/>
    <m/>
    <m/>
  </r>
  <r>
    <x v="0"/>
    <x v="0"/>
    <x v="4"/>
    <x v="22"/>
    <d v="2025-10-31T06:00:00"/>
    <s v="370014_OOS"/>
    <s v="Loading"/>
    <s v="AU-SEA-6087515_OOS"/>
    <s v="Aval non piloté_EN"/>
    <s v="MAERSK - Control Tower"/>
    <m/>
    <m/>
    <s v="No"/>
    <s v="NL Haps DC (DSV)"/>
    <s v="OOS_OUT - Delivery OOS"/>
    <n v="20"/>
    <n v="0"/>
    <n v="0"/>
    <n v="0"/>
    <n v="5019230266"/>
    <x v="0"/>
    <m/>
    <s v="01/11/2025 00:02-00:02"/>
    <m/>
    <n v="0"/>
    <m/>
    <s v="No"/>
    <s v="Shipped/Received"/>
    <s v="Direct"/>
    <m/>
    <m/>
    <s v="nutricia.ct.eu@lns.maersk.com"/>
    <m/>
    <m/>
    <m/>
    <s v="No"/>
    <s v="&amp;nbsp"/>
    <m/>
    <m/>
    <n v="260356170"/>
  </r>
  <r>
    <x v="0"/>
    <x v="0"/>
    <x v="4"/>
    <x v="22"/>
    <d v="2025-10-31T07:00:00"/>
    <s v="370015_OOS"/>
    <s v="Loading"/>
    <s v="AU-SEA-6087514_OOS"/>
    <s v="Aval non piloté_EN"/>
    <s v="MAERSK - Control Tower"/>
    <m/>
    <m/>
    <s v="No"/>
    <s v="NL Haps DC (DSV)"/>
    <s v="OOS_OUT - Delivery OOS"/>
    <n v="20"/>
    <n v="0"/>
    <n v="0"/>
    <n v="0"/>
    <n v="5019235781"/>
    <x v="0"/>
    <m/>
    <s v="01/11/2025 00:02-00:02"/>
    <m/>
    <n v="0"/>
    <m/>
    <s v="No"/>
    <s v="Shipped/Received"/>
    <s v="Direct"/>
    <m/>
    <m/>
    <s v="nutricia.ct.eu@lns.maersk.com"/>
    <m/>
    <m/>
    <m/>
    <s v="No"/>
    <s v="&amp;nbsp"/>
    <m/>
    <m/>
    <n v="260356170"/>
  </r>
  <r>
    <x v="0"/>
    <x v="0"/>
    <x v="4"/>
    <x v="22"/>
    <d v="2025-10-31T07:00:00"/>
    <s v="379565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09617"/>
    <x v="2"/>
    <m/>
    <s v="01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07:00:00"/>
    <s v="376438_OOS"/>
    <s v="Loading"/>
    <s v="NWW-ROAD_OOS"/>
    <s v="Aval non piloté_EN"/>
    <s v="Kuehne   Nagel Logistics B.V."/>
    <m/>
    <m/>
    <s v="No"/>
    <s v="NL Haps DC (DSV)"/>
    <s v="OOS_OUT - Delivery OOS"/>
    <n v="1"/>
    <n v="0"/>
    <n v="0"/>
    <n v="0"/>
    <n v="5019242857"/>
    <x v="0"/>
    <m/>
    <s v="01/11/2025 12:00-12:00"/>
    <m/>
    <n v="0"/>
    <m/>
    <s v="No"/>
    <s v="Shipped/Received"/>
    <s v="Direct"/>
    <m/>
    <m/>
    <s v="diana.topalova@kuehne-nagel.com"/>
    <m/>
    <m/>
    <m/>
    <s v="No"/>
    <s v="&amp;nbsp"/>
    <m/>
    <m/>
    <m/>
  </r>
  <r>
    <x v="0"/>
    <x v="0"/>
    <x v="4"/>
    <x v="22"/>
    <d v="2025-10-31T08:00:00"/>
    <s v="375023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8979703 5019014596 5019090148 "/>
    <x v="0"/>
    <m/>
    <s v="0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08:00:00"/>
    <s v="375022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32383"/>
    <x v="0"/>
    <m/>
    <s v="0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08:00:00"/>
    <s v="0006111437_4900"/>
    <s v="Loading"/>
    <n v="464628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23:00-23:00"/>
    <m/>
    <n v="0"/>
    <m/>
    <s v="No"/>
    <s v="Shipped/Received"/>
    <s v="Direct"/>
    <m/>
    <m/>
    <m/>
    <s v="HAPSDCUK20251031-05"/>
    <m/>
    <m/>
    <s v="No"/>
    <n v="5019291428"/>
    <m/>
    <m/>
    <m/>
  </r>
  <r>
    <x v="0"/>
    <x v="0"/>
    <x v="4"/>
    <x v="22"/>
    <d v="2025-10-31T08:00:00"/>
    <s v="0006119434_4900"/>
    <s v="Loading"/>
    <n v="467436"/>
    <s v="Primary flows"/>
    <s v="DFDS FOR SN 3PO"/>
    <m/>
    <m/>
    <s v="No"/>
    <s v="NL Haps DC (DSV)"/>
    <s v="WEXF - IE Wexford Factory"/>
    <n v="22"/>
    <n v="0"/>
    <n v="0"/>
    <n v="0"/>
    <s v="1  01"/>
    <x v="5"/>
    <m/>
    <s v="06/11/2025 23:30-23:30"/>
    <m/>
    <n v="0"/>
    <m/>
    <s v="No"/>
    <s v="Shipped/Received"/>
    <s v="Direct"/>
    <m/>
    <m/>
    <m/>
    <s v="SPHapsWex-311025-01"/>
    <m/>
    <m/>
    <s v="No"/>
    <s v="5019295060 "/>
    <m/>
    <m/>
    <m/>
  </r>
  <r>
    <x v="0"/>
    <x v="0"/>
    <x v="4"/>
    <x v="22"/>
    <d v="2025-10-31T09:00:00"/>
    <s v="375024_OOS"/>
    <s v="Loading"/>
    <s v="MEA-SEA_OOS"/>
    <s v="Aval non piloté_EN"/>
    <s v="KERRY LOGISTICS"/>
    <m/>
    <m/>
    <m/>
    <s v="NL Haps DC (DSV)"/>
    <s v="OOS_OUT - Delivery OOS"/>
    <n v="23"/>
    <n v="0"/>
    <n v="0"/>
    <n v="0"/>
    <s v="MEA 5019088074 5019124364 5019112337 5018982678"/>
    <x v="0"/>
    <m/>
    <s v="01/11/2025 10:00-10:00"/>
    <m/>
    <n v="0"/>
    <m/>
    <s v="No"/>
    <s v="Scheduled"/>
    <s v="Direct"/>
    <m/>
    <m/>
    <s v="mdc.transport@danone.com"/>
    <m/>
    <m/>
    <m/>
    <s v="No"/>
    <s v="&amp;nbsp"/>
    <m/>
    <m/>
    <m/>
  </r>
  <r>
    <x v="0"/>
    <x v="0"/>
    <x v="4"/>
    <x v="22"/>
    <d v="2025-10-31T09:00:00"/>
    <s v="378305_OOS"/>
    <s v="Loading"/>
    <s v="HK-AIR_OOS"/>
    <s v="Aval non piloté_EN"/>
    <s v="GEODIS"/>
    <m/>
    <m/>
    <s v="No"/>
    <s v="NL Haps DC (DSV)"/>
    <s v="OOS_OUT - Delivery OOS"/>
    <n v="11"/>
    <n v="0"/>
    <n v="0"/>
    <n v="0"/>
    <s v="HK AIR 5019224978  5017964071 (11PL) MX AIR EXW 5019234079 (3P)"/>
    <x v="0"/>
    <m/>
    <s v="01/11/2025 09:00-09:00"/>
    <m/>
    <n v="0"/>
    <m/>
    <s v="No"/>
    <s v="Shipped/Received"/>
    <s v="Direct"/>
    <m/>
    <m/>
    <s v="export.ams.ff.nl@geodis.com"/>
    <m/>
    <m/>
    <m/>
    <s v="No"/>
    <s v="&amp;nbsp"/>
    <m/>
    <m/>
    <m/>
  </r>
  <r>
    <x v="0"/>
    <x v="0"/>
    <x v="4"/>
    <x v="22"/>
    <d v="2025-10-31T09:00:00"/>
    <s v="379566_OOS"/>
    <s v="Loading"/>
    <s v="5019285571_OOS_OOS"/>
    <s v="Aval non piloté_EN"/>
    <s v="Simon Loos"/>
    <m/>
    <s v="2 BB ophalen 10174690"/>
    <m/>
    <s v="NL Haps DC (DSV)"/>
    <s v="OOS_OUT - Delivery OOS"/>
    <n v="2"/>
    <n v="0"/>
    <n v="0"/>
    <n v="0"/>
    <s v="2 Big bags ophalen materiaal 10174690"/>
    <x v="5"/>
    <m/>
    <s v="01/11/2025 00:00-00:00"/>
    <m/>
    <n v="0"/>
    <m/>
    <s v="No"/>
    <m/>
    <s v="Direct"/>
    <m/>
    <m/>
    <s v="default@danone.com"/>
    <m/>
    <m/>
    <m/>
    <s v="No"/>
    <s v="&amp;nbsp"/>
    <m/>
    <m/>
    <m/>
  </r>
  <r>
    <x v="0"/>
    <x v="0"/>
    <x v="4"/>
    <x v="22"/>
    <d v="2025-10-31T09:00:00"/>
    <s v="0006111434_4900"/>
    <s v="Loading"/>
    <n v="464638"/>
    <s v="Primary flows"/>
    <s v="SAMSKIP FOR SN 3PO"/>
    <m/>
    <m/>
    <s v="No"/>
    <s v="NL Haps DC (DSV)"/>
    <s v="REDD - GB Redditch"/>
    <n v="33"/>
    <n v="0"/>
    <n v="0"/>
    <n v="0"/>
    <s v="1  01"/>
    <x v="1"/>
    <m/>
    <s v="03/11/2025 23:00-23:00"/>
    <m/>
    <n v="0"/>
    <m/>
    <s v="No"/>
    <s v="Shipped/Received"/>
    <s v="Direct"/>
    <m/>
    <m/>
    <m/>
    <s v="HAPSDCUK20251031-02"/>
    <m/>
    <m/>
    <s v="No"/>
    <n v="5019285399"/>
    <m/>
    <m/>
    <m/>
  </r>
  <r>
    <x v="0"/>
    <x v="0"/>
    <x v="4"/>
    <x v="22"/>
    <d v="2025-10-31T10:00:00"/>
    <s v="0006104723_4900"/>
    <s v="Loading"/>
    <n v="462559"/>
    <s v="Primary flows"/>
    <s v="FERCAM AUSTRIA FOR SN 3PO"/>
    <m/>
    <m/>
    <s v="No"/>
    <s v="NL Haps DC (DSV)"/>
    <s v="RICA - CZ Ricany DC2 Ambient WH"/>
    <n v="33"/>
    <n v="0"/>
    <n v="0"/>
    <n v="0"/>
    <s v="1  01"/>
    <x v="1"/>
    <m/>
    <s v="03/11/2025 07:00-07:00"/>
    <m/>
    <n v="0"/>
    <m/>
    <s v="No"/>
    <s v="Shipped/Received"/>
    <s v="Direct"/>
    <m/>
    <m/>
    <m/>
    <s v="HAPSDCCZ20251031-01"/>
    <m/>
    <m/>
    <s v="No"/>
    <n v="5019303894"/>
    <m/>
    <m/>
    <m/>
  </r>
  <r>
    <x v="0"/>
    <x v="0"/>
    <x v="4"/>
    <x v="22"/>
    <d v="2025-10-31T10:00:00"/>
    <s v="378893_OOS"/>
    <s v="Loading"/>
    <s v="EXW_GR_OOS"/>
    <s v="Aval non piloté_EN"/>
    <s v="EXW"/>
    <m/>
    <m/>
    <m/>
    <s v="NL Haps DC (DSV)"/>
    <s v="OOS_OUT - Delivery OOS"/>
    <n v="10"/>
    <n v="0"/>
    <n v="0"/>
    <n v="0"/>
    <n v="5019313101"/>
    <x v="2"/>
    <m/>
    <s v="01/11/2025 15:00-15:00"/>
    <m/>
    <n v="0"/>
    <m/>
    <s v="No"/>
    <s v="Scheduled"/>
    <s v="Direct"/>
    <m/>
    <m/>
    <s v="mdc.transport@danone.com"/>
    <m/>
    <m/>
    <m/>
    <s v="No"/>
    <s v="&amp;nbsp"/>
    <m/>
    <m/>
    <m/>
  </r>
  <r>
    <x v="0"/>
    <x v="0"/>
    <x v="4"/>
    <x v="22"/>
    <d v="2025-10-31T10:00:00"/>
    <s v="0006104732_4900"/>
    <s v="Loading"/>
    <s v="467560 / 467561"/>
    <s v="Primary flows / Primary flows"/>
    <s v="SAMSKIP FOR SN 3PO"/>
    <m/>
    <m/>
    <s v="No"/>
    <s v="NL Haps DC (DSV)"/>
    <s v="DUBL - IE Dublin (United Drug) / DUB3 - IE Dublin (Pemberton)"/>
    <n v="66"/>
    <n v="0"/>
    <n v="0"/>
    <n v="0"/>
    <s v="1  01"/>
    <x v="1"/>
    <m/>
    <s v="07/11/2025 22:00-22:00 / 07/11/2025 18:00-18:00"/>
    <m/>
    <n v="0"/>
    <m/>
    <s v="No"/>
    <s v="Shipped/Received"/>
    <s v="Direct"/>
    <s v=" / "/>
    <s v=" / "/>
    <m/>
    <s v="HAPSDCIE20251031-01 / HAPSDCIE20251031-01"/>
    <m/>
    <m/>
    <s v="No"/>
    <s v="5019298897 / 5019304581"/>
    <m/>
    <m/>
    <m/>
  </r>
  <r>
    <x v="0"/>
    <x v="0"/>
    <x v="4"/>
    <x v="22"/>
    <d v="2025-10-31T10:00:00"/>
    <s v="370017_OOS"/>
    <s v="Loading"/>
    <s v="AU-SEA-6087517_OOS"/>
    <s v="Aval non piloté_EN"/>
    <s v="MAERSK - Control Tower"/>
    <m/>
    <m/>
    <s v="No"/>
    <s v="NL Haps DC (DSV)"/>
    <s v="OOS_OUT - Delivery OOS"/>
    <n v="20"/>
    <n v="0"/>
    <n v="0"/>
    <n v="0"/>
    <s v="5019235208 + 5019235782 "/>
    <x v="0"/>
    <m/>
    <s v="01/11/2025 00:02-00:02"/>
    <m/>
    <n v="0"/>
    <m/>
    <s v="No"/>
    <s v="Shipped/Received"/>
    <s v="Direct"/>
    <m/>
    <m/>
    <s v="nutricia.ct.eu@lns.maersk.com"/>
    <m/>
    <m/>
    <m/>
    <s v="No"/>
    <s v="&amp;nbsp"/>
    <m/>
    <m/>
    <n v="260356373"/>
  </r>
  <r>
    <x v="0"/>
    <x v="0"/>
    <x v="4"/>
    <x v="22"/>
    <d v="2025-10-31T10:00:00"/>
    <s v="374645_OOS"/>
    <s v="Loading"/>
    <s v="CY - SEA_OOS"/>
    <s v="Aval non piloté_EN"/>
    <s v="GEODIS"/>
    <m/>
    <m/>
    <s v="No"/>
    <s v="NL Haps DC (DSV)"/>
    <s v="OOS_OUT - Delivery OOS"/>
    <n v="20"/>
    <n v="0"/>
    <n v="0"/>
    <n v="0"/>
    <s v="5019242956 AMN 5019243184 AMN TBA ELN"/>
    <x v="0"/>
    <m/>
    <s v="01/11/2025 09:00-09:00"/>
    <m/>
    <n v="0"/>
    <m/>
    <s v="No"/>
    <s v="Shipped/Received"/>
    <s v="Direct"/>
    <m/>
    <m/>
    <s v="nutricia-booking.ff.nl@geodis.com"/>
    <m/>
    <m/>
    <m/>
    <s v="No"/>
    <s v="&amp;nbsp"/>
    <m/>
    <s v="CYPRUS"/>
    <s v="SRTMS182786"/>
  </r>
  <r>
    <x v="0"/>
    <x v="0"/>
    <x v="4"/>
    <x v="22"/>
    <d v="2025-10-31T11:00:00"/>
    <s v="0006104724_4900"/>
    <s v="Loading"/>
    <n v="462603"/>
    <s v="Primary flows"/>
    <s v="HART LOGISTICS FOR SN 3PO"/>
    <m/>
    <m/>
    <s v="No"/>
    <s v="NL Haps DC (DSV)"/>
    <s v="RICA - CZ Ricany DC2 Ambient WH"/>
    <n v="33"/>
    <n v="0"/>
    <n v="0"/>
    <n v="0"/>
    <s v="1  01"/>
    <x v="1"/>
    <m/>
    <s v="03/11/2025 10:00-10:00"/>
    <m/>
    <n v="0"/>
    <m/>
    <s v="No"/>
    <s v="Shipped/Received"/>
    <s v="Direct"/>
    <m/>
    <m/>
    <m/>
    <s v="HAPSDCCZ20251031-02"/>
    <m/>
    <m/>
    <s v="No"/>
    <n v="5019302291"/>
    <m/>
    <m/>
    <m/>
  </r>
  <r>
    <x v="0"/>
    <x v="0"/>
    <x v="4"/>
    <x v="22"/>
    <d v="2025-10-31T11:00:00"/>
    <s v="0006118855_4900"/>
    <s v="Loading"/>
    <n v="466886"/>
    <s v="Primary flows"/>
    <s v="ABC CZEPCZYNSKI FOR SN 3PO"/>
    <m/>
    <m/>
    <s v="No"/>
    <s v="NL Haps DC (DSV)"/>
    <s v="BUDA - HU Budapest (BILK Logisztikai)"/>
    <n v="33"/>
    <n v="0"/>
    <n v="0"/>
    <n v="0"/>
    <s v="1  01"/>
    <x v="1"/>
    <m/>
    <s v="03/11/2025 11:00-11:00"/>
    <s v="AB57ANO"/>
    <n v="0"/>
    <m/>
    <s v="No"/>
    <s v="Shipped/Received"/>
    <s v="Direct"/>
    <m/>
    <m/>
    <m/>
    <s v="HAPSDCHU20251031-03"/>
    <m/>
    <m/>
    <s v="No"/>
    <n v="5019297051"/>
    <s v="AB58RPO"/>
    <m/>
    <m/>
  </r>
  <r>
    <x v="0"/>
    <x v="0"/>
    <x v="4"/>
    <x v="22"/>
    <d v="2025-10-31T11:00:00"/>
    <s v="372737_OOS"/>
    <s v="Loading"/>
    <s v="KR - SEA_OOS"/>
    <s v="Aval non piloté_EN"/>
    <s v="GEODIS"/>
    <m/>
    <m/>
    <s v="No"/>
    <s v="NL Haps DC (DSV)"/>
    <s v="OOS_OUT - Delivery OOS"/>
    <n v="20"/>
    <n v="0"/>
    <n v="0"/>
    <n v="0"/>
    <s v="5019243896 5019244246 5019242176 5019246809 5019233429 5019229511  5019232944 "/>
    <x v="0"/>
    <m/>
    <s v="01/11/2025 09:00-09:00"/>
    <m/>
    <n v="0"/>
    <m/>
    <s v="No"/>
    <s v="Shipped/Received"/>
    <s v="Direct"/>
    <m/>
    <m/>
    <s v="nutricia-booking.ff.nl@geodis.com"/>
    <m/>
    <m/>
    <m/>
    <s v="No"/>
    <s v="&amp;nbsp"/>
    <m/>
    <s v="KOREA - EIBE"/>
    <s v="SRTMS183043"/>
  </r>
  <r>
    <x v="0"/>
    <x v="0"/>
    <x v="4"/>
    <x v="22"/>
    <d v="2025-10-31T11:00:00"/>
    <s v="0006111438_4900"/>
    <s v="Loading"/>
    <n v="464659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23:00-23:00"/>
    <m/>
    <n v="0"/>
    <m/>
    <s v="No"/>
    <s v="Shipped/Received"/>
    <s v="Direct"/>
    <m/>
    <m/>
    <m/>
    <s v="HAPSDCUK20251031-06"/>
    <m/>
    <m/>
    <s v="No"/>
    <n v="5019306407"/>
    <m/>
    <m/>
    <m/>
  </r>
  <r>
    <x v="0"/>
    <x v="0"/>
    <x v="4"/>
    <x v="22"/>
    <d v="2025-10-31T12:00:00"/>
    <s v="373442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245523"/>
    <x v="0"/>
    <m/>
    <s v="01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4"/>
    <x v="22"/>
    <d v="2025-10-31T12:00:00"/>
    <s v="376252_OOS"/>
    <s v="Loading"/>
    <s v="NWW-ROAD_OOS"/>
    <s v="Aval non piloté_EN"/>
    <s v="Globalink Logistics"/>
    <m/>
    <s v="only order 5019228719 was shipped"/>
    <s v="No"/>
    <s v="NL Haps DC (DSV)"/>
    <s v="OOS_OUT - Delivery OOS"/>
    <n v="25"/>
    <n v="0"/>
    <n v="0"/>
    <n v="0"/>
    <n v="5019228719"/>
    <x v="0"/>
    <m/>
    <s v="01/11/2025 12:00-12:00"/>
    <m/>
    <n v="0"/>
    <m/>
    <s v="No"/>
    <s v="Shipped/Received"/>
    <s v="Direct"/>
    <m/>
    <m/>
    <s v="ziyad.bouchachia@danone.com"/>
    <m/>
    <m/>
    <m/>
    <s v="No"/>
    <s v="&amp;nbsp"/>
    <m/>
    <m/>
    <m/>
  </r>
  <r>
    <x v="0"/>
    <x v="0"/>
    <x v="4"/>
    <x v="22"/>
    <d v="2025-10-31T12:00:00"/>
    <s v="0006111433_4900"/>
    <s v="Loading"/>
    <s v="467443 / 464666"/>
    <s v="Primary flows / Primary flows"/>
    <s v="GIRTEKA FOR SN 3PO"/>
    <m/>
    <m/>
    <s v="No"/>
    <s v="NL Haps DC (DSV)"/>
    <s v="REDD - GB Redditch / REDD - GB Redditch"/>
    <n v="66"/>
    <n v="0"/>
    <n v="0"/>
    <n v="0"/>
    <s v="1  01"/>
    <x v="1"/>
    <m/>
    <s v="03/11/2025 05:00-05:00"/>
    <m/>
    <n v="0"/>
    <m/>
    <s v="No"/>
    <s v="Shipped/Received"/>
    <s v="Direct"/>
    <s v=" / "/>
    <s v=" / "/>
    <m/>
    <s v="HAPSDCUK20251031-01 / HAPSDCUK20251031-01"/>
    <m/>
    <m/>
    <s v="No"/>
    <s v="5019297697 / 5019295339"/>
    <m/>
    <m/>
    <m/>
  </r>
  <r>
    <x v="0"/>
    <x v="0"/>
    <x v="4"/>
    <x v="22"/>
    <d v="2025-10-31T12:00:00"/>
    <s v="372890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66479"/>
    <x v="0"/>
    <m/>
    <s v="0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13:00:00"/>
    <s v="373443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262069"/>
    <x v="0"/>
    <m/>
    <s v="01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0"/>
    <x v="4"/>
    <x v="22"/>
    <d v="2025-10-31T13:00:00"/>
    <s v="0006104741_4900"/>
    <s v="Loading"/>
    <n v="462580"/>
    <s v="Primary flows"/>
    <s v="DSV DK FOR SN 3PO"/>
    <m/>
    <m/>
    <s v="No"/>
    <s v="NL Haps DC (DSV)"/>
    <s v="HELS - SE Helsingborg"/>
    <n v="33"/>
    <n v="0"/>
    <n v="0"/>
    <n v="0"/>
    <s v="1  01"/>
    <x v="1"/>
    <m/>
    <s v="03/11/2025 14:00-14:00"/>
    <m/>
    <n v="0"/>
    <m/>
    <s v="No"/>
    <s v="Shipped/Received"/>
    <s v="Direct"/>
    <m/>
    <m/>
    <m/>
    <s v="HAPSDCSE20251031-02"/>
    <m/>
    <m/>
    <s v="No"/>
    <n v="5019305408"/>
    <m/>
    <m/>
    <m/>
  </r>
  <r>
    <x v="0"/>
    <x v="0"/>
    <x v="4"/>
    <x v="22"/>
    <d v="2025-10-31T13:00:00"/>
    <s v="372885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0269"/>
    <x v="0"/>
    <m/>
    <s v="0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14:00:00"/>
    <s v="0006104725_4900"/>
    <s v="Loading"/>
    <n v="462560"/>
    <s v="Primary flows"/>
    <s v="LKW WALTER FOR SN 3PO"/>
    <m/>
    <m/>
    <s v="No"/>
    <s v="NL Haps DC (DSV)"/>
    <s v="ALZE - DE Alzenau"/>
    <n v="33"/>
    <n v="0"/>
    <n v="0"/>
    <n v="0"/>
    <s v="1  01"/>
    <x v="1"/>
    <m/>
    <s v="03/11/2025 07:00-07:00"/>
    <m/>
    <n v="0"/>
    <m/>
    <s v="No"/>
    <s v="Shipped/Received"/>
    <s v="Direct"/>
    <m/>
    <m/>
    <m/>
    <s v="HAPSDCDE20251031-01"/>
    <m/>
    <m/>
    <s v="No"/>
    <n v="5019304285"/>
    <m/>
    <m/>
    <m/>
  </r>
  <r>
    <x v="0"/>
    <x v="0"/>
    <x v="4"/>
    <x v="22"/>
    <d v="2025-10-31T14:00:00"/>
    <s v="378147_OOS"/>
    <s v="Loading"/>
    <s v="MX - AIR_OOS"/>
    <s v="Aval non piloté_EN"/>
    <s v="GEODIS"/>
    <m/>
    <s v="slot doubled"/>
    <s v="No"/>
    <s v="NL Haps DC (DSV)"/>
    <s v="OOS_OUT - Delivery OOS"/>
    <n v="3"/>
    <n v="0"/>
    <n v="0"/>
    <n v="0"/>
    <s v="DN 5019234079 (3 PLT)"/>
    <x v="2"/>
    <m/>
    <s v="01/11/2025 09:00-09:00"/>
    <m/>
    <n v="0"/>
    <m/>
    <s v="No"/>
    <s v="Save"/>
    <s v="Direct"/>
    <m/>
    <m/>
    <s v="export.ams.ff.nl@geodis.com"/>
    <m/>
    <m/>
    <m/>
    <s v="No"/>
    <s v="&amp;nbsp"/>
    <m/>
    <m/>
    <s v="MX"/>
  </r>
  <r>
    <x v="0"/>
    <x v="0"/>
    <x v="4"/>
    <x v="22"/>
    <d v="2025-10-31T14:00:00"/>
    <s v="372887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9650"/>
    <x v="0"/>
    <m/>
    <s v="0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15:00:00"/>
    <s v="378303_OOS"/>
    <s v="Loading"/>
    <s v="NWW-AIR_OOS"/>
    <s v="Aval non piloté_EN"/>
    <s v="Vels"/>
    <m/>
    <m/>
    <s v="No"/>
    <s v="NL Haps DC (DSV)"/>
    <s v="OOS_OUT - Delivery OOS"/>
    <n v="2"/>
    <n v="0"/>
    <n v="0"/>
    <n v="0"/>
    <s v="5019230261   5019252208"/>
    <x v="2"/>
    <m/>
    <s v="01/11/2025 12:00-12:00"/>
    <m/>
    <n v="0"/>
    <m/>
    <s v="No"/>
    <s v="Shipped/Received"/>
    <s v="Direct"/>
    <m/>
    <m/>
    <s v="welovebookings@wholesale-by-vels.com"/>
    <m/>
    <m/>
    <m/>
    <s v="No"/>
    <s v="&amp;nbsp"/>
    <m/>
    <m/>
    <m/>
  </r>
  <r>
    <x v="0"/>
    <x v="0"/>
    <x v="4"/>
    <x v="22"/>
    <d v="2025-10-31T15:00:00"/>
    <s v="0006104722_4900"/>
    <s v="Loading"/>
    <s v="467636 / 467445 / 462567"/>
    <s v="Primary flows / Primary flows / Primary flows"/>
    <s v="GIRTEKA FOR SN 3PO"/>
    <m/>
    <m/>
    <s v="No"/>
    <s v="NL Haps DC (DSV)"/>
    <s v="AZA2 - PT Azambuja Ambient / AZA2 - PT Azambuja Ambient / AZA2 - PT Azambuja Ambient"/>
    <n v="99"/>
    <n v="0"/>
    <n v="0"/>
    <n v="0"/>
    <s v="1  01"/>
    <x v="1"/>
    <m/>
    <s v="05/11/2025 16:00-16:00"/>
    <m/>
    <n v="0"/>
    <m/>
    <s v="No"/>
    <s v="Shipped/Received"/>
    <s v="Direct"/>
    <s v=" /  / "/>
    <s v=" /  / "/>
    <m/>
    <s v="HAPSDCPT20251030-02 / HAPSDCPT20251030-02 / HAPSDCPT20251030-02"/>
    <m/>
    <m/>
    <s v="No"/>
    <s v="5019301871 / 5019290626 / 5019286587"/>
    <m/>
    <m/>
    <m/>
  </r>
  <r>
    <x v="0"/>
    <x v="0"/>
    <x v="4"/>
    <x v="22"/>
    <d v="2025-10-31T15:00:00"/>
    <s v="372888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5545"/>
    <x v="0"/>
    <m/>
    <s v="0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15:00:00"/>
    <s v="0006104726_4900"/>
    <s v="Loading"/>
    <n v="462571"/>
    <s v="Primary flows"/>
    <s v="LKW WALTER FOR SN 3PO"/>
    <m/>
    <m/>
    <s v="No"/>
    <s v="NL Haps DC (DSV)"/>
    <s v="ALZE - DE Alzenau"/>
    <n v="33"/>
    <n v="0"/>
    <n v="0"/>
    <n v="0"/>
    <s v="1  01"/>
    <x v="1"/>
    <m/>
    <s v="03/11/2025 11:00-11:00"/>
    <m/>
    <n v="0"/>
    <m/>
    <s v="No"/>
    <s v="Shipped/Received"/>
    <s v="Direct"/>
    <m/>
    <m/>
    <m/>
    <s v="HAPSDCDE20251031-02"/>
    <m/>
    <m/>
    <s v="No"/>
    <n v="5019294743"/>
    <m/>
    <m/>
    <m/>
  </r>
  <r>
    <x v="0"/>
    <x v="0"/>
    <x v="4"/>
    <x v="22"/>
    <d v="2025-10-31T16:00:00"/>
    <s v="0006118854_4900"/>
    <s v="Loading"/>
    <n v="466880"/>
    <s v="Primary flows"/>
    <s v="ABC CZEPCZYNSKI FOR SN 3PO"/>
    <m/>
    <m/>
    <s v="No"/>
    <s v="NL Haps DC (DSV)"/>
    <s v="BUDA - HU Budapest (BILK Logisztikai)"/>
    <n v="33"/>
    <n v="0"/>
    <n v="0"/>
    <n v="0"/>
    <s v="1  01"/>
    <x v="1"/>
    <m/>
    <s v="03/11/2025 13:00-13:00"/>
    <m/>
    <n v="0"/>
    <m/>
    <s v="No"/>
    <s v="Shipped/Received"/>
    <s v="Direct"/>
    <m/>
    <m/>
    <m/>
    <s v="HAPSDCHU20251031-02"/>
    <m/>
    <m/>
    <s v="No"/>
    <n v="5019294594"/>
    <m/>
    <m/>
    <m/>
  </r>
  <r>
    <x v="0"/>
    <x v="0"/>
    <x v="4"/>
    <x v="22"/>
    <d v="2025-10-31T16:00:00"/>
    <s v="372889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81642"/>
    <x v="0"/>
    <m/>
    <s v="0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16:00:00"/>
    <s v="0006104730_4900"/>
    <s v="Loading"/>
    <s v="462595 / 467446"/>
    <s v="Primary flows / Primary flows"/>
    <s v="P AND O FOR SN 3PO"/>
    <m/>
    <m/>
    <s v="No"/>
    <s v="NL Haps DC (DSV)"/>
    <s v="TAMP - FI Tampere / VANT - FI Vantaa (Havi Log)"/>
    <n v="66"/>
    <n v="0"/>
    <n v="0"/>
    <n v="0"/>
    <s v="1  01"/>
    <x v="1"/>
    <m/>
    <s v="07/11/2025 16:00-16:00 / 07/11/2025 11:00-11:00"/>
    <m/>
    <n v="0"/>
    <m/>
    <s v="No"/>
    <s v="Shipped/Received"/>
    <s v="Direct"/>
    <s v=" / "/>
    <s v=" / "/>
    <m/>
    <s v="HAPSDCFI20251031-01 / HAPSDCFI20251031-01"/>
    <m/>
    <m/>
    <s v="No"/>
    <s v="5019302057 / 5019291359"/>
    <m/>
    <m/>
    <m/>
  </r>
  <r>
    <x v="0"/>
    <x v="0"/>
    <x v="4"/>
    <x v="22"/>
    <d v="2025-10-31T17:00:00"/>
    <s v="0006104736_4900"/>
    <s v="Loading"/>
    <n v="462584"/>
    <s v="Primary flows"/>
    <s v="NABUURS FOR SN 3PO"/>
    <m/>
    <m/>
    <s v="No"/>
    <s v="NL Haps DC (DSV)"/>
    <s v="OOST - NL Oosterhout (Nabuurs)"/>
    <n v="33"/>
    <n v="0"/>
    <n v="0"/>
    <n v="0"/>
    <s v="1  01"/>
    <x v="1"/>
    <m/>
    <s v="07/11/2025 22:00-22:00"/>
    <m/>
    <n v="0"/>
    <m/>
    <s v="No"/>
    <s v="Shipped/Received"/>
    <s v="Direct"/>
    <m/>
    <m/>
    <m/>
    <s v="HAPSDCNL20251031-01"/>
    <m/>
    <m/>
    <s v="No"/>
    <n v="5019299564"/>
    <m/>
    <m/>
    <m/>
  </r>
  <r>
    <x v="0"/>
    <x v="0"/>
    <x v="4"/>
    <x v="22"/>
    <d v="2025-10-31T17:00:00"/>
    <s v="373041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178801"/>
    <x v="0"/>
    <m/>
    <s v="0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0"/>
    <x v="4"/>
    <x v="22"/>
    <d v="2025-10-31T18:00:00"/>
    <s v="0006104728_4900"/>
    <s v="Loading"/>
    <n v="462569"/>
    <s v="Primary flows"/>
    <s v="KREISS FOR SN 3PO"/>
    <m/>
    <m/>
    <s v="No"/>
    <s v="NL Haps DC (DSV)"/>
    <s v="CIE2 - ES Ciempozuelos SN"/>
    <n v="33"/>
    <n v="0"/>
    <n v="0"/>
    <n v="0"/>
    <s v="1  01"/>
    <x v="1"/>
    <m/>
    <s v="04/11/2025 10:00-10:00"/>
    <m/>
    <n v="0"/>
    <m/>
    <s v="No"/>
    <s v="Shipped/Received"/>
    <s v="Direct"/>
    <m/>
    <m/>
    <m/>
    <s v="HAPSDCES20251031-01"/>
    <m/>
    <m/>
    <s v="No"/>
    <n v="5019291234"/>
    <m/>
    <m/>
    <m/>
  </r>
  <r>
    <x v="0"/>
    <x v="0"/>
    <x v="4"/>
    <x v="22"/>
    <d v="2025-10-31T18:00:00"/>
    <s v="0006104738_4900"/>
    <s v="Loading"/>
    <n v="462577"/>
    <s v="Primary flows"/>
    <s v="GIRTEKA FOR SN 3PO"/>
    <m/>
    <m/>
    <s v="No"/>
    <s v="NL Haps DC (DSV)"/>
    <s v="GRAB - PL Grabica"/>
    <n v="33"/>
    <n v="0"/>
    <n v="0"/>
    <n v="0"/>
    <s v="1  01"/>
    <x v="1"/>
    <m/>
    <s v="03/11/2025 15:00-15:00"/>
    <s v="PZ_3X220"/>
    <n v="0"/>
    <m/>
    <s v="No"/>
    <s v="Shipped/Received"/>
    <s v="Direct"/>
    <m/>
    <m/>
    <m/>
    <s v="HAPSDCPL20251031-02"/>
    <m/>
    <m/>
    <s v="No"/>
    <n v="5019300389"/>
    <s v="MJU_293"/>
    <s v="Azamat Isomov"/>
    <m/>
  </r>
  <r>
    <x v="0"/>
    <x v="0"/>
    <x v="4"/>
    <x v="22"/>
    <d v="2025-10-31T18:00:00"/>
    <s v="0006104740_4900"/>
    <s v="Loading"/>
    <n v="462549"/>
    <s v="Primary flows"/>
    <s v="DSV DK FOR SN 3PO"/>
    <m/>
    <m/>
    <s v="No"/>
    <s v="NL Haps DC (DSV)"/>
    <s v="HELS - SE Helsingborg"/>
    <n v="33"/>
    <n v="0"/>
    <n v="0"/>
    <n v="0"/>
    <s v="1  01"/>
    <x v="1"/>
    <m/>
    <s v="03/11/2025 15:00-15:00"/>
    <m/>
    <n v="0"/>
    <m/>
    <s v="No"/>
    <s v="Shipped/Received"/>
    <s v="Direct"/>
    <m/>
    <m/>
    <m/>
    <s v="HAPSDCSE20251031-01"/>
    <m/>
    <m/>
    <s v="No"/>
    <n v="5019294998"/>
    <m/>
    <m/>
    <m/>
  </r>
  <r>
    <x v="0"/>
    <x v="0"/>
    <x v="4"/>
    <x v="22"/>
    <d v="2025-10-31T19:00:00"/>
    <s v="0006104734_4900"/>
    <s v="Loading"/>
    <n v="462573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7/11/2025 08:00-08:00"/>
    <m/>
    <n v="0"/>
    <m/>
    <s v="No"/>
    <s v="Shipped/Received"/>
    <s v="Direct"/>
    <m/>
    <m/>
    <m/>
    <s v="HAPSDCIT20251031-01"/>
    <m/>
    <m/>
    <s v="No"/>
    <n v="5019295748"/>
    <m/>
    <m/>
    <m/>
  </r>
  <r>
    <x v="0"/>
    <x v="0"/>
    <x v="4"/>
    <x v="22"/>
    <d v="2025-10-31T19:00:00"/>
    <s v="0006104739_4900"/>
    <s v="Loading"/>
    <s v="467442 / 462552"/>
    <s v="Primary flows / Primary flows"/>
    <s v="GIRTEKA FOR SN 3PO"/>
    <m/>
    <m/>
    <s v="No"/>
    <s v="NL Haps DC (DSV)"/>
    <s v="GRAB - PL Grabica / GRAB - PL Grabica"/>
    <n v="66"/>
    <n v="0"/>
    <n v="0"/>
    <n v="0"/>
    <s v="1  01"/>
    <x v="1"/>
    <m/>
    <s v="03/11/2025 15:00-15:00"/>
    <m/>
    <n v="0"/>
    <m/>
    <s v="No"/>
    <s v="Shipped/Received"/>
    <s v="Direct"/>
    <s v=" / "/>
    <s v=" / "/>
    <m/>
    <s v="HAPSDCPL20251031-03 / HAPSDCPL20251031-03"/>
    <m/>
    <m/>
    <s v="No"/>
    <s v="5019304214 / 5019281877"/>
    <m/>
    <m/>
    <m/>
  </r>
  <r>
    <x v="0"/>
    <x v="0"/>
    <x v="4"/>
    <x v="22"/>
    <d v="2025-10-31T19:00:00"/>
    <s v="0006104735_4900"/>
    <s v="Loading"/>
    <n v="462597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07/11/2025 08:00-08:00"/>
    <m/>
    <n v="0"/>
    <m/>
    <s v="No"/>
    <s v="Shipped/Received"/>
    <s v="Direct"/>
    <m/>
    <m/>
    <m/>
    <s v="HAPSDCIT20251031-02"/>
    <m/>
    <m/>
    <s v="No"/>
    <n v="5019304177"/>
    <m/>
    <m/>
    <m/>
  </r>
  <r>
    <x v="0"/>
    <x v="0"/>
    <x v="4"/>
    <x v="22"/>
    <d v="2025-10-31T20:00:00"/>
    <s v="0006104737_4900"/>
    <s v="Loading"/>
    <s v="467447 / 462570"/>
    <s v="Primary flows / Primary flows"/>
    <s v="GIRTEKA FOR SN 3PO"/>
    <m/>
    <m/>
    <s v="No"/>
    <s v="NL Haps DC (DSV)"/>
    <s v="GRAB - PL Grabica / GRAB - PL Grabica"/>
    <n v="66"/>
    <n v="0"/>
    <n v="0"/>
    <n v="0"/>
    <s v="1  01"/>
    <x v="1"/>
    <m/>
    <s v="03/11/2025 19:00-19:00"/>
    <m/>
    <n v="0"/>
    <m/>
    <s v="No"/>
    <s v="Shipped/Received"/>
    <s v="Direct"/>
    <s v=" / "/>
    <s v=" / "/>
    <m/>
    <s v="HAPSDCPL20251031-01 / HAPSDCPL20251031-01"/>
    <m/>
    <m/>
    <s v="No"/>
    <s v="5019295115 / 5019281876"/>
    <m/>
    <m/>
    <m/>
  </r>
  <r>
    <x v="0"/>
    <x v="0"/>
    <x v="4"/>
    <x v="22"/>
    <d v="2025-10-31T22:00:00"/>
    <s v="379957_OOS"/>
    <s v="Loading"/>
    <s v="Samples Haps Lab_OOS"/>
    <s v="Aval non piloté_EN"/>
    <s v="Nabuurs"/>
    <m/>
    <m/>
    <m/>
    <s v="NL Haps DC (DSV)"/>
    <s v="OOS_OUT - Delivery OOS"/>
    <n v="1"/>
    <n v="0"/>
    <n v="0"/>
    <n v="0"/>
    <n v="5019323327"/>
    <x v="2"/>
    <m/>
    <s v="01/11/2025 15:00-15:00"/>
    <m/>
    <n v="0"/>
    <m/>
    <s v="No"/>
    <m/>
    <s v="Direct"/>
    <m/>
    <m/>
    <s v="mdc.transport@danone.com"/>
    <m/>
    <m/>
    <m/>
    <s v="No"/>
    <s v="&amp;nbsp"/>
    <m/>
    <m/>
    <m/>
  </r>
  <r>
    <x v="0"/>
    <x v="1"/>
    <x v="5"/>
    <x v="23"/>
    <d v="2025-11-03T06:00:00"/>
    <s v="372914_OOS"/>
    <s v="Loading"/>
    <s v="CN-SEA-6096639_OOS"/>
    <s v="Aval non piloté_EN"/>
    <s v="MAERSK - Control Tower"/>
    <m/>
    <m/>
    <s v="No"/>
    <s v="NL Haps DC (DSV)"/>
    <s v="OOS_OUT - Delivery OOS"/>
    <n v="20"/>
    <n v="0"/>
    <n v="0"/>
    <n v="0"/>
    <s v="5019179674 + 5019182181 + 5019224493 "/>
    <x v="0"/>
    <m/>
    <s v="04/11/2025 00:01-00:01"/>
    <m/>
    <n v="0"/>
    <m/>
    <s v="No"/>
    <s v="Shipped/Received"/>
    <s v="Direct"/>
    <m/>
    <m/>
    <s v="3poeuropect@lns.maersk.com"/>
    <m/>
    <m/>
    <m/>
    <s v="No"/>
    <s v="&amp;nbsp"/>
    <m/>
    <m/>
    <n v="260665407"/>
  </r>
  <r>
    <x v="0"/>
    <x v="1"/>
    <x v="5"/>
    <x v="23"/>
    <d v="2025-11-03T06:00:00"/>
    <s v="0006119854_4900"/>
    <s v="Loading"/>
    <n v="467307"/>
    <s v="Primary flows"/>
    <s v="SAMSKIP FOR SN 3PO"/>
    <m/>
    <m/>
    <s v="No"/>
    <s v="NL Haps DC (DSV)"/>
    <s v="REDD - GB Redditch"/>
    <n v="33"/>
    <n v="0"/>
    <n v="0"/>
    <n v="0"/>
    <s v="1  01"/>
    <x v="1"/>
    <m/>
    <s v="13/11/2025 18:00-18:00"/>
    <m/>
    <n v="0"/>
    <m/>
    <s v="No"/>
    <s v="Shipped/Received"/>
    <s v="Direct"/>
    <m/>
    <m/>
    <m/>
    <s v="HAPSDCUK20251103-04"/>
    <m/>
    <m/>
    <s v="No"/>
    <n v="5019318935"/>
    <m/>
    <m/>
    <m/>
  </r>
  <r>
    <x v="0"/>
    <x v="1"/>
    <x v="5"/>
    <x v="23"/>
    <d v="2025-11-03T07:00:00"/>
    <s v="373444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245524 +5019245525 "/>
    <x v="3"/>
    <m/>
    <s v="04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1"/>
    <x v="5"/>
    <x v="23"/>
    <d v="2025-11-03T07:00:00"/>
    <s v="372916_OOS"/>
    <s v="Loading"/>
    <s v="CN-SEA-6096640_OOS"/>
    <s v="Aval non piloté_EN"/>
    <s v="MAERSK - Control Tower"/>
    <m/>
    <m/>
    <s v="No"/>
    <s v="NL Haps DC (DSV)"/>
    <s v="OOS_OUT - Delivery OOS"/>
    <n v="20"/>
    <n v="0"/>
    <n v="0"/>
    <n v="0"/>
    <n v="5019247091"/>
    <x v="0"/>
    <m/>
    <s v="04/11/2025 00:02-00:02"/>
    <m/>
    <n v="0"/>
    <m/>
    <s v="No"/>
    <s v="Shipped/Received"/>
    <s v="Direct"/>
    <m/>
    <m/>
    <s v="3poeuropect@lns.maersk.com"/>
    <m/>
    <m/>
    <m/>
    <s v="No"/>
    <s v="&amp;nbsp"/>
    <m/>
    <m/>
    <n v="260665407"/>
  </r>
  <r>
    <x v="0"/>
    <x v="1"/>
    <x v="5"/>
    <x v="23"/>
    <d v="2025-11-03T08:00:00"/>
    <s v="372939_OOS"/>
    <s v="Loading"/>
    <s v="NZ-SEA-6096642_OOS"/>
    <s v="Aval non piloté_EN"/>
    <s v="Maersk - Control Tower"/>
    <m/>
    <m/>
    <s v="No"/>
    <s v="NL Haps DC (DSV)"/>
    <s v="OOS_OUT - Delivery OOS"/>
    <n v="20"/>
    <n v="0"/>
    <n v="0"/>
    <n v="0"/>
    <n v="5019269596"/>
    <x v="0"/>
    <m/>
    <s v="04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0666242"/>
  </r>
  <r>
    <x v="0"/>
    <x v="1"/>
    <x v="5"/>
    <x v="23"/>
    <d v="2025-11-03T08:00:00"/>
    <s v="0006119853_4900"/>
    <s v="Loading"/>
    <n v="467318"/>
    <s v="Primary flows"/>
    <s v="SAMSKIP FOR SN 3PO"/>
    <m/>
    <m/>
    <s v="No"/>
    <s v="NL Haps DC (DSV)"/>
    <s v="REDD - GB Redditch"/>
    <n v="33"/>
    <n v="0"/>
    <n v="0"/>
    <n v="0"/>
    <s v="1  01"/>
    <x v="1"/>
    <m/>
    <s v="13/11/2025 18:00-18:00"/>
    <m/>
    <n v="0"/>
    <m/>
    <s v="No"/>
    <s v="Shipped/Received"/>
    <s v="Direct"/>
    <m/>
    <m/>
    <m/>
    <s v="HAPSDCUK20251103-03"/>
    <m/>
    <m/>
    <s v="No"/>
    <n v="5019314246"/>
    <m/>
    <m/>
    <m/>
  </r>
  <r>
    <x v="0"/>
    <x v="1"/>
    <x v="5"/>
    <x v="23"/>
    <d v="2025-11-03T08:00:00"/>
    <s v="375399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219470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09:00:00"/>
    <s v="367248_OOS"/>
    <s v="Loading"/>
    <s v="HK-SEA-6078302_OOS"/>
    <s v="Aval non piloté_EN"/>
    <s v="MAERSK - Control Tower"/>
    <m/>
    <m/>
    <s v="No"/>
    <s v="NL Haps DC (DSV)"/>
    <s v="OOS_OUT - Delivery OOS"/>
    <n v="10"/>
    <n v="0"/>
    <n v="0"/>
    <n v="0"/>
    <n v="5019230255"/>
    <x v="0"/>
    <m/>
    <s v="04/11/2025 00:03-00:03"/>
    <m/>
    <n v="0"/>
    <m/>
    <s v="No"/>
    <s v="Shipped/Received"/>
    <s v="Direct"/>
    <m/>
    <m/>
    <s v="3POeuropect@lns.maersk.com"/>
    <m/>
    <m/>
    <m/>
    <s v="No"/>
    <s v="&amp;nbsp"/>
    <m/>
    <m/>
    <n v="260109759"/>
  </r>
  <r>
    <x v="0"/>
    <x v="1"/>
    <x v="5"/>
    <x v="23"/>
    <d v="2025-11-03T09:00:00"/>
    <s v="378906_OOS"/>
    <s v="Loading"/>
    <s v="DSV-ZTM_OOS"/>
    <s v="Aval non piloté_EN"/>
    <s v="Koopman Cargo B.V."/>
    <m/>
    <m/>
    <m/>
    <s v="NL Haps DC (DSV)"/>
    <s v="OOS_OUT - Delivery OOS"/>
    <n v="23"/>
    <n v="0"/>
    <n v="0"/>
    <n v="0"/>
    <s v="4505814805 &amp; 5019323645 LZV"/>
    <x v="1"/>
    <m/>
    <s v="04/11/2025 10:00-10:00"/>
    <m/>
    <n v="0"/>
    <m/>
    <s v="No"/>
    <s v="Scheduled"/>
    <s v="Direct"/>
    <m/>
    <m/>
    <s v="mdc.transport@danone.com"/>
    <m/>
    <m/>
    <m/>
    <s v="No"/>
    <s v="&amp;nbsp"/>
    <m/>
    <m/>
    <m/>
  </r>
  <r>
    <x v="0"/>
    <x v="1"/>
    <x v="5"/>
    <x v="23"/>
    <d v="2025-11-03T09:00:00"/>
    <s v="372940_OOS"/>
    <s v="Loading"/>
    <s v="NZ-SEA-6096643_OOS"/>
    <s v="Aval non piloté_EN"/>
    <s v="Maersk - Control Tower"/>
    <m/>
    <m/>
    <s v="No"/>
    <s v="NL Haps DC (DSV)"/>
    <s v="OOS_OUT - Delivery OOS"/>
    <n v="20"/>
    <n v="0"/>
    <n v="0"/>
    <n v="0"/>
    <n v="5019286271"/>
    <x v="0"/>
    <m/>
    <s v="04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0666242"/>
  </r>
  <r>
    <x v="0"/>
    <x v="1"/>
    <x v="5"/>
    <x v="23"/>
    <d v="2025-11-03T10:00:00"/>
    <s v="0006110182_4900"/>
    <s v="Loading"/>
    <n v="464088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09/11/2025 19:00-19:00"/>
    <m/>
    <n v="0"/>
    <m/>
    <s v="No"/>
    <s v="Shipped/Received"/>
    <s v="Direct"/>
    <m/>
    <m/>
    <m/>
    <s v="HAPSDCIE20251103-01"/>
    <m/>
    <m/>
    <s v="No"/>
    <n v="5019314365"/>
    <m/>
    <m/>
    <m/>
  </r>
  <r>
    <x v="0"/>
    <x v="1"/>
    <x v="5"/>
    <x v="23"/>
    <d v="2025-11-03T10:00:00"/>
    <s v="378526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294315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1:00:00"/>
    <s v="378827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291239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1:00:00"/>
    <s v="378826_OOS"/>
    <s v="Loading"/>
    <s v="CN-AIR_OOS"/>
    <s v="Aval non piloté_EN"/>
    <s v="KERRY LOGISTICS"/>
    <m/>
    <m/>
    <s v="No"/>
    <s v="NL Haps DC (DSV)"/>
    <s v="OOS_OUT - Delivery OOS"/>
    <n v="25"/>
    <n v="0"/>
    <n v="0"/>
    <n v="0"/>
    <s v="CN 5019305484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1:00:00"/>
    <s v="0006119852_4900"/>
    <s v="Loading"/>
    <n v="467325"/>
    <s v="Primary flows"/>
    <s v="SAMSKIP FOR SN 3PO"/>
    <m/>
    <m/>
    <s v="No"/>
    <s v="NL Haps DC (DSV)"/>
    <s v="REDD - GB Redditch"/>
    <n v="33"/>
    <n v="0"/>
    <n v="0"/>
    <n v="0"/>
    <s v="1  01"/>
    <x v="1"/>
    <m/>
    <s v="07/11/2025 17:00-17:00"/>
    <m/>
    <n v="0"/>
    <m/>
    <s v="No"/>
    <s v="Shipped/Received"/>
    <s v="Direct"/>
    <m/>
    <m/>
    <m/>
    <s v="HAPSDCUK20251103-02"/>
    <m/>
    <m/>
    <s v="No"/>
    <n v="5019318600"/>
    <m/>
    <m/>
    <m/>
  </r>
  <r>
    <x v="0"/>
    <x v="1"/>
    <x v="5"/>
    <x v="23"/>
    <d v="2025-11-03T12:00:00"/>
    <s v="372895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175764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2:00:00"/>
    <s v="0006110183_4900"/>
    <s v="Loading"/>
    <n v="464081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05/11/2025 20:00-20:00"/>
    <s v="PZ_4M962"/>
    <n v="0"/>
    <m/>
    <s v="No"/>
    <s v="Shipped/Received"/>
    <s v="Direct"/>
    <m/>
    <m/>
    <m/>
    <s v="HAPSDCIT20251103-01"/>
    <m/>
    <m/>
    <s v="No"/>
    <n v="5019309854"/>
    <s v="NIE_164"/>
    <s v="Azamat Saidov"/>
    <m/>
  </r>
  <r>
    <x v="0"/>
    <x v="1"/>
    <x v="5"/>
    <x v="23"/>
    <d v="2025-11-03T12:00:00"/>
    <s v="0006110230_4900"/>
    <s v="Loading"/>
    <n v="464127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05/11/2025 12:00-12:00"/>
    <s v="PZ_3X022"/>
    <n v="0"/>
    <m/>
    <s v="No"/>
    <s v="Shipped/Received"/>
    <s v="Direct"/>
    <m/>
    <m/>
    <m/>
    <s v="HAPSDCIT20251105-01"/>
    <m/>
    <m/>
    <s v="No"/>
    <n v="5019319580"/>
    <s v="MZJ_233"/>
    <s v="Gulomjon Kabirov"/>
    <m/>
  </r>
  <r>
    <x v="0"/>
    <x v="1"/>
    <x v="5"/>
    <x v="23"/>
    <d v="2025-11-03T13:00:00"/>
    <s v="0006110188_4900"/>
    <s v="Loading"/>
    <s v="468284 / 468283 / 464084"/>
    <s v="Primary flows / Primary flows / Primary flows"/>
    <s v="GIRTEKA FOR SN 3PO"/>
    <m/>
    <m/>
    <s v="No"/>
    <s v="NL Haps DC (DSV)"/>
    <s v="AZA2 - PT Azambuja Ambient / AZA2 - PT Azambuja Ambient / AZA2 - PT Azambuja Ambient"/>
    <n v="99"/>
    <n v="0"/>
    <n v="0"/>
    <n v="0"/>
    <s v="1  01"/>
    <x v="1"/>
    <m/>
    <s v="05/11/2025 14:00-14:00"/>
    <m/>
    <n v="0"/>
    <m/>
    <s v="No"/>
    <s v="Shipped/Received"/>
    <s v="Direct"/>
    <s v=" /  / "/>
    <s v=" /  / "/>
    <m/>
    <s v="HAPSDCPT20251103-01 / HAPSDCPT20251103-01 / HAPSDCPT20251103-01"/>
    <m/>
    <m/>
    <s v="No"/>
    <s v="5019316043 / 5019314281 / 5019313844"/>
    <m/>
    <m/>
    <m/>
  </r>
  <r>
    <x v="0"/>
    <x v="1"/>
    <x v="5"/>
    <x v="23"/>
    <d v="2025-11-03T13:00:00"/>
    <s v="372892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79048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3:00:00"/>
    <s v="373032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150194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4:00:00"/>
    <s v="372893_OOS"/>
    <s v="Loading"/>
    <s v="CN-AIR_OOS"/>
    <s v="Aval non piloté_EN"/>
    <s v="KERRY LOGISTICS"/>
    <m/>
    <m/>
    <s v="No"/>
    <s v="NL Haps DC (DSV)"/>
    <s v="OOS_OUT - Delivery OOS"/>
    <n v="23"/>
    <n v="0"/>
    <n v="0"/>
    <n v="0"/>
    <s v="CN 5019180168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4:00:00"/>
    <s v="373033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150195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4:00:00"/>
    <s v="0006110174_4900"/>
    <s v="Loading"/>
    <n v="464082"/>
    <s v="Primary flows"/>
    <s v="LKW WALTER FOR SN 3PO"/>
    <m/>
    <m/>
    <s v="No"/>
    <s v="NL Haps DC (DSV)"/>
    <s v="ALZE - DE Alzenau"/>
    <n v="33"/>
    <n v="0"/>
    <n v="0"/>
    <n v="0"/>
    <s v="1  01"/>
    <x v="1"/>
    <m/>
    <s v="05/11/2025 06:00-06:00"/>
    <m/>
    <n v="0"/>
    <m/>
    <s v="No"/>
    <s v="Shipped/Received"/>
    <s v="Direct"/>
    <m/>
    <m/>
    <m/>
    <s v="HAPSDCDE20251103-02"/>
    <m/>
    <m/>
    <s v="No"/>
    <n v="5019305301"/>
    <m/>
    <m/>
    <m/>
  </r>
  <r>
    <x v="0"/>
    <x v="1"/>
    <x v="5"/>
    <x v="23"/>
    <d v="2025-11-03T14:00:00"/>
    <s v="372894_OOS"/>
    <s v="Loading"/>
    <s v="CN-AIR_OOS"/>
    <s v="Aval non piloté_EN"/>
    <s v="KERRY LOGISTICS"/>
    <m/>
    <m/>
    <s v="No"/>
    <s v="NL Haps DC (DSV)"/>
    <s v="OOS_OUT - Delivery OOS"/>
    <n v="5"/>
    <n v="0"/>
    <n v="0"/>
    <n v="0"/>
    <s v="CN 5019173113"/>
    <x v="2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5:00:00"/>
    <s v="376969_OOS"/>
    <s v="Loading"/>
    <s v="Scrap Denkavit - ROAD_OOS"/>
    <s v="Aval non piloté_EN"/>
    <s v="Denkavit"/>
    <m/>
    <m/>
    <s v="No"/>
    <s v="NL Haps DC (DSV)"/>
    <s v="OOS_OUT - Delivery OOS"/>
    <n v="30"/>
    <n v="0"/>
    <n v="0"/>
    <n v="0"/>
    <s v="90032090   90012143 (PO 17292368)"/>
    <x v="0"/>
    <m/>
    <s v="04/11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1"/>
    <x v="5"/>
    <x v="23"/>
    <d v="2025-11-03T15:00:00"/>
    <s v="0006110173_4900"/>
    <s v="Loading"/>
    <n v="464083"/>
    <s v="Primary flows"/>
    <s v="LKW WALTER FOR SN 3PO"/>
    <m/>
    <m/>
    <s v="No"/>
    <s v="NL Haps DC (DSV)"/>
    <s v="ALZE - DE Alzenau"/>
    <n v="33"/>
    <n v="0"/>
    <n v="0"/>
    <n v="0"/>
    <s v="1  01"/>
    <x v="1"/>
    <m/>
    <s v="05/11/2025 06:00-06:00"/>
    <m/>
    <n v="0"/>
    <m/>
    <s v="No"/>
    <s v="Shipped/Received"/>
    <s v="Direct"/>
    <m/>
    <m/>
    <m/>
    <s v="HAPSDCDE20251103-01"/>
    <m/>
    <m/>
    <s v="No"/>
    <n v="5019315562"/>
    <m/>
    <m/>
    <m/>
  </r>
  <r>
    <x v="0"/>
    <x v="1"/>
    <x v="5"/>
    <x v="23"/>
    <d v="2025-11-03T15:00:00"/>
    <s v="373034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160991"/>
    <x v="0"/>
    <m/>
    <s v="0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3"/>
    <d v="2025-11-03T15:00:00"/>
    <s v="378735_OOS"/>
    <s v="Loading"/>
    <s v="ARG - AIR_OOS"/>
    <s v="Aval non piloté_EN"/>
    <s v="MAERSK"/>
    <m/>
    <m/>
    <s v="No"/>
    <s v="NL Haps DC (DSV)"/>
    <s v="OOS_OUT - Delivery OOS"/>
    <n v="3"/>
    <n v="0"/>
    <n v="0"/>
    <n v="0"/>
    <s v="ARG AIR EXW 5019204032   5019242824"/>
    <x v="2"/>
    <m/>
    <s v="04/11/2025 15:00-15:00"/>
    <m/>
    <n v="0"/>
    <m/>
    <s v="No"/>
    <s v="Shipped/Received"/>
    <s v="Direct"/>
    <m/>
    <m/>
    <s v="export.AMS@maersk.com"/>
    <m/>
    <m/>
    <m/>
    <s v="No"/>
    <s v="&amp;nbsp"/>
    <m/>
    <m/>
    <m/>
  </r>
  <r>
    <x v="0"/>
    <x v="1"/>
    <x v="5"/>
    <x v="23"/>
    <d v="2025-11-03T16:00:00"/>
    <s v="0006110175_4900"/>
    <s v="Loading"/>
    <n v="464091"/>
    <s v="Primary flows"/>
    <s v="LKW WALTER FOR SN 3PO"/>
    <m/>
    <m/>
    <s v="No"/>
    <s v="NL Haps DC (DSV)"/>
    <s v="ALZE - DE Alzenau"/>
    <n v="33"/>
    <n v="0"/>
    <n v="0"/>
    <n v="0"/>
    <s v="1  01"/>
    <x v="1"/>
    <m/>
    <s v="05/11/2025 06:00-06:00"/>
    <m/>
    <n v="0"/>
    <m/>
    <s v="No"/>
    <s v="Shipped/Received"/>
    <s v="Direct"/>
    <m/>
    <m/>
    <m/>
    <s v="HAPSDCDE20251103-03"/>
    <m/>
    <m/>
    <s v="No"/>
    <n v="5019313374"/>
    <m/>
    <m/>
    <m/>
  </r>
  <r>
    <x v="0"/>
    <x v="1"/>
    <x v="5"/>
    <x v="23"/>
    <d v="2025-11-03T16:00:00"/>
    <s v="378451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296840   5019291339"/>
    <x v="0"/>
    <m/>
    <s v="04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1"/>
    <x v="5"/>
    <x v="23"/>
    <d v="2025-11-03T16:00:00"/>
    <s v="0006110180_4900"/>
    <s v="Loading"/>
    <n v="464089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4/11/2025 08:00-08:00"/>
    <m/>
    <n v="0"/>
    <m/>
    <s v="No"/>
    <s v="Shipped/Received"/>
    <s v="Direct"/>
    <m/>
    <m/>
    <m/>
    <s v="HAPSDCFR20251103-03"/>
    <m/>
    <m/>
    <s v="No"/>
    <n v="5019294312"/>
    <m/>
    <m/>
    <m/>
  </r>
  <r>
    <x v="0"/>
    <x v="1"/>
    <x v="5"/>
    <x v="23"/>
    <d v="2025-11-03T17:00:00"/>
    <s v="0006110178_4900"/>
    <s v="Loading"/>
    <s v="468279 / 464079"/>
    <s v="Primary flows / Primary flows"/>
    <s v="GIRTEKA FOR SN 3PO HVO"/>
    <m/>
    <m/>
    <s v="No"/>
    <s v="NL Haps DC (DSV)"/>
    <s v="MOUS - FR Moussy-Le-Neuf / MOUS - FR Moussy-Le-Neuf"/>
    <n v="66"/>
    <n v="0"/>
    <n v="0"/>
    <n v="0"/>
    <s v="1  01"/>
    <x v="1"/>
    <m/>
    <s v="04/11/2025 08:30-08:30"/>
    <m/>
    <n v="0"/>
    <m/>
    <s v="No"/>
    <s v="Shipped/Received"/>
    <s v="Direct"/>
    <s v=" / "/>
    <s v=" / "/>
    <m/>
    <s v="HAPSDCFR20251103-01 / HAPSDCFR20251103-01"/>
    <m/>
    <m/>
    <s v="No"/>
    <s v="5019305208 / 5019288559"/>
    <m/>
    <m/>
    <m/>
  </r>
  <r>
    <x v="0"/>
    <x v="1"/>
    <x v="5"/>
    <x v="23"/>
    <d v="2025-11-03T17:00:00"/>
    <s v="0006110179_4900"/>
    <s v="Loading"/>
    <n v="464093"/>
    <s v="Primary flows"/>
    <s v="ECS FOR SN 3PO"/>
    <m/>
    <m/>
    <s v="No"/>
    <s v="NL Haps DC (DSV)"/>
    <s v="MOUS - FR Moussy-Le-Neuf"/>
    <n v="33"/>
    <n v="0"/>
    <n v="0"/>
    <n v="0"/>
    <s v="1  01"/>
    <x v="1"/>
    <m/>
    <s v="04/11/2025 13:00-13:00"/>
    <m/>
    <n v="0"/>
    <m/>
    <s v="No"/>
    <s v="Shipped/Received"/>
    <s v="Direct"/>
    <m/>
    <m/>
    <m/>
    <s v="HAPSDCFR20251103-02"/>
    <m/>
    <m/>
    <s v="No"/>
    <n v="5019295392"/>
    <m/>
    <m/>
    <m/>
  </r>
  <r>
    <x v="0"/>
    <x v="1"/>
    <x v="5"/>
    <x v="23"/>
    <d v="2025-11-03T18:00:00"/>
    <s v="0006110186_4900"/>
    <s v="Loading"/>
    <s v="468282 / 468281 / 464077"/>
    <s v="Primary flows / Primary flows / Primary flows"/>
    <s v="MIERZWA FOR SN 3PO"/>
    <m/>
    <m/>
    <s v="No"/>
    <s v="NL Haps DC (DSV)"/>
    <s v="GRAB - PL Grabica / GRAB - PL Grabica / GRAB - PL Grabica"/>
    <n v="99"/>
    <n v="0"/>
    <n v="0"/>
    <n v="0"/>
    <s v="1  01"/>
    <x v="1"/>
    <m/>
    <s v="06/11/2025 10:00-10:00"/>
    <s v="KRA495PA"/>
    <n v="0"/>
    <m/>
    <s v="No"/>
    <s v="Shipped/Received"/>
    <s v="Direct"/>
    <s v=" /  / "/>
    <s v=" /  / "/>
    <m/>
    <s v="HAPSDCPL20251103-02 / HAPSDCPL20251103-02 / HAPSDCPL20251103-02"/>
    <m/>
    <m/>
    <s v="No"/>
    <s v="5019308146 / 5019313656 / 5019314284"/>
    <s v="KRA843CF"/>
    <s v="Andrzej Zbieg"/>
    <m/>
  </r>
  <r>
    <x v="0"/>
    <x v="1"/>
    <x v="5"/>
    <x v="23"/>
    <d v="2025-11-03T18:00:00"/>
    <s v="0006110189_4900"/>
    <s v="Loading"/>
    <n v="464085"/>
    <s v="Primary flows"/>
    <s v="DSV DK FOR SN 3PO"/>
    <m/>
    <m/>
    <s v="No"/>
    <s v="NL Haps DC (DSV)"/>
    <s v="HELS - SE Helsingborg"/>
    <n v="33"/>
    <n v="0"/>
    <n v="0"/>
    <n v="0"/>
    <s v="1  01"/>
    <x v="1"/>
    <m/>
    <s v="05/11/2025 12:00-12:00"/>
    <m/>
    <n v="0"/>
    <m/>
    <s v="No"/>
    <s v="Shipped/Received"/>
    <s v="Direct"/>
    <m/>
    <m/>
    <m/>
    <s v="HAPSDCSE20251103-01"/>
    <m/>
    <m/>
    <s v="No"/>
    <n v="5019317641"/>
    <m/>
    <m/>
    <m/>
  </r>
  <r>
    <x v="0"/>
    <x v="1"/>
    <x v="5"/>
    <x v="23"/>
    <d v="2025-11-03T18:00:00"/>
    <s v="0006119879_4900"/>
    <s v="Loading"/>
    <s v="468280 / 467435"/>
    <s v="Primary flows / Primary flows"/>
    <s v="GIRTEKA FOR SN 3PO HVO"/>
    <m/>
    <m/>
    <s v="No"/>
    <s v="NL Haps DC (DSV)"/>
    <s v="PUCH - AT Puch / PUCH - AT Puch"/>
    <n v="66"/>
    <n v="0"/>
    <n v="0"/>
    <n v="0"/>
    <s v="1  01"/>
    <x v="1"/>
    <m/>
    <s v="05/11/2025 07:00-07:00"/>
    <m/>
    <n v="0"/>
    <m/>
    <s v="No"/>
    <s v="Shipped/Received"/>
    <s v="Direct"/>
    <s v=" / "/>
    <s v=" / "/>
    <m/>
    <s v="HAPSDCAT20251103-01 / HAPSDCAT20251103-01"/>
    <m/>
    <m/>
    <s v="No"/>
    <s v="5019315001 / 5019305137"/>
    <m/>
    <m/>
    <m/>
  </r>
  <r>
    <x v="0"/>
    <x v="1"/>
    <x v="5"/>
    <x v="23"/>
    <d v="2025-11-03T19:00:00"/>
    <s v="0006110176_4900"/>
    <s v="Loading"/>
    <n v="464078"/>
    <s v="Primary flows"/>
    <s v="KREISS FOR SN 3PO"/>
    <m/>
    <m/>
    <s v="No"/>
    <s v="NL Haps DC (DSV)"/>
    <s v="CIE2 - ES Ciempozuelos SN"/>
    <n v="33"/>
    <n v="0"/>
    <n v="0"/>
    <n v="0"/>
    <s v="1  01"/>
    <x v="1"/>
    <m/>
    <s v="05/11/2025 14:00-14:00"/>
    <m/>
    <n v="0"/>
    <m/>
    <s v="No"/>
    <s v="Shipped/Received"/>
    <s v="Direct"/>
    <m/>
    <m/>
    <m/>
    <s v="HAPSDCES20251103-01"/>
    <m/>
    <m/>
    <s v="No"/>
    <n v="5019301548"/>
    <m/>
    <m/>
    <m/>
  </r>
  <r>
    <x v="0"/>
    <x v="1"/>
    <x v="5"/>
    <x v="23"/>
    <d v="2025-11-03T19:00:00"/>
    <s v="0006119851_4900"/>
    <s v="Loading"/>
    <n v="467327"/>
    <s v="Primary flows"/>
    <s v="GIRTEKA FOR SN 3PO"/>
    <m/>
    <m/>
    <s v="No"/>
    <s v="NL Haps DC (DSV)"/>
    <s v="REDD - GB Redditch"/>
    <n v="33"/>
    <n v="0"/>
    <n v="0"/>
    <n v="0"/>
    <s v="1  01"/>
    <x v="1"/>
    <m/>
    <s v="05/11/2025 08:00-08:00"/>
    <s v="PZ_3V298"/>
    <n v="0"/>
    <m/>
    <s v="No"/>
    <s v="Shipped/Received"/>
    <s v="Direct"/>
    <m/>
    <m/>
    <m/>
    <s v="HAPSDCUK20251103-01"/>
    <m/>
    <m/>
    <s v="No"/>
    <n v="5019298594"/>
    <s v="NYY_104"/>
    <s v="Oleksii Solianyk"/>
    <m/>
  </r>
  <r>
    <x v="0"/>
    <x v="1"/>
    <x v="5"/>
    <x v="23"/>
    <d v="2025-11-03T20:00:00"/>
    <s v="378823_OOS"/>
    <s v="Loading"/>
    <s v="5019307921_OOS"/>
    <s v="Aval non piloté_EN"/>
    <s v="Massilly Dronten"/>
    <m/>
    <m/>
    <s v="No"/>
    <s v="NL Haps DC (DSV)"/>
    <s v="OOS_OUT - Delivery OOS"/>
    <n v="16"/>
    <n v="0"/>
    <n v="0"/>
    <n v="0"/>
    <s v="Return to supplier  details shared via email by Lijana"/>
    <x v="5"/>
    <m/>
    <s v="04/11/2025 00:00-00:00"/>
    <m/>
    <n v="0"/>
    <m/>
    <s v="No"/>
    <s v="Shipped/Received"/>
    <s v="Direct"/>
    <m/>
    <m/>
    <s v="dfault.@danone.com"/>
    <m/>
    <m/>
    <m/>
    <s v="No"/>
    <s v="&amp;nbsp"/>
    <m/>
    <m/>
    <s v="REINING (Hoogezand)"/>
  </r>
  <r>
    <x v="0"/>
    <x v="1"/>
    <x v="5"/>
    <x v="23"/>
    <d v="2025-11-03T20:00:00"/>
    <s v="0006110185_4900"/>
    <s v="Loading"/>
    <n v="464080"/>
    <s v="Primary flows"/>
    <s v="PIOMAR FOR SN 3PO"/>
    <m/>
    <m/>
    <s v="No"/>
    <s v="NL Haps DC (DSV)"/>
    <s v="GRAB - PL Grabica"/>
    <n v="33"/>
    <n v="0"/>
    <n v="0"/>
    <n v="0"/>
    <s v="1  01"/>
    <x v="1"/>
    <m/>
    <s v="05/11/2025 21:00-21:00"/>
    <s v="OP1621T"/>
    <n v="0"/>
    <m/>
    <s v="No"/>
    <s v="Shipped/Received"/>
    <s v="Direct"/>
    <m/>
    <m/>
    <m/>
    <s v="HAPSDCPL20251103-01"/>
    <m/>
    <m/>
    <s v="No"/>
    <n v="5019313378"/>
    <s v="OKR56V7"/>
    <s v="JAN BURDZINSKI"/>
    <m/>
  </r>
  <r>
    <x v="0"/>
    <x v="1"/>
    <x v="5"/>
    <x v="24"/>
    <d v="2025-11-04T06:00:00"/>
    <s v="0006119860_4900"/>
    <s v="Loading"/>
    <n v="467314"/>
    <s v="Primary flows"/>
    <s v="SAMSKIP FOR SN 3PO"/>
    <m/>
    <m/>
    <s v="No"/>
    <s v="NL Haps DC (DSV)"/>
    <s v="REDD - GB Redditch"/>
    <n v="33"/>
    <n v="0"/>
    <n v="0"/>
    <n v="0"/>
    <s v="1  01"/>
    <x v="1"/>
    <m/>
    <s v="14/11/2025 18:00-18:00"/>
    <m/>
    <n v="0"/>
    <m/>
    <s v="No"/>
    <s v="Shipped/Received"/>
    <s v="Direct"/>
    <m/>
    <m/>
    <m/>
    <s v="HAPSDCUK20251104-05"/>
    <m/>
    <m/>
    <s v="No"/>
    <n v="5019323483"/>
    <m/>
    <m/>
    <m/>
  </r>
  <r>
    <x v="0"/>
    <x v="1"/>
    <x v="5"/>
    <x v="24"/>
    <d v="2025-11-04T07:00:00"/>
    <s v="0006119859_4900"/>
    <s v="Loading"/>
    <n v="467317"/>
    <s v="Primary flows"/>
    <s v="SAMSKIP FOR SN 3PO"/>
    <m/>
    <m/>
    <s v="No"/>
    <s v="NL Haps DC (DSV)"/>
    <s v="REDD - GB Redditch"/>
    <n v="33"/>
    <n v="0"/>
    <n v="0"/>
    <n v="0"/>
    <s v="1  01"/>
    <x v="1"/>
    <m/>
    <s v="14/11/2025 18:00-18:00"/>
    <m/>
    <n v="0"/>
    <m/>
    <s v="No"/>
    <s v="Shipped/Received"/>
    <s v="Direct"/>
    <m/>
    <m/>
    <m/>
    <s v="HAPSDCUK20251104-04"/>
    <m/>
    <m/>
    <s v="No"/>
    <n v="5019322326"/>
    <m/>
    <m/>
    <m/>
  </r>
  <r>
    <x v="0"/>
    <x v="1"/>
    <x v="5"/>
    <x v="24"/>
    <d v="2025-11-04T07:00:00"/>
    <s v="380449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23826"/>
    <x v="2"/>
    <m/>
    <s v="05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07:00:00"/>
    <s v="379486_OOS"/>
    <s v="Loading"/>
    <s v="CY - SEA_OOS"/>
    <s v="Aval non piloté_EN"/>
    <s v="GEODIS"/>
    <m/>
    <m/>
    <s v="No"/>
    <s v="NL Haps DC (DSV)"/>
    <s v="OOS_OUT - Delivery OOS"/>
    <n v="22"/>
    <n v="0"/>
    <n v="0"/>
    <n v="0"/>
    <s v="DN 5019288331"/>
    <x v="0"/>
    <m/>
    <s v="05/11/2025 12:00-12:00"/>
    <m/>
    <n v="0"/>
    <m/>
    <s v="No"/>
    <s v="Shipped/Received"/>
    <s v="Direct"/>
    <m/>
    <m/>
    <s v="nutricia-booking.ff.nl@geodis.com"/>
    <m/>
    <m/>
    <m/>
    <s v="No"/>
    <s v="&amp;nbsp"/>
    <m/>
    <s v="CYPRUS"/>
    <s v="SRTMS183516"/>
  </r>
  <r>
    <x v="0"/>
    <x v="1"/>
    <x v="5"/>
    <x v="24"/>
    <d v="2025-11-04T07:00:00"/>
    <s v="0006118883_4900"/>
    <s v="Loading"/>
    <n v="466893"/>
    <s v="Primary flows"/>
    <s v="GIRTEKA FOR SN 3PO"/>
    <m/>
    <m/>
    <s v="No"/>
    <s v="NL Haps DC (DSV)"/>
    <s v="OPOL - PL Opole"/>
    <n v="22"/>
    <n v="0"/>
    <n v="0"/>
    <n v="0"/>
    <s v="1  01"/>
    <x v="5"/>
    <m/>
    <s v="06/11/2025 16:30-16:30"/>
    <s v="IC_154"/>
    <n v="0"/>
    <m/>
    <s v="No"/>
    <s v="Shipped/Received"/>
    <s v="Direct"/>
    <m/>
    <m/>
    <m/>
    <s v="SPHapsOPO-041125-01"/>
    <m/>
    <m/>
    <s v="No"/>
    <s v="5019330690 "/>
    <s v="MNB_185"/>
    <s v="Khalilillo Khamrakulov"/>
    <m/>
  </r>
  <r>
    <x v="0"/>
    <x v="1"/>
    <x v="5"/>
    <x v="24"/>
    <d v="2025-11-04T08:00:00"/>
    <s v="375400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232941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08:00:00"/>
    <s v="378915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16660 LZV"/>
    <x v="1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08:00:00"/>
    <s v="375410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235242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08:00:00"/>
    <s v="0006118886_4900"/>
    <s v="Loading"/>
    <n v="466895"/>
    <s v="Primary flows"/>
    <s v="GIRTEKA FOR SN 3PO"/>
    <m/>
    <m/>
    <s v="No"/>
    <s v="NL Haps DC (DSV)"/>
    <s v="OPOL - PL Opole"/>
    <n v="22"/>
    <n v="0"/>
    <n v="0"/>
    <n v="0"/>
    <s v="1  01"/>
    <x v="5"/>
    <m/>
    <s v="06/11/2025 12:45-12:45"/>
    <s v="PZ_1X115"/>
    <n v="0"/>
    <m/>
    <s v="No"/>
    <s v="Shipped/Received"/>
    <s v="Direct"/>
    <m/>
    <m/>
    <m/>
    <s v="SPHapsOPO-041125-04"/>
    <m/>
    <m/>
    <s v="No"/>
    <s v="5019327073 "/>
    <s v="PZ_7J896"/>
    <s v="Viktor Tatchyn"/>
    <m/>
  </r>
  <r>
    <x v="0"/>
    <x v="1"/>
    <x v="5"/>
    <x v="24"/>
    <d v="2025-11-04T09:00:00"/>
    <s v="0006110213_4900"/>
    <s v="Loading"/>
    <n v="464142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09/11/2025 21:00-21:00"/>
    <m/>
    <n v="0"/>
    <m/>
    <s v="No"/>
    <s v="Shipped/Received"/>
    <s v="Direct"/>
    <m/>
    <m/>
    <m/>
    <s v="HAPSDCIE20251104-02"/>
    <m/>
    <m/>
    <s v="No"/>
    <n v="5019324326"/>
    <m/>
    <m/>
    <m/>
  </r>
  <r>
    <x v="0"/>
    <x v="1"/>
    <x v="5"/>
    <x v="24"/>
    <d v="2025-11-04T09:00:00"/>
    <s v="370305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107829 5019123470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09:00:00"/>
    <s v="0006118885_4900"/>
    <s v="Loading"/>
    <n v="466899"/>
    <s v="Primary flows"/>
    <s v="GIRTEKA FOR SN 3PO"/>
    <m/>
    <m/>
    <s v="No"/>
    <s v="NL Haps DC (DSV)"/>
    <s v="OPOL - PL Opole"/>
    <n v="22"/>
    <n v="0"/>
    <n v="0"/>
    <n v="0"/>
    <s v="1  01"/>
    <x v="5"/>
    <m/>
    <s v="06/11/2025 14:15-14:15"/>
    <s v="PZ_7J237"/>
    <n v="0"/>
    <m/>
    <s v="No"/>
    <s v="Shipped/Received"/>
    <s v="Direct"/>
    <m/>
    <m/>
    <m/>
    <s v="SPHapsOPO-041125-03"/>
    <m/>
    <m/>
    <s v="No"/>
    <s v="5019332058 "/>
    <s v="PZ_4W643"/>
    <s v="Ihar Nikitsenka"/>
    <m/>
  </r>
  <r>
    <x v="0"/>
    <x v="1"/>
    <x v="5"/>
    <x v="24"/>
    <d v="2025-11-04T09:00:00"/>
    <s v="37540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235688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10:00:00"/>
    <s v="375409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ELN 5019208469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10:00:00"/>
    <s v="378203_OOS"/>
    <s v="Loading"/>
    <s v="HK-AIR_OOS / CN-AIR_OOS"/>
    <s v="Aval non piloté_EN / Aval non piloté_EN"/>
    <s v="GEODIS"/>
    <m/>
    <m/>
    <s v="No"/>
    <s v="NL Haps DC (DSV)"/>
    <s v="OOS_OUT - Delivery OOS / OOS_OUT - Delivery OOS"/>
    <n v="26"/>
    <n v="0"/>
    <n v="0"/>
    <n v="0"/>
    <s v="CN 5019252405 (25PL - LINE 1169) HK 5019245460 (1PL - LINE 1171) TOTAL 26PL"/>
    <x v="0"/>
    <m/>
    <s v="05/11/2025 10:00-10:00"/>
    <m/>
    <n v="0"/>
    <m/>
    <s v="No"/>
    <s v="Shipped/Received"/>
    <s v="Direct"/>
    <s v=" / "/>
    <s v=" / "/>
    <s v="mdc.transport@danone.com"/>
    <s v=" / "/>
    <m/>
    <m/>
    <s v="No"/>
    <s v="&amp;nbsp"/>
    <s v=" / &amp;nbsp"/>
    <m/>
    <m/>
  </r>
  <r>
    <x v="0"/>
    <x v="1"/>
    <x v="5"/>
    <x v="24"/>
    <d v="2025-11-04T10:00:00"/>
    <s v="377994_OOS"/>
    <s v="Loading"/>
    <s v="TW-AIR_OOS / CN-AIR_OOS"/>
    <s v="Aval non piloté_EN / Aval non piloté_EN"/>
    <s v="GEODIS"/>
    <m/>
    <m/>
    <s v="No"/>
    <s v="NL Haps DC (DSV)"/>
    <s v="OOS_OUT - Delivery OOS / OOS_OUT - Delivery OOS"/>
    <n v="26"/>
    <n v="0"/>
    <n v="0"/>
    <n v="0"/>
    <s v="CN 5019234552 (25PL - LINE 1169) TW 5019257851 (1PL - LINE 1170) TOTAL 26PL"/>
    <x v="0"/>
    <m/>
    <s v="05/11/2025 10:00-10:00"/>
    <m/>
    <n v="0"/>
    <m/>
    <s v="No"/>
    <s v="Shipped/Received"/>
    <s v="Direct"/>
    <s v=" / "/>
    <s v=" / "/>
    <s v="mdc.transport@danone.com"/>
    <s v=" / "/>
    <m/>
    <m/>
    <s v="No"/>
    <s v="&amp;nbsp"/>
    <s v=" / &amp;nbsp"/>
    <m/>
    <m/>
  </r>
  <r>
    <x v="0"/>
    <x v="1"/>
    <x v="5"/>
    <x v="24"/>
    <d v="2025-11-04T10:00:00"/>
    <s v="0006110212_4900"/>
    <s v="Loading"/>
    <n v="464113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09/11/2025 22:00-22:00"/>
    <m/>
    <n v="0"/>
    <m/>
    <s v="No"/>
    <s v="Shipped/Received"/>
    <s v="Direct"/>
    <m/>
    <m/>
    <m/>
    <s v="HAPSDCIE20251104-01"/>
    <m/>
    <m/>
    <s v="No"/>
    <n v="5019314504"/>
    <m/>
    <m/>
    <m/>
  </r>
  <r>
    <x v="0"/>
    <x v="1"/>
    <x v="5"/>
    <x v="24"/>
    <d v="2025-11-04T11:00:00"/>
    <s v="376670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245584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11:00:00"/>
    <s v="373042_OOS"/>
    <s v="Loading"/>
    <s v="CN-AIR_OOS"/>
    <s v="Aval non piloté_EN"/>
    <s v="GEODIS"/>
    <m/>
    <m/>
    <s v="No"/>
    <s v="NL Haps DC (DSV)"/>
    <s v="OOS_OUT - Delivery OOS"/>
    <n v="16"/>
    <n v="0"/>
    <n v="0"/>
    <n v="0"/>
    <s v="CN 5019164864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11:00:00"/>
    <s v="0006119858_4900"/>
    <s v="Loading"/>
    <n v="467310"/>
    <s v="Primary flows"/>
    <s v="SAMSKIP FOR SN 3PO"/>
    <m/>
    <m/>
    <s v="No"/>
    <s v="NL Haps DC (DSV)"/>
    <s v="REDD - GB Redditch"/>
    <n v="33"/>
    <n v="0"/>
    <n v="0"/>
    <n v="0"/>
    <s v="1  01"/>
    <x v="1"/>
    <m/>
    <s v="14/11/2025 18:00-18:00"/>
    <m/>
    <n v="0"/>
    <m/>
    <s v="No"/>
    <s v="Shipped/Received"/>
    <s v="Direct"/>
    <m/>
    <m/>
    <m/>
    <s v="HAPSDCUK20251104-03"/>
    <m/>
    <m/>
    <s v="No"/>
    <n v="5019314381"/>
    <m/>
    <m/>
    <m/>
  </r>
  <r>
    <x v="0"/>
    <x v="1"/>
    <x v="5"/>
    <x v="24"/>
    <d v="2025-11-04T11:00:00"/>
    <s v="0006119880_4900"/>
    <s v="Loading"/>
    <n v="467434"/>
    <s v="Primary flows"/>
    <s v="PIOMAR FOR SN 3PO"/>
    <m/>
    <m/>
    <s v="No"/>
    <s v="NL Haps DC (DSV)"/>
    <s v="RICA - CZ Ricany DC2 Ambient WH"/>
    <n v="33"/>
    <n v="0"/>
    <n v="0"/>
    <n v="0"/>
    <s v="1  01"/>
    <x v="3"/>
    <m/>
    <s v="06/11/2025 13:00-13:00"/>
    <s v="OP6090C"/>
    <n v="0"/>
    <m/>
    <s v="No"/>
    <s v="Shipped/Received"/>
    <s v="Direct"/>
    <m/>
    <m/>
    <m/>
    <s v="HAPSDCCZ20251103-01"/>
    <m/>
    <m/>
    <s v="No"/>
    <n v="5019294997"/>
    <s v="OP4364S"/>
    <s v="PIOTR SAWICKI"/>
    <m/>
  </r>
  <r>
    <x v="0"/>
    <x v="1"/>
    <x v="5"/>
    <x v="24"/>
    <d v="2025-11-04T12:00:00"/>
    <s v="0006119857_4900"/>
    <s v="Loading"/>
    <n v="467313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18:00-18:00"/>
    <m/>
    <n v="0"/>
    <m/>
    <s v="No"/>
    <s v="Shipped/Received"/>
    <s v="Direct"/>
    <m/>
    <m/>
    <m/>
    <s v="HAPSDCUK20251104-02"/>
    <m/>
    <m/>
    <s v="No"/>
    <n v="5019316473"/>
    <m/>
    <m/>
    <m/>
  </r>
  <r>
    <x v="0"/>
    <x v="1"/>
    <x v="5"/>
    <x v="24"/>
    <d v="2025-11-04T12:00:00"/>
    <s v="373035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165341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12:00:00"/>
    <s v="0006118884_4900"/>
    <s v="Loading"/>
    <n v="466897"/>
    <s v="Primary flows"/>
    <s v="PIOMAR FOR SN 3PO"/>
    <m/>
    <m/>
    <s v="No"/>
    <s v="NL Haps DC (DSV)"/>
    <s v="OPOL - PL Opole"/>
    <n v="22"/>
    <n v="0"/>
    <n v="0"/>
    <n v="0"/>
    <s v="1  01"/>
    <x v="5"/>
    <m/>
    <s v="06/11/2025 22:30-22:30"/>
    <m/>
    <n v="0"/>
    <m/>
    <s v="No"/>
    <s v="Shipped/Received"/>
    <s v="Direct"/>
    <m/>
    <m/>
    <m/>
    <s v="SPHapsOPO-041125-02"/>
    <m/>
    <m/>
    <s v="No"/>
    <s v="5019327112 "/>
    <m/>
    <m/>
    <m/>
  </r>
  <r>
    <x v="0"/>
    <x v="1"/>
    <x v="5"/>
    <x v="24"/>
    <d v="2025-11-04T12:00:00"/>
    <s v="0006110201_4900"/>
    <s v="Loading"/>
    <s v="468905 / 464109"/>
    <s v="Primary flows / Primary flows"/>
    <s v="HELLMANN FOR SN 3PO"/>
    <m/>
    <m/>
    <s v="No"/>
    <s v="NL Haps DC (DSV)"/>
    <s v="NEUE - CH Neuendorf (MURPF) SN / NEUE - CH Neuendorf (MURPF) SN"/>
    <n v="66"/>
    <n v="0"/>
    <n v="0"/>
    <n v="0"/>
    <s v="1  01"/>
    <x v="1"/>
    <m/>
    <s v="06/11/2025 13:30-13:30"/>
    <s v="B803W"/>
    <n v="0"/>
    <m/>
    <s v="No"/>
    <s v="Shipped/Received"/>
    <s v="Direct"/>
    <s v=" / "/>
    <s v=" / "/>
    <m/>
    <s v="HAPSDCCH20251104-01 / HAPSDCCH20251104-01"/>
    <m/>
    <m/>
    <s v="No"/>
    <s v="5019324562 / 5019317093"/>
    <s v="HP9292"/>
    <m/>
    <m/>
  </r>
  <r>
    <x v="0"/>
    <x v="1"/>
    <x v="5"/>
    <x v="24"/>
    <d v="2025-11-04T12:00:00"/>
    <s v="378564_OOS"/>
    <s v="Loading"/>
    <s v="TR-ROAD_OOS"/>
    <s v="Aval non piloté_EN"/>
    <s v="Intercombi"/>
    <m/>
    <m/>
    <s v="No"/>
    <s v="NL Haps DC (DSV)"/>
    <s v="OOS_OUT - Delivery OOS"/>
    <n v="33"/>
    <n v="0"/>
    <n v="0"/>
    <n v="0"/>
    <s v="5019290169   5019296692"/>
    <x v="0"/>
    <m/>
    <s v="05/11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1"/>
    <x v="5"/>
    <x v="24"/>
    <d v="2025-11-04T13:00:00"/>
    <s v="0006119856_4900"/>
    <s v="Loading"/>
    <n v="467312"/>
    <s v="Primary flows"/>
    <s v="LKW WALTER FOR SN 3PO"/>
    <m/>
    <m/>
    <s v="No"/>
    <s v="NL Haps DC (DSV)"/>
    <s v="REDD - GB Redditch"/>
    <n v="33"/>
    <n v="0"/>
    <n v="0"/>
    <n v="0"/>
    <s v="1  01"/>
    <x v="1"/>
    <m/>
    <s v="06/11/2025 14:00-14:00"/>
    <m/>
    <n v="0"/>
    <m/>
    <s v="No"/>
    <s v="Shipped/Received"/>
    <s v="Direct"/>
    <m/>
    <m/>
    <m/>
    <s v="HAPSDCUK20251104-01"/>
    <m/>
    <m/>
    <s v="No"/>
    <n v="5019306757"/>
    <m/>
    <m/>
    <m/>
  </r>
  <r>
    <x v="0"/>
    <x v="1"/>
    <x v="5"/>
    <x v="24"/>
    <d v="2025-11-04T13:00:00"/>
    <s v="373036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164838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13:00:00"/>
    <s v="376756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87984"/>
    <x v="0"/>
    <m/>
    <s v="05/11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1"/>
    <x v="5"/>
    <x v="24"/>
    <d v="2025-11-04T14:00:00"/>
    <s v="378452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304887   5019289077"/>
    <x v="0"/>
    <m/>
    <s v="05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1"/>
    <x v="5"/>
    <x v="24"/>
    <d v="2025-11-04T14:00:00"/>
    <s v="373037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158216"/>
    <x v="0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14:00:00"/>
    <s v="0006110204_4900"/>
    <s v="Loading"/>
    <n v="464136"/>
    <s v="Primary flows"/>
    <s v="LKW WALTER FOR SN 3PO"/>
    <m/>
    <m/>
    <s v="No"/>
    <s v="NL Haps DC (DSV)"/>
    <s v="ALZE - DE Alzenau"/>
    <n v="33"/>
    <n v="0"/>
    <n v="0"/>
    <n v="0"/>
    <s v="1  01"/>
    <x v="1"/>
    <m/>
    <s v="05/11/2025 08:00-08:00"/>
    <m/>
    <n v="0"/>
    <m/>
    <s v="No"/>
    <s v="Shipped/Received"/>
    <s v="Direct"/>
    <m/>
    <m/>
    <m/>
    <s v="HAPSDCDE20251104-02"/>
    <m/>
    <m/>
    <s v="No"/>
    <n v="5019324206"/>
    <m/>
    <m/>
    <m/>
  </r>
  <r>
    <x v="0"/>
    <x v="1"/>
    <x v="5"/>
    <x v="24"/>
    <d v="2025-11-04T15:00:00"/>
    <s v="0006110203_4900"/>
    <s v="Loading"/>
    <n v="464139"/>
    <s v="Primary flows"/>
    <s v="LKW WALTER FOR SN 3PO"/>
    <m/>
    <m/>
    <s v="No"/>
    <s v="NL Haps DC (DSV)"/>
    <s v="ALZE - DE Alzenau"/>
    <n v="33"/>
    <n v="0"/>
    <n v="0"/>
    <n v="0"/>
    <s v="1  01"/>
    <x v="1"/>
    <m/>
    <s v="05/11/2025 10:00-10:00"/>
    <m/>
    <n v="0"/>
    <m/>
    <s v="No"/>
    <s v="Shipped/Received"/>
    <s v="Direct"/>
    <m/>
    <m/>
    <m/>
    <s v="HAPSDCDE20251104-01"/>
    <m/>
    <m/>
    <s v="No"/>
    <n v="5019317094"/>
    <m/>
    <m/>
    <m/>
  </r>
  <r>
    <x v="0"/>
    <x v="1"/>
    <x v="5"/>
    <x v="24"/>
    <d v="2025-11-04T15:00:00"/>
    <s v="378919_OOS"/>
    <s v="Loading"/>
    <s v="MEA-AIR_OOS"/>
    <s v="Aval non piloté_EN"/>
    <s v="KERRY LOGISTICS"/>
    <m/>
    <m/>
    <s v="No"/>
    <s v="NL Haps DC (DSV)"/>
    <s v="OOS_OUT - Delivery OOS"/>
    <n v="1"/>
    <n v="0"/>
    <n v="0"/>
    <n v="0"/>
    <s v="MEA 5019296114"/>
    <x v="2"/>
    <m/>
    <s v="0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4"/>
    <d v="2025-11-04T16:00:00"/>
    <s v="0006110205_4900"/>
    <s v="Loading"/>
    <n v="464112"/>
    <s v="Primary flows"/>
    <s v="LKW WALTER FOR SN 3PO"/>
    <m/>
    <m/>
    <s v="No"/>
    <s v="NL Haps DC (DSV)"/>
    <s v="ALZE - DE Alzenau"/>
    <n v="33"/>
    <n v="0"/>
    <n v="0"/>
    <n v="0"/>
    <s v="1  01"/>
    <x v="1"/>
    <m/>
    <s v="05/11/2025 10:00-10:00"/>
    <m/>
    <n v="0"/>
    <m/>
    <s v="No"/>
    <s v="Shipped/Received"/>
    <s v="Direct"/>
    <m/>
    <m/>
    <m/>
    <s v="HAPSDCDE20251104-03"/>
    <m/>
    <m/>
    <s v="No"/>
    <n v="5019304439"/>
    <m/>
    <m/>
    <m/>
  </r>
  <r>
    <x v="0"/>
    <x v="1"/>
    <x v="5"/>
    <x v="24"/>
    <d v="2025-11-04T16:00:00"/>
    <s v="0006110209_4900"/>
    <s v="Loading"/>
    <n v="464128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5/11/2025 08:30-08:30"/>
    <m/>
    <n v="0"/>
    <m/>
    <s v="No"/>
    <s v="Shipped/Received"/>
    <s v="Direct"/>
    <m/>
    <m/>
    <m/>
    <s v="HAPSDCFR20251104-01"/>
    <m/>
    <m/>
    <s v="No"/>
    <n v="5019309979"/>
    <m/>
    <m/>
    <m/>
  </r>
  <r>
    <x v="0"/>
    <x v="1"/>
    <x v="5"/>
    <x v="24"/>
    <d v="2025-11-04T16:00:00"/>
    <s v="380092_OOS"/>
    <s v="Loading"/>
    <s v="PY - SEA_OOS / KR - SEA_OOS"/>
    <s v="Aval non piloté_EN / Aval non piloté_EN"/>
    <s v="GEODIS"/>
    <m/>
    <m/>
    <s v="No"/>
    <s v="NL Haps DC (DSV)"/>
    <s v="OOS_OUT - Delivery OOS / OOS_OUT - Delivery OOS"/>
    <n v="13"/>
    <n v="0"/>
    <n v="0"/>
    <n v="0"/>
    <s v="DN 5019301609 / PARAGUAY DN 5019244400 + 5019243967 + 5019235316 + 5018950804 / SOUTH KOREA"/>
    <x v="0"/>
    <m/>
    <s v="05/11/2025 14:00-14:00"/>
    <m/>
    <n v="0"/>
    <m/>
    <s v="No"/>
    <s v="Shipped/Received"/>
    <s v="Direct"/>
    <s v=" / "/>
    <s v=" / "/>
    <s v="nutricia-booking.ff.nl@geodis.com"/>
    <s v=" / "/>
    <m/>
    <m/>
    <s v="No"/>
    <s v="&amp;nbsp"/>
    <s v=" / &amp;nbsp"/>
    <m/>
    <s v="KOREA / PARAGUAY"/>
  </r>
  <r>
    <x v="0"/>
    <x v="1"/>
    <x v="5"/>
    <x v="24"/>
    <d v="2025-11-04T17:00:00"/>
    <s v="0006110210_4900"/>
    <s v="Loading"/>
    <s v="469114 / 464120"/>
    <s v="Primary flows / Primary flows"/>
    <s v="ECS FOR SN 3PO"/>
    <m/>
    <m/>
    <s v="No"/>
    <s v="NL Haps DC (DSV)"/>
    <s v="MOUS - FR Moussy-Le-Neuf / MOUS - FR Moussy-Le-Neuf"/>
    <n v="66"/>
    <n v="0"/>
    <n v="0"/>
    <n v="0"/>
    <s v="1  01"/>
    <x v="1"/>
    <m/>
    <s v="05/11/2025 13:30-13:30"/>
    <m/>
    <n v="0"/>
    <m/>
    <s v="No"/>
    <s v="Shipped/Received"/>
    <s v="Direct"/>
    <s v=" / "/>
    <s v=" / "/>
    <m/>
    <s v="HAPSDCFR20251104-02 / HAPSDCFR20251104-02"/>
    <m/>
    <m/>
    <s v="No"/>
    <s v="5019328581 / 5019296957"/>
    <m/>
    <m/>
    <m/>
  </r>
  <r>
    <x v="0"/>
    <x v="1"/>
    <x v="5"/>
    <x v="24"/>
    <d v="2025-11-04T17:00:00"/>
    <s v="0006110206_4900"/>
    <s v="Loading"/>
    <s v="468902 / 464143"/>
    <s v="Primary flows / Primary flows"/>
    <s v="FERCAM AUSTRIA FOR SN 3PO"/>
    <m/>
    <m/>
    <s v="No"/>
    <s v="NL Haps DC (DSV)"/>
    <s v="CIE2 - ES Ciempozuelos SN / CIE2 - ES Ciempozuelos SN"/>
    <n v="66"/>
    <n v="0"/>
    <n v="0"/>
    <n v="0"/>
    <s v="1  01"/>
    <x v="1"/>
    <m/>
    <s v="06/11/2025 12:00-12:00"/>
    <m/>
    <n v="0"/>
    <m/>
    <s v="No"/>
    <s v="Shipped/Received"/>
    <s v="Direct"/>
    <s v=" / "/>
    <s v=" / "/>
    <m/>
    <s v="HAPSDCES20251104-01 / HAPSDCES20251104-01"/>
    <m/>
    <m/>
    <s v="No"/>
    <s v="5019325960 / 5019314185"/>
    <m/>
    <m/>
    <m/>
  </r>
  <r>
    <x v="0"/>
    <x v="1"/>
    <x v="5"/>
    <x v="24"/>
    <d v="2025-11-04T17:00:00"/>
    <s v="0006110211_4900"/>
    <s v="Loading"/>
    <s v="469112 / 464134"/>
    <s v="Primary flows / Primary flows"/>
    <s v="ECS FOR SN 3PO"/>
    <m/>
    <m/>
    <s v="No"/>
    <s v="NL Haps DC (DSV)"/>
    <s v="MOUS - FR Moussy-Le-Neuf / MOUS - FR Moussy-Le-Neuf"/>
    <n v="66"/>
    <n v="0"/>
    <n v="0"/>
    <n v="0"/>
    <s v="1  01"/>
    <x v="1"/>
    <m/>
    <s v="05/11/2025 13:00-13:00"/>
    <m/>
    <n v="0"/>
    <m/>
    <s v="No"/>
    <s v="Shipped/Received"/>
    <s v="Direct"/>
    <s v=" / "/>
    <s v=" / "/>
    <m/>
    <s v="HAPSDCFR20251104-03 / HAPSDCFR20251104-03"/>
    <m/>
    <m/>
    <s v="No"/>
    <s v="5019324031 / 5019306703 "/>
    <m/>
    <m/>
    <m/>
  </r>
  <r>
    <x v="0"/>
    <x v="1"/>
    <x v="5"/>
    <x v="24"/>
    <d v="2025-11-04T18:00:00"/>
    <s v="0006110215_4900"/>
    <s v="Loading"/>
    <s v="468900 / 464116"/>
    <s v="Primary flows / Primary flows"/>
    <s v="VLANTANA FOR SN 3PO"/>
    <m/>
    <m/>
    <s v="No"/>
    <s v="NL Haps DC (DSV)"/>
    <s v="RIGA - LV Riga (EUGESTA SIA) / RIGA - LV Riga (EUGESTA SIA)"/>
    <n v="66"/>
    <n v="0"/>
    <n v="0"/>
    <n v="0"/>
    <s v="1  01"/>
    <x v="1"/>
    <m/>
    <s v="11/11/2025 14:30-14:30"/>
    <m/>
    <n v="0"/>
    <m/>
    <s v="No"/>
    <s v="Shipped/Received"/>
    <s v="Direct"/>
    <s v=" / "/>
    <s v=" / "/>
    <m/>
    <s v="HAPSDCLV20251104-01 / HAPSDCLV20251104-01"/>
    <m/>
    <m/>
    <s v="No"/>
    <s v="5019313907 / 5019297715"/>
    <m/>
    <m/>
    <m/>
  </r>
  <r>
    <x v="0"/>
    <x v="1"/>
    <x v="5"/>
    <x v="24"/>
    <d v="2025-11-04T18:00:00"/>
    <s v="0006110207_4900"/>
    <s v="Loading"/>
    <s v="468903 / 464111"/>
    <s v="Primary flows / Primary flows"/>
    <s v="LKW WALTER FOR SN 3PO"/>
    <m/>
    <m/>
    <s v="No"/>
    <s v="NL Haps DC (DSV)"/>
    <s v="CIE2 - ES Ciempozuelos SN / CIE2 - ES Ciempozuelos SN"/>
    <n v="66"/>
    <n v="0"/>
    <n v="0"/>
    <n v="0"/>
    <s v="1  01"/>
    <x v="1"/>
    <m/>
    <s v="07/11/2025 12:00-12:00"/>
    <m/>
    <n v="0"/>
    <m/>
    <s v="No"/>
    <s v="Shipped/Received"/>
    <s v="Direct"/>
    <s v=" / "/>
    <s v=" / "/>
    <m/>
    <s v="HAPSDCES20251104-02 / HAPSDCES20251104-02"/>
    <m/>
    <m/>
    <s v="No"/>
    <s v="5019324205 / 5017961414"/>
    <m/>
    <m/>
    <m/>
  </r>
  <r>
    <x v="0"/>
    <x v="1"/>
    <x v="5"/>
    <x v="24"/>
    <d v="2025-11-04T18:00:00"/>
    <s v="0006110202_4900"/>
    <s v="Loading"/>
    <n v="464129"/>
    <s v="Primary flows"/>
    <s v="PIOMAR FOR SN 3PO"/>
    <m/>
    <m/>
    <s v="No"/>
    <s v="NL Haps DC (DSV)"/>
    <s v="RICA - CZ Ricany DC2 Ambient WH"/>
    <n v="33"/>
    <n v="0"/>
    <n v="0"/>
    <n v="0"/>
    <s v="1  01"/>
    <x v="1"/>
    <m/>
    <s v="07/11/2025 13:00-13:00"/>
    <s v="DSW409AG"/>
    <n v="0"/>
    <m/>
    <s v="No"/>
    <s v="Shipped/Received"/>
    <s v="Direct"/>
    <m/>
    <m/>
    <m/>
    <s v="HAPSDCCZ20251104-01"/>
    <m/>
    <m/>
    <s v="No"/>
    <n v="5019324281"/>
    <s v="WGM84584"/>
    <s v="?ACNY STANIS?AW"/>
    <m/>
  </r>
  <r>
    <x v="0"/>
    <x v="1"/>
    <x v="5"/>
    <x v="24"/>
    <d v="2025-11-04T19:00:00"/>
    <s v="0006110214_4900"/>
    <s v="Loading"/>
    <n v="464108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0/11/2025 12:00-12:00"/>
    <s v="QATL626"/>
    <n v="0"/>
    <m/>
    <s v="No"/>
    <s v="Shipped/Received"/>
    <s v="Direct"/>
    <m/>
    <m/>
    <m/>
    <s v="HAPSDCIT20251104-01"/>
    <m/>
    <m/>
    <s v="No"/>
    <n v="5019319586"/>
    <s v="LOD669"/>
    <s v="Muneerudeens Subair"/>
    <m/>
  </r>
  <r>
    <x v="0"/>
    <x v="1"/>
    <x v="5"/>
    <x v="24"/>
    <d v="2025-11-04T19:00:00"/>
    <s v="0006110216_4900"/>
    <s v="Loading"/>
    <n v="464140"/>
    <s v="Primary flows"/>
    <s v="PIOMAR FOR SN 3PO"/>
    <m/>
    <m/>
    <s v="No"/>
    <s v="NL Haps DC (DSV)"/>
    <s v="GRAB - PL Grabica"/>
    <n v="33"/>
    <n v="0"/>
    <n v="0"/>
    <n v="0"/>
    <s v="1  01"/>
    <x v="1"/>
    <m/>
    <s v="07/11/2025 17:00-17:00"/>
    <s v="OP8055E"/>
    <n v="0"/>
    <m/>
    <s v="No"/>
    <s v="Shipped/Received"/>
    <s v="Direct"/>
    <m/>
    <m/>
    <m/>
    <s v="HAPSDCPL20251104-01"/>
    <m/>
    <m/>
    <s v="No"/>
    <n v="5019319444"/>
    <s v="OP3247S"/>
    <s v="ST?PIE? ROMAN"/>
    <m/>
  </r>
  <r>
    <x v="0"/>
    <x v="1"/>
    <x v="5"/>
    <x v="24"/>
    <d v="2025-11-04T20:00:00"/>
    <s v="0006110217_4900"/>
    <s v="Loading"/>
    <s v="468898 / 464138"/>
    <s v="Primary flows / Primary flows"/>
    <s v="MIERZWA FOR SN 3PO"/>
    <m/>
    <m/>
    <s v="No"/>
    <s v="NL Haps DC (DSV)"/>
    <s v="GRAB - PL Grabica / GRAB - PL Grabica"/>
    <n v="66"/>
    <n v="0"/>
    <n v="0"/>
    <n v="0"/>
    <s v="1  01"/>
    <x v="1"/>
    <m/>
    <s v="07/11/2025 09:00-09:00"/>
    <s v="ETMMU11"/>
    <n v="0"/>
    <m/>
    <s v="No"/>
    <s v="Shipped/Received"/>
    <s v="Direct"/>
    <s v=" / "/>
    <s v=" / "/>
    <m/>
    <s v="HAPSDCPL20251104-02 / HAPSDCPL20251104-02"/>
    <m/>
    <m/>
    <s v="No"/>
    <s v="5019321581 / 5019320853"/>
    <s v="ETM34505 "/>
    <s v="Zenon Kami?ski"/>
    <m/>
  </r>
  <r>
    <x v="0"/>
    <x v="1"/>
    <x v="5"/>
    <x v="25"/>
    <d v="2025-11-05T06:00:00"/>
    <s v="0006110231_4900"/>
    <s v="Loading"/>
    <s v="469264 / 464124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2/11/2025 15:00-15:00"/>
    <m/>
    <n v="0"/>
    <m/>
    <s v="No"/>
    <s v="Shipped/Received"/>
    <s v="Direct"/>
    <s v=" / "/>
    <s v=" / "/>
    <m/>
    <s v="HAPSDCNO20251105-01 / HAPSDCNO20251105-01"/>
    <m/>
    <m/>
    <s v="No"/>
    <s v="5019330114 / 5019313405"/>
    <m/>
    <m/>
    <m/>
  </r>
  <r>
    <x v="0"/>
    <x v="1"/>
    <x v="5"/>
    <x v="25"/>
    <d v="2025-11-05T06:00:00"/>
    <s v="0006110228_4900"/>
    <s v="Loading"/>
    <s v="464132 / 464131"/>
    <s v="Primary flows / Primary flows"/>
    <s v="KREISS FOR SN 3PO"/>
    <m/>
    <m/>
    <s v="No"/>
    <s v="NL Haps DC (DSV)"/>
    <s v="BRAT - SK Bratislava / BUDA - HU Budapest (BILK Logisztikai)"/>
    <n v="66"/>
    <n v="0"/>
    <n v="0"/>
    <n v="0"/>
    <s v="1  01"/>
    <x v="1"/>
    <m/>
    <s v="07/11/2025 15:00-15:00 / 07/11/2025 08:00-08:00"/>
    <m/>
    <n v="0"/>
    <m/>
    <s v="No"/>
    <s v="Shipped/Received"/>
    <s v="Direct"/>
    <s v=" / "/>
    <s v=" / "/>
    <m/>
    <s v="HAPSDCHU20251105-01 / HAPSDCHU20251105-01"/>
    <m/>
    <m/>
    <s v="No"/>
    <s v="5019325625 / 5019330574"/>
    <m/>
    <m/>
    <m/>
  </r>
  <r>
    <x v="0"/>
    <x v="1"/>
    <x v="5"/>
    <x v="25"/>
    <d v="2025-11-05T07:00:00"/>
    <s v="380919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39899"/>
    <x v="2"/>
    <m/>
    <s v="06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07:00:00"/>
    <s v="378916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18821 LZV"/>
    <x v="1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07:00:00"/>
    <s v="0006119861_4900"/>
    <s v="Loading"/>
    <n v="467315"/>
    <s v="Primary flows"/>
    <s v="GIRTEKA FOR SN 3PO"/>
    <m/>
    <m/>
    <s v="No"/>
    <s v="NL Haps DC (DSV)"/>
    <s v="REDD - GB Redditch"/>
    <n v="33"/>
    <n v="0"/>
    <n v="0"/>
    <n v="0"/>
    <s v="1  01"/>
    <x v="1"/>
    <m/>
    <s v="06/11/2025 16:00-16:00"/>
    <s v="PZ_3V626"/>
    <n v="0"/>
    <m/>
    <s v="No"/>
    <s v="Shipped/Received"/>
    <s v="Direct"/>
    <m/>
    <m/>
    <m/>
    <s v="HAPSDCUK20251105-01"/>
    <m/>
    <m/>
    <s v="No"/>
    <n v="5019334886"/>
    <s v="MRY_663"/>
    <s v="Andrei Miatlitski"/>
    <m/>
  </r>
  <r>
    <x v="0"/>
    <x v="1"/>
    <x v="5"/>
    <x v="25"/>
    <d v="2025-11-05T08:00:00"/>
    <s v="0006119864_4900"/>
    <s v="Loading"/>
    <n v="469365"/>
    <s v="Primary flows"/>
    <s v="SAMSKIP FOR SN 3PO"/>
    <m/>
    <m/>
    <s v="No"/>
    <s v="NL Haps DC (DSV)"/>
    <s v="RUGB - GB Rugby"/>
    <n v="33"/>
    <n v="0"/>
    <n v="0"/>
    <n v="0"/>
    <s v="1  01"/>
    <x v="1"/>
    <m/>
    <s v="10/11/2025 23:30-23:30"/>
    <m/>
    <n v="0"/>
    <m/>
    <s v="No"/>
    <s v="Shipped/Received"/>
    <s v="Direct"/>
    <m/>
    <m/>
    <m/>
    <s v="HAPSDCUK20251105-04"/>
    <m/>
    <m/>
    <s v="No"/>
    <n v="5019325603"/>
    <m/>
    <m/>
    <m/>
  </r>
  <r>
    <x v="0"/>
    <x v="1"/>
    <x v="5"/>
    <x v="25"/>
    <d v="2025-11-05T08:00:00"/>
    <s v="375497_OOS"/>
    <s v="Loading"/>
    <s v="CN-SEA-6105653_OOS"/>
    <s v="Aval non piloté_EN"/>
    <s v="MAERSK - Control Tower"/>
    <m/>
    <m/>
    <s v="No"/>
    <s v="NL Haps DC (DSV)"/>
    <s v="OOS_OUT - Delivery OOS"/>
    <n v="20"/>
    <n v="0"/>
    <n v="0"/>
    <n v="0"/>
    <s v="5019082219 + 5019232807 + 5019267354"/>
    <x v="0"/>
    <m/>
    <s v="06/11/2025 00:01-00:01"/>
    <m/>
    <n v="0"/>
    <m/>
    <s v="No"/>
    <s v="Shipped/Received"/>
    <s v="Direct"/>
    <m/>
    <m/>
    <s v="3POeuropect@lns.maersk.com"/>
    <m/>
    <m/>
    <m/>
    <s v="No"/>
    <s v="&amp;nbsp"/>
    <m/>
    <m/>
    <n v="261256752"/>
  </r>
  <r>
    <x v="0"/>
    <x v="1"/>
    <x v="5"/>
    <x v="25"/>
    <d v="2025-11-05T08:00:00"/>
    <s v="367230_OOS"/>
    <s v="Loading"/>
    <s v="AU-SEA-6078277_OOS"/>
    <s v="Aval non piloté_EN"/>
    <s v="MAERSK - Control Tower"/>
    <m/>
    <m/>
    <s v="No"/>
    <s v="NL Haps DC (DSV)"/>
    <s v="OOS_OUT - Delivery OOS"/>
    <n v="20"/>
    <n v="0"/>
    <n v="0"/>
    <n v="0"/>
    <s v="5019190128 5019191124 5019262645 "/>
    <x v="0"/>
    <m/>
    <s v="06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0110098"/>
  </r>
  <r>
    <x v="0"/>
    <x v="1"/>
    <x v="5"/>
    <x v="25"/>
    <d v="2025-11-05T09:00:00"/>
    <s v="377834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84731 5019260950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09:00:00"/>
    <s v="380629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014890 5019018220 5019081287 5019046283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09:00:00"/>
    <s v="0006124352_4900"/>
    <s v="Loading"/>
    <n v="469265"/>
    <s v="Primary flows"/>
    <s v="GIRTEKA FOR SN 3PO"/>
    <m/>
    <m/>
    <s v="No"/>
    <s v="NL Haps DC (DSV)"/>
    <s v="GRAB - PL Grabica"/>
    <n v="33"/>
    <n v="0"/>
    <n v="0"/>
    <n v="0"/>
    <s v="1  01"/>
    <x v="1"/>
    <m/>
    <s v="07/11/2025 14:00-14:00"/>
    <s v="PZ_7T631"/>
    <n v="0"/>
    <m/>
    <s v="No"/>
    <s v="Shipped/Received"/>
    <s v="Direct"/>
    <m/>
    <m/>
    <m/>
    <s v="HAPSDCPL20251105-04"/>
    <m/>
    <m/>
    <s v="No"/>
    <n v="5019334963"/>
    <s v="PZ_5K890"/>
    <s v="Viktor Ahieiev"/>
    <m/>
  </r>
  <r>
    <x v="0"/>
    <x v="1"/>
    <x v="5"/>
    <x v="25"/>
    <d v="2025-11-05T09:00:00"/>
    <s v="380649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14805 &amp; 5019323645 LZV"/>
    <x v="3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09:00:00"/>
    <s v="380848_OOS"/>
    <s v="Loading"/>
    <s v="5019285571_OOS"/>
    <s v="Aval non piloté_EN"/>
    <s v="Simon Loos"/>
    <m/>
    <m/>
    <s v="No"/>
    <s v="NL Haps DC (DSV)"/>
    <s v="OOS_OUT - Delivery OOS"/>
    <n v="2"/>
    <n v="0"/>
    <n v="0"/>
    <n v="0"/>
    <s v="4505729319/4504507963"/>
    <x v="5"/>
    <m/>
    <s v="06/11/2025 00:00-00:00"/>
    <m/>
    <n v="0"/>
    <m/>
    <s v="No"/>
    <s v="Shipped/Received"/>
    <s v="Direct"/>
    <m/>
    <m/>
    <s v="default@danone.com"/>
    <m/>
    <m/>
    <m/>
    <s v="No"/>
    <s v="&amp;nbsp"/>
    <m/>
    <m/>
    <m/>
  </r>
  <r>
    <x v="0"/>
    <x v="1"/>
    <x v="5"/>
    <x v="25"/>
    <d v="2025-11-05T10:00:00"/>
    <s v="376032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08361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0:00:00"/>
    <s v="0006118890_4900"/>
    <s v="Loading"/>
    <n v="466896"/>
    <s v="Primary flows"/>
    <s v="ABC CZEPCZYNSKI FOR SN 3PO"/>
    <m/>
    <m/>
    <s v="No"/>
    <s v="NL Haps DC (DSV)"/>
    <s v="OPOL - PL Opole"/>
    <n v="22"/>
    <n v="0"/>
    <n v="0"/>
    <n v="0"/>
    <s v="1  01"/>
    <x v="5"/>
    <m/>
    <s v="07/11/2025 09:45-09:45"/>
    <s v="WZ831KE"/>
    <n v="0"/>
    <m/>
    <s v="No"/>
    <s v="Shipped/Received"/>
    <s v="Direct"/>
    <m/>
    <m/>
    <m/>
    <s v="SPHapsOPO-051125-08"/>
    <m/>
    <m/>
    <s v="No"/>
    <s v="5019335106 "/>
    <s v="TKI 9779S"/>
    <m/>
    <m/>
  </r>
  <r>
    <x v="0"/>
    <x v="1"/>
    <x v="5"/>
    <x v="25"/>
    <d v="2025-11-05T10:00:00"/>
    <s v="0006118887_4900"/>
    <s v="Loading"/>
    <n v="466898"/>
    <s v="Primary flows"/>
    <s v="ABC CZEPCZYNSKI FOR SN 3PO"/>
    <m/>
    <m/>
    <s v="No"/>
    <s v="NL Haps DC (DSV)"/>
    <s v="OPOL - PL Opole"/>
    <n v="22"/>
    <n v="0"/>
    <n v="0"/>
    <n v="0"/>
    <s v="1  01"/>
    <x v="5"/>
    <m/>
    <s v="07/11/2025 09:00-09:00"/>
    <s v="PZ4P352"/>
    <n v="0"/>
    <m/>
    <s v="No"/>
    <s v="Shipped/Received"/>
    <s v="Direct"/>
    <m/>
    <m/>
    <m/>
    <s v="SPHapsOPO-051125-05"/>
    <m/>
    <m/>
    <s v="No"/>
    <n v="5019323794"/>
    <s v="MZN307"/>
    <m/>
    <m/>
  </r>
  <r>
    <x v="0"/>
    <x v="1"/>
    <x v="5"/>
    <x v="25"/>
    <d v="2025-11-05T10:00:00"/>
    <s v="376033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05485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0:00:00"/>
    <s v="0006119021_4900"/>
    <s v="Loading"/>
    <s v="466916 / 466915 / 469984 / 469982"/>
    <s v="Primary flows / Primary flows / Primary flows / Primary flows"/>
    <s v="GEFCO FOR SN 3PO"/>
    <m/>
    <m/>
    <s v="No"/>
    <s v="NL Haps DC (DSV)"/>
    <s v="ZAGR - HR Zagreb / LJUB - SI Ljubljana / ZAGR - HR Zagreb / LJUB - SI Ljubljana"/>
    <n v="24"/>
    <n v="0"/>
    <n v="0"/>
    <n v="0"/>
    <s v="1  01"/>
    <x v="0"/>
    <m/>
    <s v="07/11/2025 16:00-16:00 / 06/11/2025 15:00-15:00 / 07/11/2025 16:00-16:00 / 06/11/2025 15:00-15:00"/>
    <s v="NM-DE-001"/>
    <n v="0"/>
    <m/>
    <s v="No"/>
    <s v="Shipped/Received"/>
    <s v="Direct"/>
    <s v=" /  /  / "/>
    <s v=" /  /  / "/>
    <m/>
    <s v="HAPSDCBG20251105-01 / HAPSDCBG20251105-01 / HAPSDCBG20251105-01 / HAPSDCBG20251105-01"/>
    <m/>
    <m/>
    <s v="No"/>
    <s v="5019294819 / 5019298681 / 5019338425 / 5019340226"/>
    <s v="NM-KP-444 "/>
    <s v="Branko Drnkovic"/>
    <m/>
  </r>
  <r>
    <x v="0"/>
    <x v="1"/>
    <x v="5"/>
    <x v="25"/>
    <d v="2025-11-05T10:00:00"/>
    <s v="0006110181_4900"/>
    <s v="Loading"/>
    <s v="468278 / 468277 / 464090"/>
    <s v="Primary flows / Primary flows / Primary flows"/>
    <s v="ROBERT KUKLA FOR SN 3PO"/>
    <m/>
    <m/>
    <s v="No"/>
    <s v="NL Haps DC (DSV)"/>
    <s v="THIV - GR Thiva-Boetia / THIV - GR Thiva-Boetia / THIV - GR Thiva-Boetia"/>
    <n v="99"/>
    <n v="0"/>
    <n v="0"/>
    <n v="0"/>
    <s v="1  01"/>
    <x v="1"/>
    <m/>
    <s v="19/11/2025 18:00-18:00"/>
    <m/>
    <n v="0"/>
    <m/>
    <s v="No"/>
    <s v="Shipped/Received"/>
    <s v="Direct"/>
    <s v=" /  / "/>
    <s v=" /  / "/>
    <m/>
    <s v="HAPSDCGR20251103-01 / HAPSDCGR20251103-01 / HAPSDCGR20251103-01"/>
    <m/>
    <m/>
    <s v="No"/>
    <s v="5019253580 / 5019262249 / 5019313657"/>
    <m/>
    <m/>
    <m/>
  </r>
  <r>
    <x v="0"/>
    <x v="1"/>
    <x v="5"/>
    <x v="25"/>
    <d v="2025-11-05T11:00:00"/>
    <s v="376035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05325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1:00:00"/>
    <s v="376034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296941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1:00:00"/>
    <s v="0006110229_4900"/>
    <s v="Loading"/>
    <n v="464115"/>
    <s v="Primary flows"/>
    <s v="SAMSKIP FOR SN 3PO"/>
    <m/>
    <m/>
    <s v="No"/>
    <s v="NL Haps DC (DSV)"/>
    <s v="BELF - IE Belfast (Moviento)"/>
    <n v="33"/>
    <n v="0"/>
    <n v="0"/>
    <n v="0"/>
    <s v="1  01"/>
    <x v="1"/>
    <m/>
    <s v="12/11/2025 16:00-16:00"/>
    <m/>
    <n v="0"/>
    <m/>
    <s v="No"/>
    <s v="Shipped/Received"/>
    <s v="Direct"/>
    <m/>
    <m/>
    <m/>
    <s v="HAPSDCIE20251105-01"/>
    <m/>
    <m/>
    <s v="No"/>
    <n v="5019333628"/>
    <m/>
    <m/>
    <m/>
  </r>
  <r>
    <x v="0"/>
    <x v="1"/>
    <x v="5"/>
    <x v="25"/>
    <d v="2025-11-05T11:00:00"/>
    <s v="0006118888_4900"/>
    <s v="Loading"/>
    <n v="466894"/>
    <s v="Primary flows"/>
    <s v="MIERZWA FOR SN 3PO"/>
    <m/>
    <m/>
    <s v="No"/>
    <s v="NL Haps DC (DSV)"/>
    <s v="OPOL - PL Opole"/>
    <n v="22"/>
    <n v="0"/>
    <n v="0"/>
    <n v="0"/>
    <s v="1  01"/>
    <x v="5"/>
    <m/>
    <s v="07/11/2025 00:45-00:45"/>
    <s v="KRA523PA"/>
    <n v="0"/>
    <m/>
    <s v="No"/>
    <s v="Shipped/Received"/>
    <s v="Direct"/>
    <m/>
    <m/>
    <m/>
    <s v="SPHapsOPO-051125-06"/>
    <m/>
    <m/>
    <s v="No"/>
    <s v="5019332534 "/>
    <s v="KRA841CF"/>
    <s v="Bachorczyk Mateusz "/>
    <m/>
  </r>
  <r>
    <x v="0"/>
    <x v="1"/>
    <x v="5"/>
    <x v="25"/>
    <d v="2025-11-05T11:00:00"/>
    <s v="369752_OOS"/>
    <s v="Loading"/>
    <s v="MEA-SEA_OOS"/>
    <s v="Aval non piloté_EN"/>
    <s v="HELLMANN"/>
    <m/>
    <m/>
    <s v="No"/>
    <s v="NL Haps DC (DSV)"/>
    <s v="OOS_OUT - Delivery OOS"/>
    <n v="13"/>
    <n v="0"/>
    <n v="0"/>
    <n v="0"/>
    <s v="ELN 5019081878 5019036073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2:00:00"/>
    <s v="372763_OOS"/>
    <s v="Loading"/>
    <s v="US-SEA-6087114_OOS"/>
    <s v="Aval non piloté_EN"/>
    <s v="MAERSK - Control Tower"/>
    <m/>
    <m/>
    <s v="No"/>
    <s v="NL Haps DC (DSV)"/>
    <s v="OOS_OUT - Delivery OOS"/>
    <n v="20"/>
    <n v="0"/>
    <n v="0"/>
    <n v="0"/>
    <n v="5019227704"/>
    <x v="0"/>
    <m/>
    <s v="06/11/2025 00:01-00:01"/>
    <m/>
    <n v="0"/>
    <m/>
    <s v="No"/>
    <s v="Shipped/Received"/>
    <s v="Direct"/>
    <m/>
    <m/>
    <s v="3POeuropect@lns.maersk.com"/>
    <m/>
    <m/>
    <m/>
    <s v="No"/>
    <s v="&amp;nbsp"/>
    <m/>
    <m/>
    <n v="260353770"/>
  </r>
  <r>
    <x v="0"/>
    <x v="1"/>
    <x v="5"/>
    <x v="25"/>
    <d v="2025-11-05T12:00:00"/>
    <s v="0006119862_4900"/>
    <s v="Loading"/>
    <n v="467329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18:00-18:00"/>
    <m/>
    <n v="0"/>
    <m/>
    <s v="No"/>
    <s v="Shipped/Received"/>
    <s v="Direct"/>
    <m/>
    <m/>
    <m/>
    <s v="HAPSDCUK20251105-02"/>
    <m/>
    <m/>
    <s v="No"/>
    <n v="5019305919"/>
    <m/>
    <m/>
    <m/>
  </r>
  <r>
    <x v="0"/>
    <x v="1"/>
    <x v="5"/>
    <x v="25"/>
    <d v="2025-11-05T12:00:00"/>
    <s v="0006110232_4900"/>
    <s v="Loading"/>
    <s v="469262 / 464122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2/11/2025 15:00-15:00"/>
    <m/>
    <n v="0"/>
    <m/>
    <s v="No"/>
    <s v="Shipped/Received"/>
    <s v="Direct"/>
    <s v=" / "/>
    <s v=" / "/>
    <m/>
    <s v="HAPSDCNO20251105-02 / HAPSDCNO20251105-02"/>
    <m/>
    <m/>
    <s v="No"/>
    <s v="5019322516 / 5019322431"/>
    <m/>
    <m/>
    <m/>
  </r>
  <r>
    <x v="0"/>
    <x v="1"/>
    <x v="5"/>
    <x v="25"/>
    <d v="2025-11-05T12:00:00"/>
    <s v="376757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88571"/>
    <x v="0"/>
    <m/>
    <s v="06/11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1"/>
    <x v="5"/>
    <x v="25"/>
    <d v="2025-11-05T12:00:00"/>
    <s v="0006118889_4900"/>
    <s v="Loading"/>
    <s v="469458 / 466900"/>
    <s v="Primary flows / Primary flows"/>
    <s v="PIOMAR FOR SN 3PO"/>
    <m/>
    <m/>
    <s v="No"/>
    <s v="NL Haps DC (DSV)"/>
    <s v="OPOL - PL Opole / OPOL - PL Opole"/>
    <n v="22"/>
    <n v="0"/>
    <n v="0"/>
    <n v="0"/>
    <s v="1  01"/>
    <x v="5"/>
    <m/>
    <s v="07/11/2025 23:15-23:15"/>
    <m/>
    <n v="0"/>
    <m/>
    <s v="No"/>
    <s v="Shipped/Received"/>
    <s v="Direct"/>
    <s v=" / "/>
    <s v=" / "/>
    <m/>
    <s v="SPHapsOPO-051125-07 / SPHapsOPO-051125-07"/>
    <m/>
    <m/>
    <s v="No"/>
    <s v="5019323118  / 5019323119 "/>
    <m/>
    <m/>
    <m/>
  </r>
  <r>
    <x v="0"/>
    <x v="1"/>
    <x v="5"/>
    <x v="25"/>
    <d v="2025-11-05T13:00:00"/>
    <s v="376038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08363 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3:00:00"/>
    <s v="376037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08362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3:00:00"/>
    <s v="380639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036817 5019175502"/>
    <x v="0"/>
    <m/>
    <s v="06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3:00:00"/>
    <s v="0006119863_4900"/>
    <s v="Loading"/>
    <n v="467311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23:00-23:00"/>
    <m/>
    <n v="0"/>
    <m/>
    <s v="No"/>
    <s v="Shipped/Received"/>
    <s v="Direct"/>
    <m/>
    <m/>
    <m/>
    <s v="HAPSDCUK20251105-03"/>
    <m/>
    <m/>
    <s v="No"/>
    <n v="5019327178"/>
    <m/>
    <m/>
    <m/>
  </r>
  <r>
    <x v="0"/>
    <x v="1"/>
    <x v="5"/>
    <x v="25"/>
    <d v="2025-11-05T14:00:00"/>
    <s v="0006110219_4900"/>
    <s v="Loading"/>
    <n v="464118"/>
    <s v="Primary flows"/>
    <s v="PIOMAR FOR SN 3PO"/>
    <m/>
    <m/>
    <s v="No"/>
    <s v="NL Haps DC (DSV)"/>
    <s v="RICA - CZ Ricany DC2 Ambient WH"/>
    <n v="33"/>
    <n v="0"/>
    <n v="0"/>
    <n v="0"/>
    <s v="1  01"/>
    <x v="1"/>
    <m/>
    <s v="11/11/2025 08:00-08:00"/>
    <m/>
    <n v="0"/>
    <m/>
    <s v="No"/>
    <s v="Shipped/Received"/>
    <s v="Direct"/>
    <m/>
    <m/>
    <m/>
    <s v="HAPSDCCZ20251105-01"/>
    <m/>
    <m/>
    <s v="No"/>
    <s v="5019337200 / 4502976365"/>
    <m/>
    <m/>
    <m/>
  </r>
  <r>
    <x v="0"/>
    <x v="1"/>
    <x v="5"/>
    <x v="25"/>
    <d v="2025-11-05T14:00:00"/>
    <s v="0006110220_4900"/>
    <s v="Loading"/>
    <n v="464119"/>
    <s v="Primary flows"/>
    <s v="LKW WALTER FOR SN 3PO"/>
    <m/>
    <m/>
    <s v="No"/>
    <s v="NL Haps DC (DSV)"/>
    <s v="ALZE - DE Alzenau"/>
    <n v="33"/>
    <n v="0"/>
    <n v="0"/>
    <n v="0"/>
    <s v="1  01"/>
    <x v="1"/>
    <m/>
    <s v="06/11/2025 08:00-08:00"/>
    <m/>
    <n v="0"/>
    <m/>
    <s v="No"/>
    <s v="Shipped/Received"/>
    <s v="Direct"/>
    <m/>
    <m/>
    <m/>
    <s v="HAPSDCDE20251105-01"/>
    <m/>
    <m/>
    <s v="No"/>
    <n v="5019333735"/>
    <m/>
    <m/>
    <m/>
  </r>
  <r>
    <x v="0"/>
    <x v="1"/>
    <x v="5"/>
    <x v="25"/>
    <d v="2025-11-05T14:00:00"/>
    <s v="378677_OOS"/>
    <s v="Loading"/>
    <s v="AU-AIR_OOS / US-AIR_OOS"/>
    <s v="Aval non piloté_EN / Aval non piloté_EN"/>
    <s v="MAERSK"/>
    <m/>
    <m/>
    <m/>
    <s v="NL Haps DC (DSV)"/>
    <s v="OOS_OUT - Delivery OOS / OOS_OUT - Delivery OOS"/>
    <n v="7"/>
    <n v="0"/>
    <n v="0"/>
    <n v="0"/>
    <s v="US 5019253912 (5PL) AU 5019272301 (2PL) TOTAL 7PL"/>
    <x v="2"/>
    <m/>
    <s v="06/11/2025 10:00-10:00"/>
    <m/>
    <n v="0"/>
    <m/>
    <s v="No"/>
    <m/>
    <s v="Direct"/>
    <s v=" / "/>
    <s v=" / "/>
    <s v="mdc.transport@danone.com"/>
    <s v=" / "/>
    <m/>
    <m/>
    <s v="No"/>
    <s v="&amp;nbsp"/>
    <s v=" / &amp;nbsp"/>
    <m/>
    <m/>
  </r>
  <r>
    <x v="0"/>
    <x v="1"/>
    <x v="5"/>
    <x v="25"/>
    <d v="2025-11-05T15:00:00"/>
    <s v="378733_OOS"/>
    <s v="Loading"/>
    <s v="AU-AIR_OOS"/>
    <s v="Aval non piloté_EN"/>
    <s v="HELLMANN"/>
    <m/>
    <m/>
    <m/>
    <s v="NL Haps DC (DSV)"/>
    <s v="OOS_OUT - Delivery OOS"/>
    <n v="4"/>
    <n v="0"/>
    <n v="0"/>
    <n v="0"/>
    <s v="AU 5019286923 (4PL)"/>
    <x v="2"/>
    <m/>
    <s v="06/11/2025 10:00-10:00"/>
    <m/>
    <n v="0"/>
    <m/>
    <s v="No"/>
    <m/>
    <s v="Direct"/>
    <m/>
    <m/>
    <s v="mdc.transport@danone.com"/>
    <m/>
    <m/>
    <m/>
    <s v="No"/>
    <s v="&amp;nbsp"/>
    <m/>
    <m/>
    <m/>
  </r>
  <r>
    <x v="0"/>
    <x v="1"/>
    <x v="5"/>
    <x v="25"/>
    <d v="2025-11-05T15:00:00"/>
    <s v="0006110233_4900"/>
    <s v="Loading"/>
    <n v="464110"/>
    <s v="Primary flows"/>
    <s v="GIRTEKA FOR SN 3PO"/>
    <m/>
    <m/>
    <s v="No"/>
    <s v="NL Haps DC (DSV)"/>
    <s v="GRAB - PL Grabica"/>
    <n v="33"/>
    <n v="0"/>
    <n v="0"/>
    <n v="0"/>
    <s v="1  01"/>
    <x v="1"/>
    <m/>
    <s v="07/11/2025 12:00-12:00"/>
    <s v="PZ_3V535"/>
    <n v="0"/>
    <m/>
    <s v="No"/>
    <s v="Shipped/Received"/>
    <s v="Direct"/>
    <m/>
    <m/>
    <m/>
    <s v="HAPSDCPL20251105-01"/>
    <m/>
    <m/>
    <s v="No"/>
    <n v="5019337724"/>
    <s v="NYD_768"/>
    <s v="Siarhei Akulau"/>
    <m/>
  </r>
  <r>
    <x v="0"/>
    <x v="1"/>
    <x v="5"/>
    <x v="25"/>
    <d v="2025-11-05T15:00:00"/>
    <s v="0006110221_4900"/>
    <s v="Loading"/>
    <n v="464135"/>
    <s v="Primary flows"/>
    <s v="LKW WALTER FOR SN 3PO"/>
    <m/>
    <m/>
    <s v="No"/>
    <s v="NL Haps DC (DSV)"/>
    <s v="ALZE - DE Alzenau"/>
    <n v="33"/>
    <n v="0"/>
    <n v="0"/>
    <n v="0"/>
    <s v="1  01"/>
    <x v="1"/>
    <m/>
    <s v="06/11/2025 09:00-09:00"/>
    <m/>
    <n v="0"/>
    <m/>
    <s v="No"/>
    <s v="Shipped/Received"/>
    <s v="Direct"/>
    <m/>
    <m/>
    <m/>
    <s v="HAPSDCDE20251105-02"/>
    <m/>
    <m/>
    <s v="No"/>
    <n v="5018955019"/>
    <m/>
    <m/>
    <m/>
  </r>
  <r>
    <x v="0"/>
    <x v="1"/>
    <x v="5"/>
    <x v="25"/>
    <d v="2025-11-05T16:00:00"/>
    <s v="380573_OOS"/>
    <s v="Loading"/>
    <s v="5019328238_OOS"/>
    <s v="Aval non piloté_EN"/>
    <s v="EXW Carier"/>
    <m/>
    <m/>
    <s v="No"/>
    <s v="NL Haps DC (DSV)"/>
    <s v="OOS_OUT - Delivery OOS"/>
    <n v="11"/>
    <n v="0"/>
    <n v="0"/>
    <n v="0"/>
    <s v="LTL 11 pallets 5019328238"/>
    <x v="1"/>
    <m/>
    <s v="28/10/2025 12:12-12:12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5"/>
    <d v="2025-11-05T16:00:00"/>
    <s v="0006110223_4900"/>
    <s v="Loading"/>
    <s v="469261 / 464137"/>
    <s v="Primary flows / Primary flows"/>
    <s v="DSV DK FOR SN 3PO"/>
    <m/>
    <m/>
    <s v="No"/>
    <s v="NL Haps DC (DSV)"/>
    <s v="GLOS - DK Glostrup / GLOS - DK Glostrup"/>
    <n v="66"/>
    <n v="0"/>
    <n v="0"/>
    <n v="0"/>
    <s v="1  01"/>
    <x v="1"/>
    <m/>
    <s v="07/11/2025 10:00-10:00"/>
    <m/>
    <n v="0"/>
    <m/>
    <s v="No"/>
    <s v="Shipped/Received"/>
    <s v="Direct"/>
    <s v=" / "/>
    <s v=" / "/>
    <m/>
    <s v="HAPSDCDK20251105-01 / HAPSDCDK20251105-01"/>
    <m/>
    <m/>
    <s v="No"/>
    <s v="5019333810 / 5019328583"/>
    <m/>
    <m/>
    <m/>
  </r>
  <r>
    <x v="0"/>
    <x v="1"/>
    <x v="5"/>
    <x v="25"/>
    <d v="2025-11-05T16:00:00"/>
    <s v="0006124351_4900"/>
    <s v="Loading"/>
    <n v="469263"/>
    <s v="Primary flows"/>
    <s v="GIRTEKA FOR SN 3PO"/>
    <m/>
    <m/>
    <s v="No"/>
    <s v="NL Haps DC (DSV)"/>
    <s v="GRAB - PL Grabica"/>
    <n v="33"/>
    <n v="0"/>
    <n v="0"/>
    <n v="0"/>
    <s v="1  01"/>
    <x v="1"/>
    <m/>
    <s v="07/11/2025 15:00-15:00"/>
    <s v="PZ_1U658"/>
    <n v="0"/>
    <m/>
    <s v="No"/>
    <s v="Shipped/Received"/>
    <s v="Direct"/>
    <m/>
    <m/>
    <m/>
    <s v="HAPSDCPL20251105-03"/>
    <m/>
    <m/>
    <s v="No"/>
    <n v="5019324110"/>
    <s v="PZ_5K718"/>
    <s v="Ihar Harnou"/>
    <m/>
  </r>
  <r>
    <x v="0"/>
    <x v="1"/>
    <x v="5"/>
    <x v="25"/>
    <d v="2025-11-05T17:00:00"/>
    <s v="0006110225_4900"/>
    <s v="Loading"/>
    <n v="464117"/>
    <s v="Primary flows"/>
    <s v="ECS FOR SN 3PO"/>
    <m/>
    <m/>
    <s v="No"/>
    <s v="NL Haps DC (DSV)"/>
    <s v="MOUS - FR Moussy-Le-Neuf"/>
    <n v="33"/>
    <n v="0"/>
    <n v="0"/>
    <n v="0"/>
    <s v="1  01"/>
    <x v="1"/>
    <m/>
    <s v="06/11/2025 13:30-13:30"/>
    <m/>
    <n v="0"/>
    <m/>
    <s v="No"/>
    <s v="Shipped/Received"/>
    <s v="Direct"/>
    <m/>
    <m/>
    <m/>
    <s v="HAPSDCFR20251105-01"/>
    <m/>
    <m/>
    <s v="No"/>
    <n v="5019314396"/>
    <s v="SV77ESS"/>
    <s v="COCARIU DUMITRU"/>
    <m/>
  </r>
  <r>
    <x v="0"/>
    <x v="1"/>
    <x v="5"/>
    <x v="25"/>
    <d v="2025-11-05T17:00:00"/>
    <s v="0006110218_4900"/>
    <s v="Loading"/>
    <n v="464141"/>
    <s v="Primary flows"/>
    <s v="GIRTEKA FOR SN 3PO HVO"/>
    <m/>
    <m/>
    <s v="No"/>
    <s v="NL Haps DC (DSV)"/>
    <s v="PUCH - AT Puch"/>
    <n v="33"/>
    <n v="0"/>
    <n v="0"/>
    <n v="0"/>
    <s v="1  01"/>
    <x v="1"/>
    <m/>
    <s v="07/11/2025 09:00-09:00"/>
    <s v="PZ_4N895"/>
    <n v="0"/>
    <m/>
    <s v="No"/>
    <s v="Shipped/Received"/>
    <s v="Direct"/>
    <m/>
    <m/>
    <m/>
    <s v="HAPSDCAT20251105-01"/>
    <m/>
    <m/>
    <s v="No"/>
    <s v="5019331822 / 4505816706 "/>
    <s v=" 5019335962 / 4505811333 "/>
    <s v="MHJ_117"/>
    <s v="Vitalii Bychkov"/>
  </r>
  <r>
    <x v="0"/>
    <x v="1"/>
    <x v="5"/>
    <x v="25"/>
    <d v="2025-11-05T18:00:00"/>
    <s v="0006110227_4900"/>
    <s v="Loading"/>
    <n v="464133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6/11/2025 08:00-08:00"/>
    <m/>
    <n v="0"/>
    <m/>
    <s v="No"/>
    <s v="Shipped/Received"/>
    <s v="Direct"/>
    <m/>
    <m/>
    <m/>
    <s v="HAPSDCFR20251105-03"/>
    <m/>
    <m/>
    <s v="No"/>
    <n v="5019322341"/>
    <m/>
    <m/>
    <m/>
  </r>
  <r>
    <x v="0"/>
    <x v="1"/>
    <x v="5"/>
    <x v="25"/>
    <d v="2025-11-05T18:00:00"/>
    <s v="0006110224_4900"/>
    <s v="Loading"/>
    <n v="464121"/>
    <s v="Primary flows"/>
    <s v="FERCAM AUSTRIA FOR SN 3PO"/>
    <m/>
    <m/>
    <s v="No"/>
    <s v="NL Haps DC (DSV)"/>
    <s v="CIE2 - ES Ciempozuelos SN"/>
    <n v="33"/>
    <n v="0"/>
    <n v="0"/>
    <n v="0"/>
    <s v="1  01"/>
    <x v="1"/>
    <m/>
    <s v="09/11/2025 23:30-23:30"/>
    <m/>
    <n v="0"/>
    <m/>
    <s v="No"/>
    <s v="Shipped/Received"/>
    <s v="Direct"/>
    <m/>
    <m/>
    <m/>
    <s v="HAPSDCES20251105-01"/>
    <m/>
    <m/>
    <s v="No"/>
    <n v="5019316349"/>
    <m/>
    <m/>
    <m/>
  </r>
  <r>
    <x v="0"/>
    <x v="1"/>
    <x v="5"/>
    <x v="25"/>
    <d v="2025-11-05T19:00:00"/>
    <s v="0006124538_4900"/>
    <s v="Loading"/>
    <n v="469300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2/11/2025 12:00-12:00"/>
    <m/>
    <n v="0"/>
    <m/>
    <s v="No"/>
    <s v="Shipped/Received"/>
    <s v="Direct"/>
    <m/>
    <m/>
    <m/>
    <s v="HAPSDCIT20251105-02"/>
    <m/>
    <m/>
    <s v="No"/>
    <n v="5019336922"/>
    <m/>
    <m/>
    <m/>
  </r>
  <r>
    <x v="0"/>
    <x v="1"/>
    <x v="5"/>
    <x v="25"/>
    <d v="2025-11-05T19:00:00"/>
    <s v="0006123092_4900"/>
    <s v="Loading"/>
    <n v="468825"/>
    <s v="Primary flows"/>
    <s v="GIRTEKA FOR SN 3PO"/>
    <m/>
    <m/>
    <s v="No"/>
    <s v="NL Haps DC (DSV)"/>
    <s v="ALZE - DE Alzenau"/>
    <n v="33"/>
    <n v="0"/>
    <n v="0"/>
    <n v="0"/>
    <s v="1  01"/>
    <x v="1"/>
    <m/>
    <s v="06/11/2025 15:00-15:00"/>
    <m/>
    <n v="0"/>
    <m/>
    <s v="No"/>
    <s v="Shipped/Received"/>
    <s v="Direct"/>
    <m/>
    <m/>
    <m/>
    <s v="HAPSDCDE20251105-04"/>
    <m/>
    <m/>
    <s v="No"/>
    <n v="5019308393"/>
    <m/>
    <m/>
    <m/>
  </r>
  <r>
    <x v="0"/>
    <x v="1"/>
    <x v="5"/>
    <x v="25"/>
    <d v="2025-11-05T19:00:00"/>
    <s v="0006110226_4900"/>
    <s v="Loading"/>
    <n v="464126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6/11/2025 07:30-07:30"/>
    <m/>
    <n v="0"/>
    <m/>
    <s v="No"/>
    <s v="Shipped/Received"/>
    <s v="Direct"/>
    <m/>
    <m/>
    <m/>
    <s v="HAPSDCFR20251105-02"/>
    <m/>
    <m/>
    <s v="No"/>
    <n v="5019328662"/>
    <m/>
    <m/>
    <m/>
  </r>
  <r>
    <x v="0"/>
    <x v="1"/>
    <x v="5"/>
    <x v="25"/>
    <d v="2025-11-05T20:00:00"/>
    <s v="0006110234_4900"/>
    <s v="Loading"/>
    <s v="469351 / 464130"/>
    <s v="Primary flows / Primary flows"/>
    <s v="MIERZWA FOR SN 3PO"/>
    <m/>
    <m/>
    <s v="No"/>
    <s v="NL Haps DC (DSV)"/>
    <s v="GRAB - PL Grabica / GRAB - PL Grabica"/>
    <n v="66"/>
    <n v="0"/>
    <n v="0"/>
    <n v="0"/>
    <s v="1  01"/>
    <x v="1"/>
    <m/>
    <s v="07/11/2025 17:00-17:00"/>
    <s v="KRA459PG"/>
    <n v="0"/>
    <m/>
    <s v="No"/>
    <s v="Shipped/Received"/>
    <s v="Direct"/>
    <s v=" / "/>
    <s v=" / "/>
    <m/>
    <s v="HAPSDCPL20251105-02 / HAPSDCPL20251105-02"/>
    <m/>
    <m/>
    <s v="No"/>
    <s v="5019329383 / 5019323676"/>
    <s v="WPR3473T"/>
    <s v="Pawlikowski Krzysztof "/>
    <m/>
  </r>
  <r>
    <x v="0"/>
    <x v="1"/>
    <x v="5"/>
    <x v="26"/>
    <d v="2025-11-06T06:00:00"/>
    <s v="379800_OOS"/>
    <s v="Loading"/>
    <s v="KR - SEA_OOS"/>
    <s v="Aval non piloté_EN"/>
    <s v="GEODIS"/>
    <m/>
    <m/>
    <s v="No"/>
    <s v="NL Haps DC (DSV)"/>
    <s v="OOS_OUT - Delivery OOS"/>
    <n v="24"/>
    <n v="0"/>
    <n v="0"/>
    <n v="0"/>
    <s v="DN 5019288419"/>
    <x v="0"/>
    <m/>
    <s v="07/11/2025 09:00-09:00"/>
    <m/>
    <n v="0"/>
    <m/>
    <s v="No"/>
    <s v="Shipped/Received"/>
    <s v="Direct"/>
    <m/>
    <m/>
    <s v="nutricia-booking.ff.nl@geodis.com"/>
    <m/>
    <m/>
    <m/>
    <s v="No"/>
    <s v="&amp;nbsp"/>
    <m/>
    <s v="KOREA"/>
    <s v="SRTMS183323"/>
  </r>
  <r>
    <x v="0"/>
    <x v="1"/>
    <x v="5"/>
    <x v="26"/>
    <d v="2025-11-06T06:00:00"/>
    <s v="0006126300_4900"/>
    <s v="Loading"/>
    <n v="469857"/>
    <s v="Primary flows"/>
    <s v="GIRTEKA FOR SN 3PO"/>
    <m/>
    <m/>
    <s v="No"/>
    <s v="NL Haps DC (DSV)"/>
    <s v="GRAB - PL Grabica"/>
    <n v="33"/>
    <n v="0"/>
    <n v="0"/>
    <n v="0"/>
    <s v="1  01"/>
    <x v="1"/>
    <m/>
    <s v="07/11/2025 21:00-21:00"/>
    <s v="PZ_2K226"/>
    <n v="0"/>
    <m/>
    <s v="No"/>
    <s v="Shipped/Received"/>
    <s v="Direct"/>
    <m/>
    <m/>
    <m/>
    <s v="HAPSDCPL20251106-03"/>
    <m/>
    <m/>
    <s v="No"/>
    <n v="5019339432"/>
    <s v="MZY_854"/>
    <s v="Djanibek Matyakubov"/>
    <m/>
  </r>
  <r>
    <x v="0"/>
    <x v="1"/>
    <x v="5"/>
    <x v="26"/>
    <d v="2025-11-06T07:00:00"/>
    <s v="0006119867_4900"/>
    <s v="Loading"/>
    <n v="467309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18:00-18:00"/>
    <m/>
    <n v="0"/>
    <m/>
    <s v="No"/>
    <s v="Shipped/Received"/>
    <s v="Direct"/>
    <m/>
    <m/>
    <m/>
    <s v="HAPSDCUK20251106-02"/>
    <m/>
    <m/>
    <s v="No"/>
    <n v="5019339582"/>
    <m/>
    <m/>
    <m/>
  </r>
  <r>
    <x v="0"/>
    <x v="1"/>
    <x v="5"/>
    <x v="26"/>
    <d v="2025-11-06T07:00:00"/>
    <s v="375498_OOS"/>
    <s v="Loading"/>
    <s v="CN-SEA-6105654_OOS"/>
    <s v="Aval non piloté_EN"/>
    <s v="MAERSK - Control Tower"/>
    <m/>
    <m/>
    <s v="No"/>
    <s v="NL Haps DC (DSV)"/>
    <s v="OOS_OUT - Delivery OOS"/>
    <n v="20"/>
    <n v="0"/>
    <n v="0"/>
    <n v="0"/>
    <s v="5019271458 + 5019286184"/>
    <x v="0"/>
    <m/>
    <s v="07/11/2025 00:02-00:02"/>
    <m/>
    <n v="0"/>
    <m/>
    <s v="No"/>
    <s v="Shipped/Received"/>
    <s v="Direct"/>
    <m/>
    <m/>
    <s v="3POeuropect@lns.maersk.com"/>
    <m/>
    <m/>
    <m/>
    <s v="No"/>
    <s v="&amp;nbsp"/>
    <m/>
    <m/>
    <n v="261256752"/>
  </r>
  <r>
    <x v="0"/>
    <x v="1"/>
    <x v="5"/>
    <x v="26"/>
    <d v="2025-11-06T07:00:00"/>
    <s v="381402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41909"/>
    <x v="2"/>
    <m/>
    <s v="07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08:00:00"/>
    <s v="379801_OOS"/>
    <s v="Loading"/>
    <s v="KR - SEA_OOS"/>
    <s v="Aval non piloté_EN"/>
    <s v="GEODIS"/>
    <m/>
    <m/>
    <s v="No"/>
    <s v="NL Haps DC (DSV)"/>
    <s v="OOS_OUT - Delivery OOS"/>
    <n v="24"/>
    <n v="0"/>
    <n v="0"/>
    <n v="0"/>
    <s v="DN 5019282944"/>
    <x v="0"/>
    <m/>
    <s v="07/11/2025 09:00-09:00"/>
    <m/>
    <n v="0"/>
    <m/>
    <s v="No"/>
    <s v="Shipped/Received"/>
    <s v="Direct"/>
    <m/>
    <m/>
    <s v="nutricia-booking.ff.nl@geodis.com"/>
    <m/>
    <m/>
    <m/>
    <s v="No"/>
    <s v="&amp;nbsp"/>
    <m/>
    <s v="KOREA"/>
    <s v="SRTMS183323"/>
  </r>
  <r>
    <x v="0"/>
    <x v="1"/>
    <x v="5"/>
    <x v="26"/>
    <d v="2025-11-06T08:00:00"/>
    <s v="367232_OOS"/>
    <s v="Loading"/>
    <s v="AU-SEA-6078278_OOS"/>
    <s v="Aval non piloté_EN"/>
    <s v="MAERSK - Control Tower"/>
    <m/>
    <m/>
    <s v="No"/>
    <s v="NL Haps DC (DSV)"/>
    <s v="OOS_OUT - Delivery OOS"/>
    <n v="20"/>
    <n v="0"/>
    <n v="0"/>
    <n v="0"/>
    <n v="5019262668"/>
    <x v="0"/>
    <m/>
    <s v="07/11/2025 00:02-00:02"/>
    <m/>
    <n v="0"/>
    <m/>
    <s v="No"/>
    <s v="Shipped/Received"/>
    <s v="Direct"/>
    <m/>
    <m/>
    <s v="nutricia.ct.eu@lns.maersk.com"/>
    <m/>
    <m/>
    <m/>
    <s v="No"/>
    <s v="&amp;nbsp"/>
    <m/>
    <m/>
    <n v="260110098"/>
  </r>
  <r>
    <x v="0"/>
    <x v="1"/>
    <x v="5"/>
    <x v="26"/>
    <d v="2025-11-06T08:00:00"/>
    <s v="374438_OOS"/>
    <s v="Loading"/>
    <s v="SFG-BR-WEEK44-1_OOS"/>
    <s v="Aval non piloté_EN"/>
    <s v="MAERSK - Control Tower"/>
    <m/>
    <m/>
    <s v="No"/>
    <s v="NL Haps DC (DSV)"/>
    <s v="OOS_OUT - Delivery OOS"/>
    <n v="20"/>
    <n v="0"/>
    <n v="0"/>
    <n v="0"/>
    <n v="5019348920"/>
    <x v="5"/>
    <m/>
    <s v="07/11/2025 00:01-00:01"/>
    <m/>
    <n v="0"/>
    <m/>
    <s v="No"/>
    <s v="Shipped/Received"/>
    <s v="Direct"/>
    <m/>
    <m/>
    <s v="nutricia.ct.eu@lns.maersk.com"/>
    <m/>
    <m/>
    <m/>
    <s v="No"/>
    <s v="&amp;nbsp"/>
    <m/>
    <m/>
    <s v="260824852 - BR Semifinished Goods"/>
  </r>
  <r>
    <x v="0"/>
    <x v="1"/>
    <x v="5"/>
    <x v="26"/>
    <d v="2025-11-06T08:00:00"/>
    <s v="378917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20232 LZV"/>
    <x v="1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09:00:00"/>
    <s v="0006110247_4900"/>
    <s v="Loading"/>
    <s v="469856 / 464157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3/11/2025 15:00-15:00"/>
    <m/>
    <n v="0"/>
    <m/>
    <s v="No"/>
    <s v="Shipped/Received"/>
    <s v="Direct"/>
    <s v=" / "/>
    <s v=" / "/>
    <m/>
    <s v="HAPSDCNO20251106-01 / HAPSDCNO20251106-01"/>
    <m/>
    <m/>
    <s v="No"/>
    <s v="5019340939 / 5019330357"/>
    <m/>
    <m/>
    <m/>
  </r>
  <r>
    <x v="0"/>
    <x v="1"/>
    <x v="5"/>
    <x v="26"/>
    <d v="2025-11-06T09:00:00"/>
    <s v="378896_OOS"/>
    <s v="Loading"/>
    <s v="ARG-SEA_OOS"/>
    <s v="Aval non piloté_EN"/>
    <s v="MAERSK"/>
    <m/>
    <m/>
    <s v="No"/>
    <s v="NL Haps DC (DSV)"/>
    <s v="OOS_OUT - Delivery OOS"/>
    <n v="23"/>
    <n v="0"/>
    <n v="0"/>
    <n v="0"/>
    <s v="ARG 5019296022"/>
    <x v="0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09:00:00"/>
    <s v="374439_OOS"/>
    <s v="Loading"/>
    <s v="SFG-BR-WEEK44-2_OOS"/>
    <s v="Aval non piloté_EN"/>
    <s v="MAERSK - Control Tower"/>
    <m/>
    <m/>
    <s v="No"/>
    <s v="NL Haps DC (DSV)"/>
    <s v="OOS_OUT - Delivery OOS"/>
    <n v="20"/>
    <n v="0"/>
    <n v="0"/>
    <n v="0"/>
    <n v="5019340263"/>
    <x v="5"/>
    <m/>
    <s v="07/11/2025 00:01-00:01"/>
    <m/>
    <n v="0"/>
    <m/>
    <s v="No"/>
    <s v="Shipped/Received"/>
    <s v="Direct"/>
    <m/>
    <m/>
    <s v="nutricia.ct.eu@lns.maersk.com"/>
    <m/>
    <m/>
    <m/>
    <s v="No"/>
    <s v="&amp;nbsp"/>
    <m/>
    <m/>
    <s v="260825213 - BR Semifiinished Goods"/>
  </r>
  <r>
    <x v="0"/>
    <x v="1"/>
    <x v="5"/>
    <x v="26"/>
    <d v="2025-11-06T09:00:00"/>
    <s v="380856_OOS"/>
    <s v="Loading"/>
    <s v="Kivits Elshout - ROAD_OOS"/>
    <s v="Aval non piloté_EN"/>
    <s v="Koopman Cargo B.V."/>
    <m/>
    <m/>
    <s v="No"/>
    <s v="NL Haps DC (DSV)"/>
    <s v="OOS_OUT - Delivery OOS"/>
    <n v="33"/>
    <n v="0"/>
    <n v="0"/>
    <n v="0"/>
    <n v="4505818382"/>
    <x v="0"/>
    <m/>
    <s v="07/11/2025 12:00-12:00"/>
    <m/>
    <n v="0"/>
    <m/>
    <s v="No"/>
    <s v="Shipped/Received"/>
    <s v="Direct"/>
    <m/>
    <m/>
    <s v="s.eek@koopman.nl"/>
    <m/>
    <m/>
    <m/>
    <s v="No"/>
    <s v="&amp;nbsp"/>
    <m/>
    <m/>
    <m/>
  </r>
  <r>
    <x v="0"/>
    <x v="1"/>
    <x v="5"/>
    <x v="26"/>
    <d v="2025-11-06T10:00:00"/>
    <s v="376056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32810 (21PL)"/>
    <x v="0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10:00:00"/>
    <s v="0006110246_4900"/>
    <s v="Loading"/>
    <n v="464170"/>
    <s v="Primary flows"/>
    <s v="SAMSKIP FOR SN 3PO"/>
    <m/>
    <m/>
    <s v="No"/>
    <s v="NL Haps DC (DSV)"/>
    <s v="GREZ - IT Grezzago (Pozzuolo Martesana)"/>
    <n v="33"/>
    <n v="0"/>
    <n v="0"/>
    <n v="0"/>
    <s v="1  01"/>
    <x v="1"/>
    <m/>
    <s v="13/11/2025 23:00-23:00"/>
    <m/>
    <n v="0"/>
    <m/>
    <s v="No"/>
    <s v="Shipped/Received"/>
    <s v="Direct"/>
    <m/>
    <m/>
    <m/>
    <s v="HAPSDCIT20251106-02"/>
    <m/>
    <m/>
    <s v="No"/>
    <n v="5019345605"/>
    <m/>
    <m/>
    <m/>
  </r>
  <r>
    <x v="0"/>
    <x v="1"/>
    <x v="5"/>
    <x v="26"/>
    <d v="2025-11-06T10:00:00"/>
    <s v="376074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22514 (21PL)"/>
    <x v="0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10:00:00"/>
    <s v="379802_OOS"/>
    <s v="Loading"/>
    <s v="KR - SEA_OOS"/>
    <s v="Aval non piloté_EN"/>
    <s v="GEODIS"/>
    <m/>
    <m/>
    <s v="No"/>
    <s v="NL Haps DC (DSV)"/>
    <s v="OOS_OUT - Delivery OOS"/>
    <n v="24"/>
    <n v="0"/>
    <n v="0"/>
    <n v="0"/>
    <s v="DN 5019295205"/>
    <x v="0"/>
    <m/>
    <s v="07/11/2025 12:00-12:00"/>
    <m/>
    <n v="0"/>
    <m/>
    <s v="No"/>
    <s v="Shipped/Received"/>
    <s v="Direct"/>
    <m/>
    <m/>
    <s v="nutricia-booking.ff.nl@geodis.com"/>
    <m/>
    <m/>
    <m/>
    <s v="No"/>
    <s v="&amp;nbsp"/>
    <m/>
    <s v="KOREA"/>
    <s v="SRTMS183323"/>
  </r>
  <r>
    <x v="0"/>
    <x v="1"/>
    <x v="5"/>
    <x v="26"/>
    <d v="2025-11-06T11:00:00"/>
    <s v="380940_OOS"/>
    <s v="Loading"/>
    <s v="AU-AIR_OOS"/>
    <s v="Aval non piloté_EN"/>
    <s v="HELLMANN"/>
    <m/>
    <m/>
    <s v="No"/>
    <s v="NL Haps DC (DSV)"/>
    <s v="OOS_OUT - Delivery OOS"/>
    <n v="1"/>
    <n v="0"/>
    <n v="0"/>
    <n v="0"/>
    <s v="AU 5019168625 -1P + 5019286923-4P"/>
    <x v="2"/>
    <m/>
    <s v="07/11/2025 11:00-11:00"/>
    <m/>
    <n v="0"/>
    <m/>
    <s v="No"/>
    <s v="Shipped/Received"/>
    <s v="Direct"/>
    <m/>
    <m/>
    <s v="amsexport@hellmann.com"/>
    <m/>
    <m/>
    <m/>
    <s v="No"/>
    <s v="&amp;nbsp"/>
    <m/>
    <m/>
    <m/>
  </r>
  <r>
    <x v="0"/>
    <x v="1"/>
    <x v="5"/>
    <x v="26"/>
    <d v="2025-11-06T11:00:00"/>
    <s v="380140_OOS"/>
    <s v="Loading"/>
    <s v="GH-SEA_OOS"/>
    <s v="Aval non piloté_EN"/>
    <s v="Mentrex"/>
    <m/>
    <m/>
    <s v="No"/>
    <s v="NL Haps DC (DSV)"/>
    <s v="OOS_OUT - Delivery OOS"/>
    <n v="12"/>
    <n v="0"/>
    <n v="0"/>
    <n v="0"/>
    <n v="5019299437"/>
    <x v="0"/>
    <m/>
    <s v="07/11/2025 12:00-12:00"/>
    <m/>
    <n v="0"/>
    <m/>
    <s v="No"/>
    <s v="Shipped/Received"/>
    <s v="Direct"/>
    <m/>
    <m/>
    <s v="marco@mentrex.nl"/>
    <m/>
    <m/>
    <m/>
    <s v="No"/>
    <s v="&amp;nbsp"/>
    <m/>
    <m/>
    <m/>
  </r>
  <r>
    <x v="0"/>
    <x v="1"/>
    <x v="5"/>
    <x v="26"/>
    <d v="2025-11-06T11:00:00"/>
    <s v="380983_OOS"/>
    <s v="Loading"/>
    <s v="5019343980_OOS"/>
    <s v="Aval non piloté_EN"/>
    <s v="Nabuurs"/>
    <m/>
    <m/>
    <s v="No"/>
    <s v="NL Haps DC (DSV)"/>
    <s v="OOS_OUT - Delivery OOS"/>
    <n v="5"/>
    <n v="0"/>
    <n v="0"/>
    <n v="0"/>
    <s v="Order to ship rejected pallet with cans for scrapping. Special instructions added: M20004 NBB."/>
    <x v="4"/>
    <m/>
    <s v="07/11/2025 00:00-00:00"/>
    <m/>
    <n v="0"/>
    <m/>
    <s v="No"/>
    <s v="Shipped/Received"/>
    <s v="Direct"/>
    <m/>
    <m/>
    <s v="logistic.support.haps@danone.com"/>
    <m/>
    <m/>
    <m/>
    <s v="No"/>
    <s v="&amp;nbsp"/>
    <m/>
    <m/>
    <m/>
  </r>
  <r>
    <x v="0"/>
    <x v="1"/>
    <x v="5"/>
    <x v="26"/>
    <d v="2025-11-06T11:00:00"/>
    <s v="0006110244_4900"/>
    <s v="Loading"/>
    <s v="469916 / 464161"/>
    <s v="Primary flows / Primary flows"/>
    <s v="SAMSKIP FOR SN 3PO"/>
    <m/>
    <m/>
    <s v="No"/>
    <s v="NL Haps DC (DSV)"/>
    <s v="RATH - IE Dublin Rathcoole Ambient / RATH - IE Dublin Rathcoole Ambient"/>
    <n v="66"/>
    <n v="0"/>
    <n v="0"/>
    <n v="0"/>
    <s v="1  01"/>
    <x v="1"/>
    <m/>
    <s v="13/11/2025 23:30-23:30"/>
    <m/>
    <n v="0"/>
    <m/>
    <s v="No"/>
    <s v="Shipped/Received"/>
    <s v="Direct"/>
    <s v=" / "/>
    <s v=" / "/>
    <m/>
    <s v="HAPSDCIE20251106-01 / HAPSDCIE20251106-01"/>
    <m/>
    <m/>
    <s v="No"/>
    <s v="5019349642 / 5019334865"/>
    <m/>
    <m/>
    <m/>
  </r>
  <r>
    <x v="0"/>
    <x v="1"/>
    <x v="5"/>
    <x v="26"/>
    <d v="2025-11-06T11:00:00"/>
    <s v="379803_OOS"/>
    <s v="Loading"/>
    <s v="KR - SEA_OOS"/>
    <s v="Aval non piloté_EN"/>
    <s v="GEODIS"/>
    <m/>
    <m/>
    <s v="No"/>
    <s v="NL Haps DC (DSV)"/>
    <s v="OOS_OUT - Delivery OOS"/>
    <n v="24"/>
    <n v="0"/>
    <n v="0"/>
    <n v="0"/>
    <s v="DN 5019270152"/>
    <x v="0"/>
    <m/>
    <s v="07/11/2025 12:00-12:00"/>
    <m/>
    <n v="0"/>
    <m/>
    <s v="No"/>
    <s v="Shipped/Received"/>
    <s v="Direct"/>
    <m/>
    <m/>
    <s v="nutricia-booking.ff.nl@geodis.com"/>
    <m/>
    <m/>
    <m/>
    <s v="No"/>
    <s v="&amp;nbsp"/>
    <m/>
    <s v="KOREA"/>
    <s v="SRTMS183323"/>
  </r>
  <r>
    <x v="0"/>
    <x v="1"/>
    <x v="5"/>
    <x v="26"/>
    <d v="2025-11-06T12:00:00"/>
    <s v="376076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23456 (21PL)"/>
    <x v="0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12:00:00"/>
    <s v="0006119868_4900"/>
    <s v="Loading"/>
    <n v="467308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18:00-18:00"/>
    <m/>
    <n v="0"/>
    <m/>
    <s v="No"/>
    <s v="Shipped/Received"/>
    <s v="Direct"/>
    <m/>
    <m/>
    <m/>
    <s v="HAPSDCUK20251106-03"/>
    <m/>
    <m/>
    <s v="No"/>
    <n v="5019344022"/>
    <m/>
    <m/>
    <m/>
  </r>
  <r>
    <x v="0"/>
    <x v="1"/>
    <x v="5"/>
    <x v="26"/>
    <d v="2025-11-06T12:00:00"/>
    <s v="376075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34846 (21PL)"/>
    <x v="0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12:00:00"/>
    <s v="0006119869_4900"/>
    <s v="Loading"/>
    <n v="467326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23:00-23:00"/>
    <m/>
    <n v="0"/>
    <m/>
    <s v="No"/>
    <s v="Shipped/Received"/>
    <s v="Direct"/>
    <m/>
    <m/>
    <m/>
    <s v="HAPSDCUK20251106-04"/>
    <m/>
    <m/>
    <s v="No"/>
    <n v="5019331552"/>
    <m/>
    <m/>
    <m/>
  </r>
  <r>
    <x v="0"/>
    <x v="1"/>
    <x v="5"/>
    <x v="26"/>
    <d v="2025-11-06T12:00:00"/>
    <s v="0006125934_4900"/>
    <s v="Loading"/>
    <n v="469677"/>
    <s v="Primary flows"/>
    <s v="HELLMANN FOR SN 3PO"/>
    <m/>
    <m/>
    <s v="No"/>
    <s v="NL Haps DC (DSV)"/>
    <s v="OPOL - PL Opole"/>
    <n v="12"/>
    <n v="0"/>
    <n v="0"/>
    <n v="0"/>
    <s v="1  01"/>
    <x v="5"/>
    <m/>
    <s v="08/11/2025 02:15-02:15"/>
    <s v="KI785"/>
    <n v="0"/>
    <m/>
    <s v="No"/>
    <s v="Shipped/Received"/>
    <s v="Direct"/>
    <m/>
    <m/>
    <m/>
    <s v="SPHapsOPO-051125-09"/>
    <m/>
    <m/>
    <s v="No"/>
    <n v="5019335107"/>
    <s v="NLD916"/>
    <m/>
    <m/>
  </r>
  <r>
    <x v="0"/>
    <x v="1"/>
    <x v="5"/>
    <x v="26"/>
    <d v="2025-11-06T13:00:00"/>
    <s v="376758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288570"/>
    <x v="0"/>
    <m/>
    <s v="07/11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1"/>
    <x v="5"/>
    <x v="26"/>
    <d v="2025-11-06T13:00:00"/>
    <s v="379804_OOS"/>
    <s v="Loading"/>
    <s v="KR - SEA_OOS"/>
    <s v="Aval non piloté_EN"/>
    <s v="GEODIS"/>
    <m/>
    <m/>
    <s v="No"/>
    <s v="NL Haps DC (DSV)"/>
    <s v="OOS_OUT - Delivery OOS"/>
    <n v="24"/>
    <n v="0"/>
    <n v="0"/>
    <n v="0"/>
    <s v="DN 5019295206"/>
    <x v="0"/>
    <m/>
    <s v="07/11/2025 12:00-12:00"/>
    <m/>
    <n v="0"/>
    <m/>
    <s v="No"/>
    <s v="Shipped/Received"/>
    <s v="Direct"/>
    <m/>
    <m/>
    <s v="nutricia-booking.ff.nl@geodis.com"/>
    <m/>
    <m/>
    <m/>
    <s v="No"/>
    <s v="&amp;nbsp"/>
    <m/>
    <s v="KOREA"/>
    <s v="SRTMS183323"/>
  </r>
  <r>
    <x v="0"/>
    <x v="1"/>
    <x v="5"/>
    <x v="26"/>
    <d v="2025-11-06T13:00:00"/>
    <s v="0006110241_4900"/>
    <s v="Loading"/>
    <s v="470097 / 464172"/>
    <s v="Primary flows / Primary flows"/>
    <s v="ECS FOR SN 3PO"/>
    <m/>
    <m/>
    <s v="No"/>
    <s v="NL Haps DC (DSV)"/>
    <s v="MOUS - FR Moussy-Le-Neuf / MOUS - FR Moussy-Le-Neuf"/>
    <n v="66"/>
    <n v="0"/>
    <n v="0"/>
    <n v="0"/>
    <s v="1  01"/>
    <x v="1"/>
    <m/>
    <s v="07/11/2025 09:00-09:00"/>
    <m/>
    <n v="0"/>
    <m/>
    <s v="No"/>
    <s v="Shipped/Received"/>
    <s v="Direct"/>
    <s v=" / "/>
    <s v=" / "/>
    <m/>
    <s v="HAPSDCFR20251106-01 / HAPSDCFR20251106-01"/>
    <m/>
    <m/>
    <s v="No"/>
    <s v="5019349086 / 5019344812"/>
    <m/>
    <m/>
    <m/>
  </r>
  <r>
    <x v="0"/>
    <x v="1"/>
    <x v="5"/>
    <x v="26"/>
    <d v="2025-11-06T13:00:00"/>
    <s v="0006119866_4900"/>
    <s v="Loading"/>
    <s v="469855 / 467321"/>
    <s v="Primary flows / Primary flows"/>
    <s v="LKW WALTER FOR SN 3PO"/>
    <m/>
    <m/>
    <s v="No"/>
    <s v="NL Haps DC (DSV)"/>
    <s v="REDD - GB Redditch / REDD - GB Redditch"/>
    <n v="66"/>
    <n v="0"/>
    <n v="0"/>
    <n v="0"/>
    <s v="1  01"/>
    <x v="1"/>
    <m/>
    <s v="10/11/2025 14:00-14:00"/>
    <m/>
    <n v="0"/>
    <m/>
    <s v="No"/>
    <s v="Shipped/Received"/>
    <s v="Direct"/>
    <s v=" / "/>
    <s v=" / "/>
    <m/>
    <s v="HAPSDCUK20251106-01 / HAPSDCUK20251106-01"/>
    <m/>
    <m/>
    <s v="No"/>
    <s v="5019344415 / 5019344021"/>
    <m/>
    <m/>
    <m/>
  </r>
  <r>
    <x v="0"/>
    <x v="1"/>
    <x v="5"/>
    <x v="26"/>
    <d v="2025-11-06T14:00:00"/>
    <s v="376078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30113 (15PL)"/>
    <x v="0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14:00:00"/>
    <s v="376077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23457 (21PL)"/>
    <x v="0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14:00:00"/>
    <s v="380474_OOS"/>
    <s v="Loading"/>
    <s v="Samples - Road_OOS"/>
    <s v="Aval non piloté_EN"/>
    <s v="Kuehne Nagel"/>
    <m/>
    <m/>
    <s v="No"/>
    <s v="NL Haps DC (DSV)"/>
    <s v="OOS_OUT - Delivery OOS"/>
    <n v="1"/>
    <n v="0"/>
    <n v="0"/>
    <n v="0"/>
    <n v="5019316111"/>
    <x v="2"/>
    <m/>
    <s v="07/11/2025 00:00-0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14:00:00"/>
    <s v="0006110239_4900"/>
    <s v="Loading"/>
    <n v="464154"/>
    <s v="Primary flows"/>
    <s v="LKW WALTER FOR SN 3PO"/>
    <m/>
    <m/>
    <s v="No"/>
    <s v="NL Haps DC (DSV)"/>
    <s v="ALZE - DE Alzenau"/>
    <n v="33"/>
    <n v="0"/>
    <n v="0"/>
    <n v="0"/>
    <s v="1  01"/>
    <x v="1"/>
    <m/>
    <s v="07/11/2025 08:00-08:00"/>
    <m/>
    <n v="0"/>
    <m/>
    <s v="No"/>
    <s v="Shipped/Received"/>
    <s v="Direct"/>
    <m/>
    <m/>
    <m/>
    <s v="HAPSDCDE20251106-03"/>
    <m/>
    <m/>
    <s v="No"/>
    <n v="5019340943"/>
    <m/>
    <m/>
    <m/>
  </r>
  <r>
    <x v="0"/>
    <x v="1"/>
    <x v="5"/>
    <x v="26"/>
    <d v="2025-11-06T15:00:00"/>
    <s v="0006110243_4900"/>
    <s v="Loading"/>
    <n v="464182"/>
    <s v="Primary flows"/>
    <s v="ECS FOR SN 3PO"/>
    <m/>
    <m/>
    <s v="No"/>
    <s v="NL Haps DC (DSV)"/>
    <s v="MOUS - FR Moussy-Le-Neuf"/>
    <n v="33"/>
    <n v="0"/>
    <n v="0"/>
    <n v="0"/>
    <s v="1  01"/>
    <x v="1"/>
    <m/>
    <s v="07/11/2025 10:30-10:30"/>
    <m/>
    <n v="0"/>
    <m/>
    <s v="No"/>
    <s v="Shipped/Received"/>
    <s v="Direct"/>
    <m/>
    <m/>
    <m/>
    <s v="HAPSDCFR20251106-03"/>
    <m/>
    <m/>
    <s v="No"/>
    <n v="5019345646"/>
    <m/>
    <m/>
    <m/>
  </r>
  <r>
    <x v="0"/>
    <x v="1"/>
    <x v="5"/>
    <x v="26"/>
    <d v="2025-11-06T15:00:00"/>
    <s v="380995_OOS"/>
    <s v="Loading"/>
    <s v="ARG - AIR_OOS"/>
    <s v="Aval non piloté_EN"/>
    <s v="Maersk"/>
    <m/>
    <m/>
    <s v="No"/>
    <s v="NL Haps DC (DSV)"/>
    <s v="OOS_OUT - Delivery OOS"/>
    <n v="6"/>
    <n v="0"/>
    <n v="0"/>
    <n v="0"/>
    <s v="ARG AIR EXW 5019289030"/>
    <x v="2"/>
    <m/>
    <s v="07/11/2025 15:00-15:00"/>
    <m/>
    <n v="0"/>
    <m/>
    <s v="No"/>
    <s v="Shipped/Received"/>
    <s v="Direct"/>
    <m/>
    <m/>
    <s v="export.AMS@maersk.com"/>
    <m/>
    <m/>
    <m/>
    <s v="No"/>
    <s v="&amp;nbsp"/>
    <m/>
    <m/>
    <m/>
  </r>
  <r>
    <x v="0"/>
    <x v="1"/>
    <x v="5"/>
    <x v="26"/>
    <d v="2025-11-06T15:00:00"/>
    <s v="380278_OOS"/>
    <s v="Loading"/>
    <s v="CN-AIR_OOS"/>
    <s v="Aval non piloté_EN"/>
    <s v="GEODIS"/>
    <m/>
    <m/>
    <s v="No"/>
    <s v="NL Haps DC (DSV)"/>
    <s v="OOS_OUT - Delivery OOS"/>
    <n v="20"/>
    <n v="0"/>
    <n v="0"/>
    <n v="0"/>
    <s v="CN 5019334852 (10PL) CN 5019314421 (10PL)"/>
    <x v="0"/>
    <m/>
    <s v="07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6"/>
    <d v="2025-11-06T16:00:00"/>
    <s v="0006110237_4900"/>
    <s v="Loading"/>
    <n v="464156"/>
    <s v="Primary flows"/>
    <s v="LKW WALTER FOR SN 3PO"/>
    <m/>
    <m/>
    <s v="No"/>
    <s v="NL Haps DC (DSV)"/>
    <s v="ALZE - DE Alzenau"/>
    <n v="33"/>
    <n v="0"/>
    <n v="0"/>
    <n v="0"/>
    <s v="1  01"/>
    <x v="1"/>
    <m/>
    <s v="07/11/2025 10:00-10:00"/>
    <m/>
    <n v="0"/>
    <m/>
    <s v="No"/>
    <s v="Shipped/Received"/>
    <s v="Direct"/>
    <m/>
    <m/>
    <m/>
    <s v="HAPSDCDE20251106-01"/>
    <m/>
    <m/>
    <s v="No"/>
    <n v="5019340942"/>
    <m/>
    <m/>
    <m/>
  </r>
  <r>
    <x v="0"/>
    <x v="1"/>
    <x v="5"/>
    <x v="26"/>
    <d v="2025-11-06T16:00:00"/>
    <s v="381305_OOS"/>
    <s v="Loading"/>
    <s v="AU - AIR_OOS / US - AIR_OOS"/>
    <s v="Aval non piloté_EN / Aval non piloté_EN"/>
    <s v="MAERSK"/>
    <m/>
    <m/>
    <s v="No"/>
    <s v="NL Haps DC (DSV)"/>
    <s v="OOS_OUT - Delivery OOS / OOS_OUT - Delivery OOS"/>
    <n v="7"/>
    <n v="0"/>
    <n v="0"/>
    <n v="0"/>
    <s v="US AIR 5019253912   AU AIR 5019272301"/>
    <x v="3"/>
    <m/>
    <s v="07/11/2025 16:00-16:00"/>
    <m/>
    <n v="0"/>
    <m/>
    <s v="No"/>
    <s v="Shipped/Received"/>
    <s v="Direct"/>
    <s v=" / "/>
    <s v=" / "/>
    <s v="export.AMS@maersk.com"/>
    <s v=" / "/>
    <m/>
    <m/>
    <s v="No"/>
    <s v="&amp;nbsp"/>
    <s v=" / &amp;nbsp"/>
    <m/>
    <m/>
  </r>
  <r>
    <x v="0"/>
    <x v="1"/>
    <x v="5"/>
    <x v="26"/>
    <d v="2025-11-06T16:00:00"/>
    <s v="376759_OOS"/>
    <s v="Loading"/>
    <s v="UA-ROAD_OOS"/>
    <s v="Aval non piloté_EN"/>
    <s v="SCANTEK LTD"/>
    <m/>
    <m/>
    <s v="No"/>
    <s v="NL Haps DC (DSV)"/>
    <s v="OOS_OUT - Delivery OOS"/>
    <n v="20"/>
    <n v="0"/>
    <n v="0"/>
    <n v="0"/>
    <s v="5019188973 + 5019238697 + 5019238698 + 5019243965 + 5019230301 + 5019253914 + 5019277792"/>
    <x v="1"/>
    <m/>
    <s v="07/11/2025 12:00-12:00"/>
    <m/>
    <n v="0"/>
    <m/>
    <s v="No"/>
    <s v="Shipped/Received"/>
    <s v="Direct"/>
    <m/>
    <m/>
    <s v="olha.pakon@danone.com"/>
    <m/>
    <m/>
    <m/>
    <s v="No"/>
    <s v="&amp;nbsp"/>
    <m/>
    <m/>
    <m/>
  </r>
  <r>
    <x v="0"/>
    <x v="1"/>
    <x v="5"/>
    <x v="26"/>
    <d v="2025-11-06T17:00:00"/>
    <s v="0006110250_4900"/>
    <s v="Loading"/>
    <s v="469859 / 469858 / 464163"/>
    <s v="Primary flows / Primary flows / Primary flows"/>
    <s v="GIRTEKA FOR SN 3PO"/>
    <m/>
    <m/>
    <s v="No"/>
    <s v="NL Haps DC (DSV)"/>
    <s v="AZA2 - PT Azambuja Ambient / AZA2 - PT Azambuja Ambient / AZA2 - PT Azambuja Ambient"/>
    <n v="99"/>
    <n v="0"/>
    <n v="0"/>
    <n v="0"/>
    <s v="1  01"/>
    <x v="1"/>
    <m/>
    <s v="10/11/2025 15:00-15:00"/>
    <m/>
    <n v="0"/>
    <m/>
    <s v="No"/>
    <s v="Shipped/Received"/>
    <s v="Direct"/>
    <s v=" /  / "/>
    <s v=" /  / "/>
    <m/>
    <s v="HAPSDCPT20251106-01 / HAPSDCPT20251106-01 / HAPSDCPT20251106-01"/>
    <m/>
    <m/>
    <s v="No"/>
    <s v="5019345604 / 5019334862 / 5019334349"/>
    <m/>
    <m/>
    <m/>
  </r>
  <r>
    <x v="0"/>
    <x v="1"/>
    <x v="5"/>
    <x v="26"/>
    <d v="2025-11-06T17:00:00"/>
    <s v="0006110248_4900"/>
    <s v="Loading"/>
    <n v="464164"/>
    <s v="Primary flows"/>
    <s v="MIERZWA FOR SN 3PO"/>
    <m/>
    <m/>
    <s v="No"/>
    <s v="NL Haps DC (DSV)"/>
    <s v="GRAB - PL Grabica"/>
    <n v="33"/>
    <n v="0"/>
    <n v="0"/>
    <n v="0"/>
    <s v="1  01"/>
    <x v="1"/>
    <m/>
    <s v="07/11/2025 21:00-21:00"/>
    <s v="PNTSA64_x0009_"/>
    <n v="0"/>
    <m/>
    <s v="No"/>
    <s v="Shipped/Received"/>
    <s v="Direct"/>
    <m/>
    <m/>
    <m/>
    <s v="HAPSDCPL20251106-01"/>
    <m/>
    <m/>
    <s v="No"/>
    <n v="5019340940"/>
    <s v="PNT3831A_x0009_"/>
    <s v="Kaczmarek Micha? / Kaczmarek Anna"/>
    <m/>
  </r>
  <r>
    <x v="0"/>
    <x v="1"/>
    <x v="5"/>
    <x v="26"/>
    <d v="2025-11-06T18:00:00"/>
    <s v="0006110242_4900"/>
    <s v="Loading"/>
    <n v="464153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07/11/2025 08:00-08:00"/>
    <m/>
    <n v="0"/>
    <m/>
    <s v="No"/>
    <s v="Shipped/Received"/>
    <s v="Direct"/>
    <m/>
    <m/>
    <m/>
    <s v="HAPSDCFR20251106-02"/>
    <m/>
    <m/>
    <s v="No"/>
    <n v="5019334216"/>
    <m/>
    <m/>
    <m/>
  </r>
  <r>
    <x v="0"/>
    <x v="1"/>
    <x v="5"/>
    <x v="26"/>
    <d v="2025-11-06T18:00:00"/>
    <s v="0006110236_4900"/>
    <s v="Loading"/>
    <n v="464181"/>
    <s v="Primary flows"/>
    <s v="GIRTEKA FOR SN 3PO"/>
    <m/>
    <m/>
    <s v="No"/>
    <s v="NL Haps DC (DSV)"/>
    <s v="NAZA - BE Nazareth (Dematra)"/>
    <n v="33"/>
    <n v="0"/>
    <n v="0"/>
    <n v="0"/>
    <s v="1  01"/>
    <x v="1"/>
    <m/>
    <s v="07/11/2025 08:00-08:00"/>
    <s v="PZ_934YJ"/>
    <n v="0"/>
    <m/>
    <s v="No"/>
    <s v="Shipped/Received"/>
    <s v="Direct"/>
    <m/>
    <m/>
    <m/>
    <s v="HAPSDCBE20251106-01"/>
    <m/>
    <m/>
    <s v="No"/>
    <n v="5019343476"/>
    <s v="SL_G_9035"/>
    <s v="Ar?nas Zykas"/>
    <m/>
  </r>
  <r>
    <x v="0"/>
    <x v="1"/>
    <x v="5"/>
    <x v="26"/>
    <d v="2025-11-06T19:00:00"/>
    <s v="0006110240_4900"/>
    <s v="Loading"/>
    <s v="469854 / 464171"/>
    <s v="Primary flows / Primary flows"/>
    <s v="LOGISTA FOR SN 3PO"/>
    <m/>
    <m/>
    <s v="No"/>
    <s v="NL Haps DC (DSV)"/>
    <s v="CIE2 - ES Ciempozuelos SN / CIE2 - ES Ciempozuelos SN"/>
    <n v="66"/>
    <n v="0"/>
    <n v="0"/>
    <n v="0"/>
    <s v="1  01"/>
    <x v="1"/>
    <m/>
    <s v="10/11/2025 08:00-08:00"/>
    <s v="R3861BCT "/>
    <n v="0"/>
    <m/>
    <s v="No"/>
    <s v="Shipped/Received"/>
    <s v="Direct"/>
    <s v=" / "/>
    <s v=" / "/>
    <m/>
    <s v="HAPSDCES20251106-01 / HAPSDCES20251106-01"/>
    <m/>
    <m/>
    <s v="No"/>
    <s v="5019348520 / 5019341989"/>
    <s v="5449LXZ"/>
    <s v="António Jose Fragoso Pérez"/>
    <m/>
  </r>
  <r>
    <x v="0"/>
    <x v="1"/>
    <x v="5"/>
    <x v="26"/>
    <d v="2025-11-06T19:00:00"/>
    <s v="0006110245_4900"/>
    <s v="Loading"/>
    <n v="464177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2/11/2025 11:00-11:00"/>
    <m/>
    <n v="0"/>
    <m/>
    <s v="No"/>
    <s v="Shipped/Received"/>
    <s v="Direct"/>
    <m/>
    <m/>
    <m/>
    <s v="HAPSDCIT20251106-01"/>
    <m/>
    <m/>
    <s v="No"/>
    <n v="5019324305"/>
    <m/>
    <m/>
    <m/>
  </r>
  <r>
    <x v="0"/>
    <x v="1"/>
    <x v="5"/>
    <x v="26"/>
    <d v="2025-11-06T19:00:00"/>
    <s v="0006125734_4900"/>
    <s v="Loading"/>
    <n v="469573"/>
    <s v="Primary flows"/>
    <s v="VLANTANA FOR SN 3PO"/>
    <m/>
    <m/>
    <s v="No"/>
    <s v="NL Haps DC (DSV)"/>
    <s v="RIGA - LV Riga (EUGESTA SIA)"/>
    <n v="33"/>
    <n v="0"/>
    <n v="0"/>
    <n v="0"/>
    <s v="1  01"/>
    <x v="1"/>
    <m/>
    <s v="13/11/2025 14:30-14:30"/>
    <m/>
    <n v="0"/>
    <m/>
    <s v="No"/>
    <s v="Shipped/Received"/>
    <s v="Direct"/>
    <m/>
    <m/>
    <m/>
    <s v="HAPSDCLV20251106-02"/>
    <m/>
    <m/>
    <s v="No"/>
    <n v="5019342338"/>
    <m/>
    <m/>
    <m/>
  </r>
  <r>
    <x v="0"/>
    <x v="1"/>
    <x v="5"/>
    <x v="26"/>
    <d v="2025-11-06T20:00:00"/>
    <s v="0006110249_4900"/>
    <s v="Loading"/>
    <s v="469853 / 464166"/>
    <s v="Primary flows / Primary flows"/>
    <s v="GIRTEKA FOR SN 3PO"/>
    <m/>
    <m/>
    <s v="No"/>
    <s v="NL Haps DC (DSV)"/>
    <s v="GRAB - PL Grabica / GRAB - PL Grabica"/>
    <n v="66"/>
    <n v="0"/>
    <n v="0"/>
    <n v="0"/>
    <s v="1  01"/>
    <x v="1"/>
    <m/>
    <s v="10/11/2025 18:00-18:00"/>
    <m/>
    <n v="0"/>
    <m/>
    <s v="No"/>
    <s v="Shipped/Received"/>
    <s v="Direct"/>
    <s v=" / "/>
    <s v=" / "/>
    <m/>
    <s v="HAPSDCPL20251106-02 / HAPSDCPL20251106-02"/>
    <m/>
    <m/>
    <s v="No"/>
    <s v="5019339431 / 5019324146"/>
    <m/>
    <m/>
    <m/>
  </r>
  <r>
    <x v="0"/>
    <x v="1"/>
    <x v="5"/>
    <x v="27"/>
    <d v="2025-11-07T06:00:00"/>
    <s v="381393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53571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06:00:00"/>
    <s v="0006119873_4900"/>
    <s v="Loading"/>
    <n v="467322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18:00-18:00"/>
    <m/>
    <n v="0"/>
    <m/>
    <s v="No"/>
    <s v="Shipped/Received"/>
    <s v="Direct"/>
    <m/>
    <m/>
    <m/>
    <s v="HAPSDCUK20251107-03"/>
    <m/>
    <m/>
    <s v="No"/>
    <n v="5019335672"/>
    <m/>
    <m/>
    <m/>
  </r>
  <r>
    <x v="0"/>
    <x v="1"/>
    <x v="5"/>
    <x v="27"/>
    <d v="2025-11-07T07:00:00"/>
    <s v="381979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64897"/>
    <x v="2"/>
    <m/>
    <s v="08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07:00:00"/>
    <s v="381405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57449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07:00:00"/>
    <s v="381406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54577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07:00:00"/>
    <s v="0006110251_4900"/>
    <s v="Loading"/>
    <s v="464194 / 469860"/>
    <s v="Primary flows / Primary flows"/>
    <s v="DSV DK FOR SN 3PO"/>
    <m/>
    <m/>
    <s v="No"/>
    <s v="NL Haps DC (DSV)"/>
    <s v="HELS - SE Helsingborg / HELS - SE Helsingborg"/>
    <n v="66"/>
    <n v="0"/>
    <n v="0"/>
    <n v="0"/>
    <s v="1  01"/>
    <x v="3"/>
    <m/>
    <s v="10/11/2025 08:00-08:00 / 10/11/2025 08:00-08:00"/>
    <m/>
    <n v="0"/>
    <m/>
    <s v="No"/>
    <s v="Shipped/Received"/>
    <s v="Direct"/>
    <s v=" / "/>
    <s v=" / "/>
    <m/>
    <s v="HAPSDCSE20251106-01 / HAPSDCSE20251106-01"/>
    <m/>
    <m/>
    <s v="No"/>
    <s v="5019335425 / 5019345524"/>
    <m/>
    <m/>
    <m/>
  </r>
  <r>
    <x v="0"/>
    <x v="1"/>
    <x v="5"/>
    <x v="27"/>
    <d v="2025-11-07T08:00:00"/>
    <s v="0006119872_4900"/>
    <s v="Loading"/>
    <n v="467333"/>
    <s v="Primary flows"/>
    <s v="SAMSKIP FOR SN 3PO"/>
    <m/>
    <m/>
    <s v="No"/>
    <s v="NL Haps DC (DSV)"/>
    <s v="REDD - GB Redditch"/>
    <n v="33"/>
    <n v="0"/>
    <n v="0"/>
    <n v="0"/>
    <s v="1  01"/>
    <x v="1"/>
    <m/>
    <s v="10/11/2025 18:00-18:00"/>
    <m/>
    <n v="0"/>
    <m/>
    <s v="No"/>
    <s v="Shipped/Received"/>
    <s v="Direct"/>
    <m/>
    <m/>
    <m/>
    <s v="HAPSDCUK20251107-02"/>
    <m/>
    <m/>
    <s v="No"/>
    <n v="5019338345"/>
    <m/>
    <m/>
    <m/>
  </r>
  <r>
    <x v="0"/>
    <x v="1"/>
    <x v="5"/>
    <x v="27"/>
    <d v="2025-11-07T08:00:00"/>
    <s v="380941_OOS"/>
    <s v="Loading"/>
    <s v="MEA-AIR_OOS"/>
    <s v="Aval non piloté_EN"/>
    <s v="KERRY LOGISTICS"/>
    <m/>
    <m/>
    <s v="No"/>
    <s v="NL Haps DC (DSV)"/>
    <s v="OOS_OUT - Delivery OOS"/>
    <n v="23"/>
    <n v="0"/>
    <n v="0"/>
    <n v="0"/>
    <s v="MEA 5019334103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09:00:00"/>
    <s v="377836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344250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09:00:00"/>
    <s v="380932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335426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09:00:00"/>
    <s v="0006110272_4900"/>
    <s v="Loading"/>
    <s v="470361 / 464169"/>
    <s v="Primary flows / Primary flows"/>
    <s v="SAMSKIP FOR SN 3PO"/>
    <m/>
    <m/>
    <s v="No"/>
    <s v="NL Haps DC (DSV)"/>
    <s v="DUBL - IE Dublin (United Drug) / DUBL - IE Dublin (United Drug)"/>
    <n v="66"/>
    <n v="0"/>
    <n v="0"/>
    <n v="0"/>
    <s v="1  01"/>
    <x v="1"/>
    <m/>
    <s v="09/11/2025 20:00-20:00"/>
    <m/>
    <n v="0"/>
    <m/>
    <s v="No"/>
    <s v="Shipped/Received"/>
    <s v="Direct"/>
    <s v=" / "/>
    <s v=" / "/>
    <m/>
    <s v="HAPSDCIE20251107-02 / HAPSDCIE20251107-02"/>
    <m/>
    <m/>
    <s v="No"/>
    <s v="5019343919 / 5019343542"/>
    <m/>
    <m/>
    <m/>
  </r>
  <r>
    <x v="0"/>
    <x v="1"/>
    <x v="5"/>
    <x v="27"/>
    <d v="2025-11-07T10:00:00"/>
    <s v="0006110271_4900"/>
    <s v="Loading"/>
    <s v="464152 / 464151"/>
    <s v="Primary flows / Primary flows"/>
    <s v="SAMSKIP FOR SN 3PO"/>
    <m/>
    <m/>
    <s v="No"/>
    <s v="NL Haps DC (DSV)"/>
    <s v="DUB3 - IE Dublin (Pemberton) / DUBL - IE Dublin (United Drug)"/>
    <n v="66"/>
    <n v="0"/>
    <n v="0"/>
    <n v="0"/>
    <s v="1  01"/>
    <x v="1"/>
    <m/>
    <s v="14/11/2025 18:00-18:00 / 09/11/2025 23:00-23:00"/>
    <m/>
    <n v="0"/>
    <m/>
    <s v="No"/>
    <s v="Shipped/Received"/>
    <s v="Direct"/>
    <s v=" / "/>
    <s v=" / "/>
    <m/>
    <s v="HAPSDCIE20251107-01 / HAPSDCIE20251107-01"/>
    <m/>
    <m/>
    <s v="No"/>
    <s v="5019353746 / 5019344746"/>
    <m/>
    <m/>
    <m/>
  </r>
  <r>
    <x v="0"/>
    <x v="1"/>
    <x v="5"/>
    <x v="27"/>
    <d v="2025-11-07T10:00:00"/>
    <s v="380857_OOS"/>
    <s v="Loading"/>
    <s v="Kivits Elshout - ROAD_OOS"/>
    <s v="Aval non piloté_EN"/>
    <s v="Koopman Cargo B.V."/>
    <m/>
    <m/>
    <s v="No"/>
    <s v="NL Haps DC (DSV)"/>
    <s v="OOS_OUT - Delivery OOS"/>
    <n v="33"/>
    <n v="0"/>
    <n v="0"/>
    <n v="0"/>
    <n v="4505818404"/>
    <x v="0"/>
    <m/>
    <s v="08/11/2025 12:00-12:00"/>
    <m/>
    <n v="0"/>
    <m/>
    <s v="No"/>
    <s v="Shipped/Received"/>
    <s v="Direct"/>
    <m/>
    <m/>
    <s v="s.eek@koopman.nl"/>
    <m/>
    <m/>
    <m/>
    <s v="No"/>
    <s v="&amp;nbsp"/>
    <m/>
    <m/>
    <m/>
  </r>
  <r>
    <x v="0"/>
    <x v="1"/>
    <x v="5"/>
    <x v="27"/>
    <d v="2025-11-07T10:00:00"/>
    <s v="380942_OOS"/>
    <s v="Loading"/>
    <s v="MEA-AIR_OOS"/>
    <s v="Aval non piloté_EN"/>
    <s v="KERRY LOGISTICS"/>
    <m/>
    <m/>
    <s v="No"/>
    <s v="NL Haps DC (DSV)"/>
    <s v="OOS_OUT - Delivery OOS"/>
    <n v="23"/>
    <n v="0"/>
    <n v="0"/>
    <n v="0"/>
    <s v="MEA 5019335340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11:00:00"/>
    <s v="380943_OOS"/>
    <s v="Loading"/>
    <s v="MEA-AIR_OOS"/>
    <s v="Aval non piloté_EN"/>
    <s v="KERRY LOGISTICS"/>
    <m/>
    <m/>
    <s v="No"/>
    <s v="NL Haps DC (DSV)"/>
    <s v="OOS_OUT - Delivery OOS"/>
    <n v="23"/>
    <n v="0"/>
    <n v="0"/>
    <n v="0"/>
    <s v="MEA 5019324312 5019328636 5019330072 5019335341 5019322915 5019334744 5019334745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11:00:00"/>
    <s v="381408_OOS"/>
    <s v="Loading"/>
    <s v="5019364218 - 5019346267_OOS"/>
    <s v="Aval non piloté_EN"/>
    <s v="Nabuurs"/>
    <m/>
    <m/>
    <s v="No"/>
    <s v="NL Haps DC (DSV)"/>
    <s v="OOS_OUT - Delivery OOS"/>
    <n v="4"/>
    <n v="0"/>
    <n v="0"/>
    <n v="0"/>
    <s v="2 orders to ship 4 rejected pallet for scrapping Special instructions added  M2004  YBB and NBB"/>
    <x v="4"/>
    <m/>
    <s v="08/11/2025 00:00-00:00"/>
    <m/>
    <n v="0"/>
    <m/>
    <s v="No"/>
    <s v="Shipped/Received"/>
    <s v="Direct"/>
    <m/>
    <m/>
    <s v="logistic.support.haps@danone.com"/>
    <m/>
    <m/>
    <m/>
    <s v="No"/>
    <s v="&amp;nbsp"/>
    <m/>
    <m/>
    <m/>
  </r>
  <r>
    <x v="0"/>
    <x v="1"/>
    <x v="5"/>
    <x v="27"/>
    <d v="2025-11-07T11:00:00"/>
    <s v="376734_OOS"/>
    <s v="Loading"/>
    <s v="RU-ROAD_OOS"/>
    <s v="Aval non piloté_EN"/>
    <s v="FortaPlus"/>
    <m/>
    <m/>
    <s v="No"/>
    <s v="NL Haps DC (DSV)"/>
    <s v="OOS_OUT - Delivery OOS"/>
    <n v="33"/>
    <n v="0"/>
    <n v="0"/>
    <n v="0"/>
    <s v="5019336920 + 5019314674"/>
    <x v="0"/>
    <m/>
    <s v="08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1"/>
    <x v="5"/>
    <x v="27"/>
    <d v="2025-11-07T11:00:00"/>
    <s v="0006119874_4900"/>
    <s v="Loading"/>
    <n v="467330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18:00-18:00"/>
    <m/>
    <n v="0"/>
    <m/>
    <s v="No"/>
    <s v="Shipped/Received"/>
    <s v="Direct"/>
    <m/>
    <m/>
    <m/>
    <s v="HAPSDCUK20251107-04"/>
    <m/>
    <m/>
    <s v="No"/>
    <n v="5019357137"/>
    <m/>
    <m/>
    <m/>
  </r>
  <r>
    <x v="0"/>
    <x v="1"/>
    <x v="5"/>
    <x v="27"/>
    <d v="2025-11-07T11:00:00"/>
    <s v="381407_OOS"/>
    <s v="Loading"/>
    <s v="US-AIR_OOS"/>
    <s v="Aval non piloté_EN"/>
    <s v="JAS"/>
    <m/>
    <m/>
    <s v="No"/>
    <s v="NL Haps DC (DSV)"/>
    <s v="OOS_OUT - Delivery OOS"/>
    <n v="5"/>
    <n v="0"/>
    <n v="0"/>
    <n v="0"/>
    <s v="US 5019285033 (5PL)"/>
    <x v="2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11:00:00"/>
    <s v="0006110253_4900"/>
    <s v="Loading"/>
    <s v="464175 / 469627"/>
    <s v="Primary flows / Primary flows"/>
    <s v="INTERKONTAKT FOR SN 3PO"/>
    <m/>
    <m/>
    <s v="No"/>
    <s v="NL Haps DC (DSV)"/>
    <s v="RICA - CZ Ricany DC2 Ambient WH / PRAH - CZ Praha (PHOENIX)"/>
    <n v="66"/>
    <n v="0"/>
    <n v="0"/>
    <n v="0"/>
    <s v="1  01"/>
    <x v="1"/>
    <m/>
    <s v="10/11/2025 13:00-13:00 / 10/11/2025 12:00-12:00"/>
    <s v="6SY2686"/>
    <n v="0"/>
    <m/>
    <s v="No"/>
    <s v="Shipped/Received"/>
    <s v="Direct"/>
    <s v=" / "/>
    <s v=" / "/>
    <m/>
    <s v="HAPSDCCZ20251107-02 / HAPSDCCZ20251107-02"/>
    <m/>
    <m/>
    <s v="No"/>
    <s v="5019355167 / 5019337951"/>
    <s v="4SV0039"/>
    <m/>
    <m/>
  </r>
  <r>
    <x v="0"/>
    <x v="1"/>
    <x v="5"/>
    <x v="27"/>
    <d v="2025-11-07T12:00:00"/>
    <s v="380939_OOS"/>
    <s v="Loading"/>
    <s v="CN-AIR_OOS"/>
    <s v="Aval non piloté_EN"/>
    <s v="GEODIS"/>
    <m/>
    <m/>
    <s v="No"/>
    <s v="NL Haps DC (DSV)"/>
    <s v="OOS_OUT - Delivery OOS"/>
    <n v="12"/>
    <n v="0"/>
    <n v="0"/>
    <n v="0"/>
    <s v="CN 5019277433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12:00:00"/>
    <s v="0006127598_4900"/>
    <s v="Loading"/>
    <n v="470263"/>
    <s v="Primary flows"/>
    <s v="GIRTEKA FOR SN 3PO"/>
    <m/>
    <m/>
    <s v="No"/>
    <s v="NL Haps DC (DSV)"/>
    <s v="NAZA - BE Nazareth (Dematra)"/>
    <n v="33"/>
    <n v="0"/>
    <n v="0"/>
    <n v="0"/>
    <s v="1  01"/>
    <x v="1"/>
    <m/>
    <s v="10/11/2025 08:00-08:00"/>
    <s v="PZ_1P577"/>
    <n v="0"/>
    <m/>
    <s v="No"/>
    <s v="Shipped/Received"/>
    <s v="Direct"/>
    <m/>
    <m/>
    <m/>
    <s v="HAPSDCBE20251107-02"/>
    <m/>
    <m/>
    <s v="No"/>
    <n v="5019339837"/>
    <s v="NMC_015"/>
    <s v="Mansurbek Amanov"/>
    <m/>
  </r>
  <r>
    <x v="0"/>
    <x v="1"/>
    <x v="5"/>
    <x v="27"/>
    <d v="2025-11-07T12:00:00"/>
    <s v="376735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337181"/>
    <x v="0"/>
    <m/>
    <s v="08/11/2025 12:00-12:00"/>
    <m/>
    <n v="0"/>
    <m/>
    <s v="No"/>
    <s v="Save"/>
    <s v="Direct"/>
    <m/>
    <m/>
    <s v="kazimierz.tomas@fortaplus.com"/>
    <m/>
    <m/>
    <m/>
    <s v="No"/>
    <s v="&amp;nbsp"/>
    <m/>
    <m/>
    <m/>
  </r>
  <r>
    <x v="0"/>
    <x v="1"/>
    <x v="5"/>
    <x v="27"/>
    <d v="2025-11-07T13:00:00"/>
    <s v="0006119871_4900"/>
    <s v="Loading"/>
    <s v="470368 / 467316"/>
    <s v="Primary flows / Primary flows"/>
    <s v="GIRTEKA FOR SN 3PO"/>
    <m/>
    <m/>
    <s v="No"/>
    <s v="NL Haps DC (DSV)"/>
    <s v="REDD - GB Redditch / REDD - GB Redditch"/>
    <n v="66"/>
    <n v="0"/>
    <n v="0"/>
    <n v="0"/>
    <s v="1  01"/>
    <x v="1"/>
    <m/>
    <s v="10/11/2025 12:00-12:00"/>
    <m/>
    <n v="0"/>
    <m/>
    <s v="No"/>
    <s v="Shipped/Received"/>
    <s v="Direct"/>
    <s v=" / "/>
    <s v=" / "/>
    <m/>
    <s v="HAPSDCUK20251107-01 / HAPSDCUK20251107-01"/>
    <m/>
    <m/>
    <s v="No"/>
    <s v="5019356441 / 5019347563"/>
    <m/>
    <m/>
    <m/>
  </r>
  <r>
    <x v="0"/>
    <x v="1"/>
    <x v="5"/>
    <x v="27"/>
    <d v="2025-11-07T13:00:00"/>
    <s v="0006127355_4900"/>
    <s v="Loading"/>
    <n v="470154"/>
    <s v="Primary flows"/>
    <s v="GIRTEKA FOR SN 3PO"/>
    <m/>
    <m/>
    <s v="No"/>
    <s v="NL Haps DC (DSV)"/>
    <s v="NAZA - BE Nazareth (Dematra)"/>
    <n v="33"/>
    <n v="0"/>
    <n v="0"/>
    <n v="0"/>
    <s v="1  01"/>
    <x v="1"/>
    <m/>
    <s v="07/11/2025 18:30-18:30"/>
    <s v="PZ_3V522"/>
    <n v="0"/>
    <m/>
    <s v="No"/>
    <s v="Shipped/Received"/>
    <s v="Direct"/>
    <m/>
    <m/>
    <m/>
    <s v="HAPSDCBE20251107-01"/>
    <m/>
    <m/>
    <s v="No"/>
    <n v="5019343613"/>
    <s v="MYO_769"/>
    <s v="Sumith Mon Maramkollil Thankachan"/>
    <m/>
  </r>
  <r>
    <x v="0"/>
    <x v="1"/>
    <x v="5"/>
    <x v="27"/>
    <d v="2025-11-07T13:00:00"/>
    <s v="380938_OOS"/>
    <s v="Loading"/>
    <s v="CN-AIR_OOS"/>
    <s v="Aval non piloté_EN"/>
    <s v="GEODIS"/>
    <m/>
    <m/>
    <s v="No"/>
    <s v="NL Haps DC (DSV)"/>
    <s v="OOS_OUT - Delivery OOS"/>
    <n v="24"/>
    <n v="0"/>
    <n v="0"/>
    <n v="0"/>
    <s v="CN 5019277508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14:00:00"/>
    <s v="0006110255_4900"/>
    <s v="Loading"/>
    <n v="464183"/>
    <s v="Primary flows"/>
    <s v="LKW WALTER FOR SN 3PO"/>
    <m/>
    <m/>
    <s v="No"/>
    <s v="NL Haps DC (DSV)"/>
    <s v="ALZE - DE Alzenau"/>
    <n v="33"/>
    <n v="0"/>
    <n v="0"/>
    <n v="0"/>
    <s v="1  01"/>
    <x v="1"/>
    <m/>
    <s v="09/11/2025 23:30-23:30"/>
    <m/>
    <n v="0"/>
    <m/>
    <s v="No"/>
    <s v="Shipped/Received"/>
    <s v="Direct"/>
    <m/>
    <m/>
    <m/>
    <s v="HAPSDCDE20251107-02"/>
    <m/>
    <m/>
    <s v="No"/>
    <n v="5019343705"/>
    <m/>
    <m/>
    <m/>
  </r>
  <r>
    <x v="0"/>
    <x v="1"/>
    <x v="5"/>
    <x v="27"/>
    <d v="2025-11-07T14:00:00"/>
    <s v="380507_OOS"/>
    <s v="Loading"/>
    <s v="IR-ROAD_OOS"/>
    <s v="Aval non piloté_EN"/>
    <s v="EXPEDITE ONE"/>
    <m/>
    <m/>
    <s v="No"/>
    <s v="NL Haps DC (DSV)"/>
    <s v="OOS_OUT - Delivery OOS"/>
    <n v="18"/>
    <n v="0"/>
    <n v="0"/>
    <n v="0"/>
    <s v="5019227605   5019295012   5019288260"/>
    <x v="0"/>
    <m/>
    <s v="08/11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1"/>
    <x v="5"/>
    <x v="27"/>
    <d v="2025-11-07T15:00:00"/>
    <s v="380508_OOS"/>
    <s v="Loading"/>
    <s v="IR-ROAD_OOS"/>
    <s v="Aval non piloté_EN"/>
    <s v="EXPEDITE ONE"/>
    <m/>
    <m/>
    <s v="No"/>
    <s v="NL Haps DC (DSV)"/>
    <s v="OOS_OUT - Delivery OOS"/>
    <n v="20"/>
    <n v="0"/>
    <n v="0"/>
    <n v="0"/>
    <n v="5019295014"/>
    <x v="0"/>
    <m/>
    <s v="08/11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1"/>
    <x v="5"/>
    <x v="27"/>
    <d v="2025-11-07T15:00:00"/>
    <s v="0006110256_4900"/>
    <s v="Loading"/>
    <n v="464158"/>
    <s v="Primary flows"/>
    <s v="LKW WALTER FOR SN 3PO"/>
    <m/>
    <m/>
    <s v="No"/>
    <s v="NL Haps DC (DSV)"/>
    <s v="ALZE - DE Alzenau"/>
    <n v="33"/>
    <n v="0"/>
    <n v="0"/>
    <n v="0"/>
    <s v="1  01"/>
    <x v="1"/>
    <m/>
    <s v="09/11/2025 23:30-23:30"/>
    <m/>
    <n v="0"/>
    <m/>
    <s v="No"/>
    <s v="Shipped/Received"/>
    <s v="Direct"/>
    <m/>
    <m/>
    <m/>
    <s v="HAPSDCDE20251107-03"/>
    <m/>
    <m/>
    <s v="No"/>
    <n v="5019356887"/>
    <m/>
    <m/>
    <m/>
  </r>
  <r>
    <x v="0"/>
    <x v="1"/>
    <x v="5"/>
    <x v="27"/>
    <d v="2025-11-07T16:00:00"/>
    <s v="0006110252_4900"/>
    <s v="Loading"/>
    <n v="464173"/>
    <s v="Primary flows"/>
    <s v="GIRTEKA FOR SN 3PO"/>
    <m/>
    <m/>
    <s v="No"/>
    <s v="NL Haps DC (DSV)"/>
    <s v="RICA - CZ Ricany DC2 Ambient WH"/>
    <n v="33"/>
    <n v="0"/>
    <n v="0"/>
    <n v="0"/>
    <s v="1  01"/>
    <x v="1"/>
    <m/>
    <s v="10/11/2025 15:00-15:00"/>
    <s v="PZ_7J086"/>
    <n v="0"/>
    <m/>
    <s v="No"/>
    <s v="Shipped/Received"/>
    <s v="Direct"/>
    <m/>
    <m/>
    <m/>
    <s v="HAPSDCCZ20251107-01"/>
    <m/>
    <m/>
    <s v="No"/>
    <n v="5019353213"/>
    <s v="PZ_2W117"/>
    <s v="Aliaksandr Hryharzheuski"/>
    <m/>
  </r>
  <r>
    <x v="0"/>
    <x v="1"/>
    <x v="5"/>
    <x v="27"/>
    <d v="2025-11-07T16:00:00"/>
    <s v="380509_OOS"/>
    <s v="Loading"/>
    <s v="IR-ROAD_OOS"/>
    <s v="Aval non piloté_EN"/>
    <s v="EXPEDITE ONE"/>
    <m/>
    <m/>
    <s v="No"/>
    <s v="NL Haps DC (DSV)"/>
    <s v="OOS_OUT - Delivery OOS"/>
    <n v="17"/>
    <n v="0"/>
    <n v="0"/>
    <n v="0"/>
    <n v="5019295495"/>
    <x v="0"/>
    <m/>
    <s v="08/11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1"/>
    <x v="5"/>
    <x v="27"/>
    <d v="2025-11-07T16:00:00"/>
    <s v="0006110259_4900"/>
    <s v="Loading"/>
    <n v="464179"/>
    <s v="Primary flows"/>
    <s v="FREJA FOR SN 3PO"/>
    <m/>
    <m/>
    <s v="No"/>
    <s v="NL Haps DC (DSV)"/>
    <s v="TAMP - FI Tampere"/>
    <n v="33"/>
    <n v="0"/>
    <n v="0"/>
    <n v="0"/>
    <s v="1  01"/>
    <x v="1"/>
    <m/>
    <s v="11/11/2025 08:00-08:00"/>
    <m/>
    <n v="0"/>
    <m/>
    <s v="No"/>
    <s v="Shipped/Received"/>
    <s v="Direct"/>
    <m/>
    <m/>
    <m/>
    <s v="HAPSDCFI20251107-01"/>
    <m/>
    <m/>
    <s v="No"/>
    <n v="5019348539"/>
    <m/>
    <m/>
    <m/>
  </r>
  <r>
    <x v="0"/>
    <x v="1"/>
    <x v="5"/>
    <x v="27"/>
    <d v="2025-11-07T17:00:00"/>
    <s v="381394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47737"/>
    <x v="0"/>
    <m/>
    <s v="08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5"/>
    <x v="27"/>
    <d v="2025-11-07T17:00:00"/>
    <s v="0006110260_4900"/>
    <s v="Loading"/>
    <n v="464174"/>
    <s v="Primary flows"/>
    <s v="ABC CZEPCZYNSKI FOR SN 3PO"/>
    <m/>
    <m/>
    <s v="No"/>
    <s v="NL Haps DC (DSV)"/>
    <s v="BUDA - HU Budapest (BILK Logisztikai)"/>
    <n v="33"/>
    <n v="0"/>
    <n v="0"/>
    <n v="0"/>
    <s v="1  01"/>
    <x v="1"/>
    <m/>
    <s v="10/11/2025 12:00-12:00"/>
    <s v="P7094"/>
    <n v="0"/>
    <m/>
    <s v="No"/>
    <s v="Shipped/Received"/>
    <s v="Direct"/>
    <m/>
    <m/>
    <m/>
    <s v="HAPSDCHU20251107-01"/>
    <m/>
    <m/>
    <s v="No"/>
    <n v="5019348543"/>
    <s v="KT9767"/>
    <s v="LT/LT"/>
    <m/>
  </r>
  <r>
    <x v="0"/>
    <x v="1"/>
    <x v="5"/>
    <x v="27"/>
    <d v="2025-11-07T18:00:00"/>
    <s v="0006119952_4900"/>
    <s v="Loading"/>
    <n v="467432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0/11/2025 08:00-08:00"/>
    <m/>
    <n v="0"/>
    <m/>
    <s v="No"/>
    <s v="Shipped/Received"/>
    <s v="Direct"/>
    <m/>
    <m/>
    <m/>
    <s v="HAPSDCFR20251107-02"/>
    <m/>
    <m/>
    <s v="No"/>
    <n v="5019345099"/>
    <m/>
    <m/>
    <m/>
  </r>
  <r>
    <x v="0"/>
    <x v="1"/>
    <x v="5"/>
    <x v="27"/>
    <d v="2025-11-07T18:00:00"/>
    <s v="0006110277_4900"/>
    <s v="Loading"/>
    <s v="470360 / 464180"/>
    <s v="Primary flows / Primary flows"/>
    <s v="DSV DK FOR SN 3PO"/>
    <m/>
    <m/>
    <s v="No"/>
    <s v="NL Haps DC (DSV)"/>
    <s v="HELS - SE Helsingborg / HELS - SE Helsingborg"/>
    <n v="66"/>
    <n v="0"/>
    <n v="0"/>
    <n v="0"/>
    <s v="1  01"/>
    <x v="1"/>
    <m/>
    <s v="10/11/2025 11:00-11:00"/>
    <m/>
    <n v="0"/>
    <m/>
    <s v="No"/>
    <s v="Shipped/Received"/>
    <s v="Direct"/>
    <s v=" / "/>
    <s v=" / "/>
    <m/>
    <s v="HAPSDCSE20251107-01 / HAPSDCSE20251107-01"/>
    <m/>
    <m/>
    <s v="No"/>
    <s v="5019347013 / 5019334113"/>
    <m/>
    <m/>
    <m/>
  </r>
  <r>
    <x v="0"/>
    <x v="1"/>
    <x v="5"/>
    <x v="27"/>
    <d v="2025-11-07T18:00:00"/>
    <s v="0006119951_4900"/>
    <s v="Loading"/>
    <n v="467431"/>
    <s v="Primary flows"/>
    <s v="ECS FOR SN 3PO"/>
    <m/>
    <m/>
    <s v="No"/>
    <s v="NL Haps DC (DSV)"/>
    <s v="MOUS - FR Moussy-Le-Neuf"/>
    <n v="33"/>
    <n v="0"/>
    <n v="0"/>
    <n v="0"/>
    <s v="1  01"/>
    <x v="1"/>
    <m/>
    <s v="10/11/2025 13:00-13:00"/>
    <m/>
    <n v="0"/>
    <m/>
    <s v="No"/>
    <s v="Shipped/Received"/>
    <s v="Direct"/>
    <m/>
    <m/>
    <m/>
    <s v="HAPSDCFR20251107-01"/>
    <m/>
    <m/>
    <s v="No"/>
    <n v="5019338353"/>
    <m/>
    <m/>
    <m/>
  </r>
  <r>
    <x v="0"/>
    <x v="1"/>
    <x v="5"/>
    <x v="27"/>
    <d v="2025-11-07T19:00:00"/>
    <s v="0006110278_4900"/>
    <s v="Loading"/>
    <n v="464155"/>
    <s v="Primary flows"/>
    <s v="DSV DK FOR SN 3PO"/>
    <m/>
    <m/>
    <s v="No"/>
    <s v="NL Haps DC (DSV)"/>
    <s v="HELS - SE Helsingborg"/>
    <n v="33"/>
    <n v="0"/>
    <n v="0"/>
    <n v="0"/>
    <s v="1  01"/>
    <x v="1"/>
    <m/>
    <s v="10/11/2025 12:00-12:00"/>
    <m/>
    <n v="0"/>
    <m/>
    <s v="No"/>
    <s v="Shipped/Received"/>
    <s v="Direct"/>
    <m/>
    <m/>
    <m/>
    <s v="HAPSDCSE20251107-02"/>
    <m/>
    <m/>
    <s v="No"/>
    <n v="5019353453"/>
    <m/>
    <m/>
    <m/>
  </r>
  <r>
    <x v="0"/>
    <x v="1"/>
    <x v="5"/>
    <x v="27"/>
    <d v="2025-11-07T19:00:00"/>
    <s v="0006110257_4900"/>
    <s v="Loading"/>
    <n v="464160"/>
    <s v="Primary flows"/>
    <s v="KREISS FOR SN 3PO"/>
    <m/>
    <m/>
    <s v="No"/>
    <s v="NL Haps DC (DSV)"/>
    <s v="CIE2 - ES Ciempozuelos SN"/>
    <n v="33"/>
    <n v="0"/>
    <n v="0"/>
    <n v="0"/>
    <s v="1  01"/>
    <x v="1"/>
    <m/>
    <s v="10/11/2025 12:00-12:00"/>
    <m/>
    <n v="0"/>
    <m/>
    <s v="No"/>
    <s v="Shipped/Received"/>
    <s v="Direct"/>
    <m/>
    <m/>
    <m/>
    <s v="HAPSDCES20251107-01"/>
    <m/>
    <m/>
    <s v="No"/>
    <n v="5019355324"/>
    <s v="OD2290/U1442"/>
    <s v="Vadims Mostovhujks"/>
    <m/>
  </r>
  <r>
    <x v="0"/>
    <x v="1"/>
    <x v="5"/>
    <x v="27"/>
    <d v="2025-11-07T19:00:00"/>
    <s v="0006110273_4900"/>
    <s v="Loading"/>
    <n v="464176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3/11/2025 06:00-06:00"/>
    <m/>
    <n v="0"/>
    <m/>
    <s v="No"/>
    <s v="Shipped/Received"/>
    <s v="Direct"/>
    <m/>
    <m/>
    <m/>
    <s v="HAPSDCIT20251107-01"/>
    <m/>
    <m/>
    <s v="No"/>
    <n v="5019346862"/>
    <m/>
    <m/>
    <m/>
  </r>
  <r>
    <x v="0"/>
    <x v="1"/>
    <x v="5"/>
    <x v="27"/>
    <d v="2025-11-07T20:00:00"/>
    <s v="0006119953_4900"/>
    <s v="Loading"/>
    <s v="470668 / 470595 / 467430"/>
    <s v="Primary flows / Primary flows / Primary flows"/>
    <s v="GIRTEKA FOR SN 3PO HVO"/>
    <m/>
    <m/>
    <s v="No"/>
    <s v="NL Haps DC (DSV)"/>
    <s v="MOUS - FR Moussy-Le-Neuf / MOUS - FR Moussy-Le-Neuf / MOUS - FR Moussy-Le-Neuf"/>
    <n v="99"/>
    <n v="0"/>
    <n v="0"/>
    <n v="0"/>
    <s v="1  01"/>
    <x v="1"/>
    <m/>
    <s v="10/11/2025 08:30-08:30"/>
    <m/>
    <n v="0"/>
    <m/>
    <s v="No"/>
    <s v="Shipped/Received"/>
    <s v="Direct"/>
    <s v=" /  / "/>
    <s v=" /  / "/>
    <m/>
    <s v="HAPSDCFR20251107-03 / HAPSDCFR20251107-03 / HAPSDCFR20251107-03"/>
    <m/>
    <m/>
    <s v="No"/>
    <s v="5019354551 / 5019354942 / 5019330716"/>
    <m/>
    <m/>
    <m/>
  </r>
  <r>
    <x v="0"/>
    <x v="1"/>
    <x v="5"/>
    <x v="27"/>
    <d v="2025-11-07T22:00:00"/>
    <s v="382582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77122"/>
    <x v="2"/>
    <m/>
    <s v="08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07:00:00"/>
    <s v="0006127458_4900"/>
    <s v="Loading"/>
    <s v="471425 / 470162"/>
    <s v="Primary flows / Primary flows"/>
    <s v="SAMSKIP FOR SN 3PO"/>
    <m/>
    <m/>
    <s v="No"/>
    <s v="NL Haps DC (DSV)"/>
    <s v="REDD - GB Redditch / REDD - GB Redditch"/>
    <n v="66"/>
    <n v="0"/>
    <n v="0"/>
    <n v="0"/>
    <s v="1  01"/>
    <x v="1"/>
    <m/>
    <s v="20/11/2025 18:00-18:00"/>
    <m/>
    <n v="0"/>
    <m/>
    <s v="No"/>
    <s v="Shipped/Received"/>
    <s v="Direct"/>
    <s v=" / "/>
    <s v=" / "/>
    <m/>
    <s v="HAPSDCUK20251110-03 / HAPSDCUK20251110-03"/>
    <m/>
    <m/>
    <s v="No"/>
    <s v="5019369361 / 5019352639"/>
    <m/>
    <m/>
    <m/>
  </r>
  <r>
    <x v="0"/>
    <x v="1"/>
    <x v="6"/>
    <x v="28"/>
    <d v="2025-11-10T08:00:00"/>
    <s v="380377_OOS"/>
    <s v="Loading"/>
    <s v="CY - SEA_OOS"/>
    <s v="Aval non piloté_EN"/>
    <s v="GEODIS"/>
    <m/>
    <m/>
    <s v="No"/>
    <s v="NL Haps DC (DSV)"/>
    <s v="OOS_OUT - Delivery OOS"/>
    <n v="20"/>
    <n v="0"/>
    <n v="0"/>
    <n v="0"/>
    <s v="DN 5019269478 / 5019335271  "/>
    <x v="0"/>
    <m/>
    <s v="11/11/2025 09:00-09:00"/>
    <m/>
    <n v="0"/>
    <m/>
    <s v="No"/>
    <s v="Shipped/Received"/>
    <s v="Direct"/>
    <m/>
    <m/>
    <s v="nutricia-booking.ff.nl@geodis.com"/>
    <m/>
    <m/>
    <m/>
    <s v="No"/>
    <s v="&amp;nbsp"/>
    <m/>
    <s v="CYPRUS"/>
    <s v="SRTMS183614"/>
  </r>
  <r>
    <x v="0"/>
    <x v="1"/>
    <x v="6"/>
    <x v="28"/>
    <d v="2025-11-10T08:00:00"/>
    <s v="0006119614_4900"/>
    <s v="Loading"/>
    <n v="471091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7/11/2025 23:00-23:00"/>
    <m/>
    <n v="0"/>
    <m/>
    <s v="No"/>
    <s v="Shipped/Received"/>
    <s v="Direct"/>
    <m/>
    <m/>
    <m/>
    <s v="HAPSDCIE20251110-02"/>
    <m/>
    <m/>
    <s v="No"/>
    <n v="5019370841"/>
    <m/>
    <m/>
    <m/>
  </r>
  <r>
    <x v="0"/>
    <x v="1"/>
    <x v="6"/>
    <x v="28"/>
    <d v="2025-11-10T09:00:00"/>
    <s v="370303_OOS"/>
    <s v="Loading"/>
    <s v="NZ-SEA-6087543_OOS"/>
    <s v="Aval non piloté_EN"/>
    <s v="Maersk - Control Tower"/>
    <m/>
    <m/>
    <s v="No"/>
    <s v="NL Haps DC (DSV)"/>
    <s v="OOS_OUT - Delivery OOS"/>
    <n v="20"/>
    <n v="0"/>
    <n v="0"/>
    <n v="0"/>
    <s v="5019343463 5019330815"/>
    <x v="0"/>
    <m/>
    <s v="11/11/2025 00:02-00:02"/>
    <m/>
    <n v="0"/>
    <m/>
    <s v="No"/>
    <s v="Shipped/Received"/>
    <s v="Direct"/>
    <m/>
    <m/>
    <s v="nutricia.ct.eu@lns.maersk.com"/>
    <m/>
    <m/>
    <m/>
    <s v="No"/>
    <s v="&amp;nbsp"/>
    <m/>
    <m/>
    <n v="260961707"/>
  </r>
  <r>
    <x v="0"/>
    <x v="1"/>
    <x v="6"/>
    <x v="28"/>
    <d v="2025-11-10T09:00:00"/>
    <s v="382178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n v="4505824047"/>
    <x v="1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0:00:00"/>
    <s v="380552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164915 5019166062 5019167016 5019189517 5019233281 5019215509 5019284732 5019328225 5019328175 5019328635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0:00:00"/>
    <s v="0006127457_4900"/>
    <s v="Loading"/>
    <n v="470166"/>
    <s v="Primary flows"/>
    <s v="SAMSKIP FOR SN 3PO"/>
    <m/>
    <m/>
    <s v="No"/>
    <s v="NL Haps DC (DSV)"/>
    <s v="REDD - GB Redditch"/>
    <n v="33"/>
    <n v="0"/>
    <n v="0"/>
    <n v="0"/>
    <s v="1  01"/>
    <x v="1"/>
    <m/>
    <s v="14/11/2025 18:00-18:00"/>
    <m/>
    <n v="0"/>
    <m/>
    <s v="No"/>
    <s v="Shipped/Received"/>
    <s v="Direct"/>
    <m/>
    <m/>
    <m/>
    <s v="HAPSDCUK20251110-02"/>
    <m/>
    <m/>
    <s v="No"/>
    <n v="5019309935"/>
    <m/>
    <m/>
    <m/>
  </r>
  <r>
    <x v="0"/>
    <x v="1"/>
    <x v="6"/>
    <x v="28"/>
    <d v="2025-11-10T10:00:00"/>
    <s v="362332_OOS"/>
    <s v="Loading"/>
    <s v="US-SEA-6058470_OOS"/>
    <s v="Aval non piloté_EN"/>
    <s v="MAERSK - Control Tower"/>
    <m/>
    <m/>
    <s v="No"/>
    <s v="NL Haps DC (DSV)"/>
    <s v="OOS_OUT - Delivery OOS"/>
    <n v="20"/>
    <n v="0"/>
    <n v="0"/>
    <n v="0"/>
    <s v="5019295567  5019285819"/>
    <x v="0"/>
    <m/>
    <s v="11/11/2025 00:03-00:03"/>
    <m/>
    <n v="0"/>
    <m/>
    <s v="No"/>
    <s v="Shipped/Received"/>
    <s v="Direct"/>
    <m/>
    <m/>
    <s v="3POeuropect@lns.maersk.com"/>
    <m/>
    <m/>
    <m/>
    <s v="No"/>
    <s v="&amp;nbsp"/>
    <m/>
    <m/>
    <n v="259556237"/>
  </r>
  <r>
    <x v="0"/>
    <x v="1"/>
    <x v="6"/>
    <x v="28"/>
    <d v="2025-11-10T10:00:00"/>
    <s v="370304_OOS"/>
    <s v="Loading"/>
    <s v="NZ-SEA-6087544_OOS"/>
    <s v="Aval non piloté_EN"/>
    <s v="Maersk - Control Tower"/>
    <m/>
    <m/>
    <s v="No"/>
    <s v="NL Haps DC (DSV)"/>
    <s v="OOS_OUT - Delivery OOS"/>
    <n v="20"/>
    <n v="0"/>
    <n v="0"/>
    <n v="0"/>
    <n v="5019335301"/>
    <x v="0"/>
    <m/>
    <s v="11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1583310"/>
  </r>
  <r>
    <x v="0"/>
    <x v="1"/>
    <x v="6"/>
    <x v="28"/>
    <d v="2025-11-10T11:00:00"/>
    <s v="0006119613_4900"/>
    <s v="Loading"/>
    <n v="467185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17/11/2025 22:00-22:00"/>
    <m/>
    <n v="0"/>
    <m/>
    <s v="No"/>
    <s v="Shipped/Received"/>
    <s v="Direct"/>
    <m/>
    <m/>
    <m/>
    <s v="HAPSDCIE20251110-01"/>
    <m/>
    <m/>
    <s v="No"/>
    <n v="5019345073"/>
    <m/>
    <m/>
    <m/>
  </r>
  <r>
    <x v="0"/>
    <x v="1"/>
    <x v="6"/>
    <x v="28"/>
    <d v="2025-11-10T11:00:00"/>
    <s v="381404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54603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1:00:00"/>
    <s v="380219_OOS"/>
    <s v="Loading"/>
    <s v="NZ-AIR_OOS"/>
    <s v="Aval non piloté_EN"/>
    <s v="MAERSK"/>
    <m/>
    <m/>
    <s v="No"/>
    <s v="NL Haps DC (DSV)"/>
    <s v="OOS_OUT - Delivery OOS"/>
    <n v="24"/>
    <n v="0"/>
    <n v="0"/>
    <n v="0"/>
    <s v="NZ 5019275935 (1PL) NZ 5019312800 (23PL)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1:00:00"/>
    <s v="377931_OOS"/>
    <s v="Loading"/>
    <s v="CN-SEA-6115293_OOS"/>
    <s v="Aval non piloté_EN"/>
    <s v="MAERSK - Control Tower"/>
    <m/>
    <m/>
    <s v="No"/>
    <s v="NL Haps DC (DSV)"/>
    <s v="OOS_OUT - Delivery OOS"/>
    <n v="20"/>
    <n v="0"/>
    <n v="0"/>
    <n v="0"/>
    <s v="5019323324 5019272564 5019286301  "/>
    <x v="0"/>
    <m/>
    <s v="11/11/2025 00:02-00:02"/>
    <m/>
    <n v="0"/>
    <m/>
    <s v="No"/>
    <s v="Shipped/Received"/>
    <s v="Direct"/>
    <m/>
    <m/>
    <s v="3poeuropect@lns.maersk.com"/>
    <m/>
    <m/>
    <m/>
    <s v="No"/>
    <s v="&amp;nbsp"/>
    <m/>
    <m/>
    <n v="261249596"/>
  </r>
  <r>
    <x v="0"/>
    <x v="1"/>
    <x v="6"/>
    <x v="28"/>
    <d v="2025-11-10T12:00:00"/>
    <s v="381395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55810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2:00:00"/>
    <s v="380220_OOS"/>
    <s v="Loading"/>
    <s v="NZ-AIR_OOS"/>
    <s v="Aval non piloté_EN"/>
    <s v="MAERSK"/>
    <m/>
    <m/>
    <s v="No"/>
    <s v="NL Haps DC (DSV)"/>
    <s v="OOS_OUT - Delivery OOS"/>
    <n v="24"/>
    <n v="0"/>
    <n v="0"/>
    <n v="0"/>
    <s v="NZ 5019306695 (23PL) NZ 5019273904 (1PL)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2:00:00"/>
    <s v="382425_OOS"/>
    <s v="Loading"/>
    <s v="NWW-AIR_OOS"/>
    <s v="Aval non piloté_EN"/>
    <s v="Hellmann"/>
    <m/>
    <m/>
    <s v="No"/>
    <s v="NL Haps DC (DSV)"/>
    <s v="OOS_OUT - Delivery OOS"/>
    <n v="3"/>
    <n v="0"/>
    <n v="0"/>
    <n v="0"/>
    <s v="EXW UY AIR 5019296019 + 5019344292 -3P CO AIR 5019304696 - 8P"/>
    <x v="0"/>
    <m/>
    <s v="11/11/2025 12:00-12:00"/>
    <m/>
    <n v="0"/>
    <m/>
    <s v="No"/>
    <s v="Shipped/Received"/>
    <s v="Direct"/>
    <m/>
    <m/>
    <s v="amsexport@hellmann.com"/>
    <m/>
    <m/>
    <m/>
    <s v="No"/>
    <s v="&amp;nbsp"/>
    <m/>
    <m/>
    <m/>
  </r>
  <r>
    <x v="0"/>
    <x v="1"/>
    <x v="6"/>
    <x v="28"/>
    <d v="2025-11-10T13:00:00"/>
    <s v="0006119538_4900"/>
    <s v="Loading"/>
    <n v="467191"/>
    <s v="Primary flows"/>
    <s v="LKW WALTER FOR SN 3PO"/>
    <m/>
    <m/>
    <s v="No"/>
    <s v="NL Haps DC (DSV)"/>
    <s v="ALZE - DE Alzenau"/>
    <n v="33"/>
    <n v="0"/>
    <n v="0"/>
    <n v="0"/>
    <s v="1  01"/>
    <x v="1"/>
    <m/>
    <s v="12/11/2025 06:00-06:00"/>
    <m/>
    <n v="0"/>
    <m/>
    <s v="No"/>
    <s v="Shipped/Received"/>
    <s v="Direct"/>
    <m/>
    <m/>
    <m/>
    <s v="HAPSDCDE20251110-02"/>
    <m/>
    <m/>
    <s v="No"/>
    <n v="5019368127"/>
    <m/>
    <m/>
    <m/>
  </r>
  <r>
    <x v="0"/>
    <x v="1"/>
    <x v="6"/>
    <x v="28"/>
    <d v="2025-11-10T13:00:00"/>
    <s v="380119_OOS"/>
    <s v="Loading"/>
    <s v="AU-AIR_OOS"/>
    <s v="Aval non piloté_EN"/>
    <s v="MAERSK"/>
    <m/>
    <m/>
    <s v="No"/>
    <s v="NL Haps DC (DSV)"/>
    <s v="OOS_OUT - Delivery OOS"/>
    <n v="33"/>
    <n v="0"/>
    <n v="0"/>
    <n v="0"/>
    <s v="AU 5019305211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3:00:00"/>
    <s v="380118_OOS"/>
    <s v="Loading"/>
    <s v="AU-AIR_OOS"/>
    <s v="Aval non piloté_EN"/>
    <s v="MAERSK"/>
    <m/>
    <m/>
    <s v="No"/>
    <s v="NL Haps DC (DSV)"/>
    <s v="OOS_OUT - Delivery OOS"/>
    <n v="33"/>
    <n v="0"/>
    <n v="0"/>
    <n v="0"/>
    <s v="AU 5019306970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3:00:00"/>
    <s v="381396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31316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4:00:00"/>
    <s v="0006119539_4900"/>
    <s v="Loading"/>
    <n v="467170"/>
    <s v="Primary flows"/>
    <s v="LKW WALTER FOR SN 3PO"/>
    <m/>
    <s v="trailer rejected"/>
    <s v="No"/>
    <s v="NL Haps DC (DSV)"/>
    <s v="ALZE - DE Alzenau"/>
    <n v="33"/>
    <n v="0"/>
    <n v="0"/>
    <n v="0"/>
    <s v="1  01"/>
    <x v="1"/>
    <m/>
    <s v="12/11/2025 06:00-06:00"/>
    <m/>
    <n v="0"/>
    <m/>
    <s v="No"/>
    <s v="Shipped/Received"/>
    <s v="Direct"/>
    <m/>
    <m/>
    <m/>
    <s v="HAPSDCDE20251110-03"/>
    <m/>
    <m/>
    <s v="No"/>
    <n v="5019366287"/>
    <m/>
    <m/>
    <m/>
  </r>
  <r>
    <x v="0"/>
    <x v="1"/>
    <x v="6"/>
    <x v="28"/>
    <d v="2025-11-10T14:00:00"/>
    <s v="380120_OOS"/>
    <s v="Loading"/>
    <s v="AU-AIR_OOS"/>
    <s v="Aval non piloté_EN"/>
    <s v="MAERSK"/>
    <m/>
    <m/>
    <s v="No"/>
    <s v="NL Haps DC (DSV)"/>
    <s v="OOS_OUT - Delivery OOS"/>
    <n v="27"/>
    <n v="0"/>
    <n v="0"/>
    <n v="0"/>
    <s v="AU 5019306971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4:00:00"/>
    <s v="381400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50543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4:00:00"/>
    <s v="382346_OOS"/>
    <s v="Loading"/>
    <s v="NWW-SEA_OOS"/>
    <s v="Aval non piloté_EN"/>
    <s v="IFC"/>
    <m/>
    <m/>
    <s v="No"/>
    <s v="NL Haps DC (DSV)"/>
    <s v="OOS_OUT - Delivery OOS"/>
    <n v="3"/>
    <n v="0"/>
    <n v="0"/>
    <n v="0"/>
    <s v="5018862561   5019342068"/>
    <x v="2"/>
    <m/>
    <s v="11/11/2025 12:00-12:00"/>
    <m/>
    <n v="0"/>
    <m/>
    <s v="No"/>
    <s v="Shipped/Received"/>
    <s v="Direct"/>
    <m/>
    <m/>
    <s v="groepage@ifcnl.com"/>
    <m/>
    <m/>
    <m/>
    <s v="No"/>
    <s v="&amp;nbsp"/>
    <m/>
    <m/>
    <m/>
  </r>
  <r>
    <x v="0"/>
    <x v="1"/>
    <x v="6"/>
    <x v="28"/>
    <d v="2025-11-10T15:00:00"/>
    <s v="380121_OOS"/>
    <s v="Loading"/>
    <s v="AU-AIR_OOS"/>
    <s v="Aval non piloté_EN"/>
    <s v="MAERSK"/>
    <m/>
    <m/>
    <s v="No"/>
    <s v="NL Haps DC (DSV)"/>
    <s v="OOS_OUT - Delivery OOS"/>
    <n v="27"/>
    <n v="0"/>
    <n v="0"/>
    <n v="0"/>
    <s v="AU 5019306694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5:00:00"/>
    <s v="381403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54412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5:00:00"/>
    <s v="0006119621_4900"/>
    <s v="Loading"/>
    <n v="467192"/>
    <s v="Primary flows"/>
    <s v="DSV DK FOR SN 3PO"/>
    <m/>
    <m/>
    <s v="No"/>
    <s v="NL Haps DC (DSV)"/>
    <s v="HELS - SE Helsingborg"/>
    <n v="33"/>
    <n v="0"/>
    <n v="0"/>
    <n v="0"/>
    <s v="1  01"/>
    <x v="1"/>
    <m/>
    <s v="12/11/2025 10:00-10:00"/>
    <m/>
    <n v="0"/>
    <m/>
    <s v="No"/>
    <s v="Shipped/Received"/>
    <s v="Direct"/>
    <m/>
    <m/>
    <m/>
    <s v="HAPSDCSE20251110-01"/>
    <m/>
    <m/>
    <s v="No"/>
    <n v="5019364729"/>
    <m/>
    <m/>
    <m/>
  </r>
  <r>
    <x v="0"/>
    <x v="1"/>
    <x v="6"/>
    <x v="28"/>
    <d v="2025-11-10T16:00:00"/>
    <s v="379185_OOS"/>
    <s v="Loading"/>
    <s v="MEA-SEA_OOS"/>
    <s v="Aval non piloté_EN"/>
    <s v="HELLMANN"/>
    <m/>
    <m/>
    <s v="No"/>
    <s v="NL Haps DC (DSV)"/>
    <s v="OOS_OUT - Delivery OOS"/>
    <n v="23"/>
    <n v="0"/>
    <n v="0"/>
    <n v="0"/>
    <s v="ELN 5019273176"/>
    <x v="0"/>
    <m/>
    <s v="11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8"/>
    <d v="2025-11-10T16:00:00"/>
    <s v="0006119537_4900"/>
    <s v="Loading"/>
    <n v="467195"/>
    <s v="Primary flows"/>
    <s v="LKW WALTER FOR SN 3PO"/>
    <m/>
    <m/>
    <s v="No"/>
    <s v="NL Haps DC (DSV)"/>
    <s v="ALZE - DE Alzenau"/>
    <n v="33"/>
    <n v="0"/>
    <n v="0"/>
    <n v="0"/>
    <s v="1  01"/>
    <x v="1"/>
    <m/>
    <s v="12/11/2025 06:00-06:00"/>
    <m/>
    <n v="0"/>
    <m/>
    <s v="No"/>
    <s v="Shipped/Received"/>
    <s v="Direct"/>
    <m/>
    <m/>
    <m/>
    <s v="HAPSDCDE20251110-01"/>
    <m/>
    <m/>
    <s v="No"/>
    <n v="5019358463"/>
    <m/>
    <m/>
    <m/>
  </r>
  <r>
    <x v="0"/>
    <x v="1"/>
    <x v="6"/>
    <x v="28"/>
    <d v="2025-11-10T16:00:00"/>
    <s v="0006127358_4900"/>
    <s v="Loading"/>
    <s v="470158 / 470157"/>
    <s v="Primary flows / Primary flows"/>
    <s v="FREJA FOR SN 3PO"/>
    <m/>
    <m/>
    <s v="No"/>
    <s v="NL Haps DC (DSV)"/>
    <s v="TAMP - FI Tampere / VANT - FI Vantaa (Havi Log)"/>
    <n v="66"/>
    <n v="0"/>
    <n v="0"/>
    <n v="0"/>
    <s v="1  01"/>
    <x v="1"/>
    <m/>
    <s v="14/11/2025 13:00-13:00 / 14/11/2025 11:00-11:00"/>
    <s v="540YJX"/>
    <n v="0"/>
    <m/>
    <s v="No"/>
    <s v="Shipped/Received"/>
    <s v="Direct"/>
    <s v=" / "/>
    <s v=" / "/>
    <m/>
    <s v="HAPSDCFI20251107-02 / HAPSDCFI20251107-02"/>
    <m/>
    <m/>
    <s v="No"/>
    <s v="5019364728 / 5019358987"/>
    <s v="104ERS"/>
    <m/>
    <m/>
  </r>
  <r>
    <x v="0"/>
    <x v="1"/>
    <x v="6"/>
    <x v="28"/>
    <d v="2025-11-10T16:00:00"/>
    <s v="382159_OOS"/>
    <s v="Loading"/>
    <s v="Scrap Kwaliflex - ROAD_OOS"/>
    <s v="Aval non piloté_EN"/>
    <s v="Kwaliflex"/>
    <m/>
    <m/>
    <s v="No"/>
    <s v="NL Haps DC (DSV)"/>
    <s v="OOS_OUT - Delivery OOS"/>
    <n v="33"/>
    <n v="0"/>
    <n v="0"/>
    <n v="0"/>
    <n v="90012991"/>
    <x v="0"/>
    <m/>
    <s v="11/11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1"/>
    <x v="6"/>
    <x v="28"/>
    <d v="2025-11-10T17:00:00"/>
    <s v="382135_OOS"/>
    <s v="Loading"/>
    <s v="GR EXW_OOS"/>
    <s v="Aval non piloté_EN"/>
    <s v="Grrece Exw"/>
    <m/>
    <m/>
    <s v="No"/>
    <s v="NL Haps DC (DSV)"/>
    <s v="OOS_OUT - Delivery OOS"/>
    <n v="33"/>
    <n v="0"/>
    <n v="0"/>
    <n v="0"/>
    <s v="5019344356 19515152 5019360135 19520406"/>
    <x v="1"/>
    <m/>
    <s v="11/11/2025 10:00-10:00"/>
    <m/>
    <n v="0"/>
    <m/>
    <s v="No"/>
    <s v="Shipped/Received"/>
    <s v="Direct"/>
    <m/>
    <m/>
    <s v="road.MDC.transport@danone.com"/>
    <m/>
    <m/>
    <m/>
    <s v="No"/>
    <s v="&amp;nbsp"/>
    <m/>
    <m/>
    <m/>
  </r>
  <r>
    <x v="0"/>
    <x v="1"/>
    <x v="6"/>
    <x v="28"/>
    <d v="2025-11-10T17:00:00"/>
    <s v="0006119622_4900"/>
    <s v="Loading"/>
    <n v="467184"/>
    <s v="Primary flows"/>
    <s v="DSV DK FOR SN 3PO"/>
    <m/>
    <m/>
    <s v="No"/>
    <s v="NL Haps DC (DSV)"/>
    <s v="HELS - SE Helsingborg"/>
    <n v="33"/>
    <n v="0"/>
    <n v="0"/>
    <n v="0"/>
    <s v="1  01"/>
    <x v="1"/>
    <m/>
    <s v="12/11/2025 11:00-11:00"/>
    <m/>
    <n v="0"/>
    <m/>
    <s v="No"/>
    <s v="Shipped/Received"/>
    <s v="Direct"/>
    <m/>
    <m/>
    <m/>
    <s v="HAPSDCSE20251110-02"/>
    <m/>
    <m/>
    <s v="No"/>
    <n v="5019365772"/>
    <m/>
    <m/>
    <m/>
  </r>
  <r>
    <x v="0"/>
    <x v="1"/>
    <x v="6"/>
    <x v="28"/>
    <d v="2025-11-10T17:00:00"/>
    <s v="0006119615_4900"/>
    <s v="Loading"/>
    <n v="467187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10/11/2025 21:00-21:00"/>
    <s v="MZ_438"/>
    <n v="0"/>
    <m/>
    <s v="No"/>
    <s v="Shipped/Received"/>
    <s v="Direct"/>
    <m/>
    <m/>
    <m/>
    <s v="HAPSDCIT20251110-01"/>
    <m/>
    <m/>
    <s v="No"/>
    <n v="5019357297"/>
    <s v="NLJ_809"/>
    <s v="Ahammed Kabeer Attiyakath"/>
    <m/>
  </r>
  <r>
    <x v="0"/>
    <x v="1"/>
    <x v="6"/>
    <x v="28"/>
    <d v="2025-11-10T18:00:00"/>
    <s v="0006129533_4900"/>
    <s v="Loading"/>
    <n v="471222"/>
    <s v="Primary flows"/>
    <s v="GIRTEKA FOR SN 3PO HVO"/>
    <m/>
    <m/>
    <s v="No"/>
    <s v="NL Haps DC (DSV)"/>
    <s v="PUCH - AT Puch"/>
    <n v="33"/>
    <n v="0"/>
    <n v="0"/>
    <n v="0"/>
    <s v="1  01"/>
    <x v="1"/>
    <m/>
    <s v="12/11/2025 09:00-09:00"/>
    <s v="PZ_3N982"/>
    <n v="0"/>
    <m/>
    <s v="No"/>
    <s v="Shipped/Received"/>
    <s v="Direct"/>
    <m/>
    <m/>
    <m/>
    <s v="HAPSDCAT20251110-02"/>
    <m/>
    <m/>
    <s v="No"/>
    <n v="5019353837"/>
    <s v="NIG_857"/>
    <s v="Dastan Karypbekov"/>
    <m/>
  </r>
  <r>
    <x v="0"/>
    <x v="1"/>
    <x v="6"/>
    <x v="28"/>
    <d v="2025-11-10T18:00:00"/>
    <s v="0006119620_4900"/>
    <s v="Loading"/>
    <s v="471481 / 467189"/>
    <s v="Primary flows / Primary flows"/>
    <s v="MIERZWA FOR SN 3PO"/>
    <m/>
    <m/>
    <s v="No"/>
    <s v="NL Haps DC (DSV)"/>
    <s v="GRAB - PL Grabica / GRAB - PL Grabica"/>
    <n v="66"/>
    <n v="0"/>
    <n v="0"/>
    <n v="0"/>
    <s v="1  01"/>
    <x v="1"/>
    <m/>
    <s v="14/11/2025 21:00-21:00"/>
    <s v="KRA7919P"/>
    <n v="0"/>
    <m/>
    <s v="No"/>
    <s v="Shipped/Received"/>
    <s v="Direct"/>
    <s v=" / "/>
    <s v=" / "/>
    <m/>
    <s v="HAPSDCPL20251110-03 / HAPSDCPL20251110-03"/>
    <m/>
    <m/>
    <s v="No"/>
    <s v="5019365023 / 5019353189"/>
    <s v="KRA037EV"/>
    <s v="Gluzicki Tomasz "/>
    <m/>
  </r>
  <r>
    <x v="0"/>
    <x v="1"/>
    <x v="6"/>
    <x v="28"/>
    <d v="2025-11-10T19:00:00"/>
    <s v="0006119619_4900"/>
    <s v="Loading"/>
    <n v="467178"/>
    <s v="Primary flows"/>
    <s v="MIERZWA FOR SN 3PO"/>
    <m/>
    <m/>
    <s v="No"/>
    <s v="NL Haps DC (DSV)"/>
    <s v="GRAB - PL Grabica"/>
    <n v="33"/>
    <n v="0"/>
    <n v="0"/>
    <n v="0"/>
    <s v="1  01"/>
    <x v="1"/>
    <m/>
    <s v="14/11/2025 21:00-21:00"/>
    <s v="WPR119AE"/>
    <n v="0"/>
    <m/>
    <s v="No"/>
    <s v="Shipped/Received"/>
    <s v="Direct"/>
    <m/>
    <m/>
    <m/>
    <s v="HAPSDCPL20251110-02"/>
    <m/>
    <m/>
    <s v="No"/>
    <n v="5019345518"/>
    <s v="WPR3422T"/>
    <s v="Wrona Witold "/>
    <m/>
  </r>
  <r>
    <x v="0"/>
    <x v="1"/>
    <x v="6"/>
    <x v="28"/>
    <d v="2025-11-10T20:00:00"/>
    <s v="0006119618_4900"/>
    <s v="Loading"/>
    <n v="467196"/>
    <s v="Primary flows"/>
    <s v="PIOMAR FOR SN 3PO"/>
    <m/>
    <m/>
    <s v="No"/>
    <s v="NL Haps DC (DSV)"/>
    <s v="GRAB - PL Grabica"/>
    <n v="33"/>
    <n v="0"/>
    <n v="0"/>
    <n v="0"/>
    <s v="1  01"/>
    <x v="1"/>
    <m/>
    <s v="14/11/2025 04:00-04:00"/>
    <s v="OP6409J"/>
    <n v="0"/>
    <m/>
    <s v="No"/>
    <s v="Shipped/Received"/>
    <s v="Direct"/>
    <m/>
    <m/>
    <m/>
    <s v="HAPSDCPL20251110-01"/>
    <m/>
    <m/>
    <s v="No"/>
    <n v="5019362375"/>
    <s v="OKR1CJ7"/>
    <s v="CELMEROWSKI ANDRZEJ"/>
    <m/>
  </r>
  <r>
    <x v="0"/>
    <x v="1"/>
    <x v="6"/>
    <x v="29"/>
    <d v="2025-11-11T06:00:00"/>
    <s v="0006127473_4900"/>
    <s v="Loading"/>
    <n v="470139"/>
    <s v="Primary flows"/>
    <s v="SAMSKIP FOR SN 3PO"/>
    <m/>
    <m/>
    <s v="No"/>
    <s v="NL Haps DC (DSV)"/>
    <s v="REDD - GB Redditch"/>
    <n v="33"/>
    <n v="0"/>
    <n v="0"/>
    <n v="0"/>
    <s v="1  01"/>
    <x v="1"/>
    <m/>
    <s v="21/11/2025 18:00-18:00"/>
    <m/>
    <n v="0"/>
    <m/>
    <s v="No"/>
    <s v="Shipped/Received"/>
    <s v="Direct"/>
    <m/>
    <m/>
    <m/>
    <s v="HAPSDCUK20251111-03"/>
    <m/>
    <m/>
    <s v="No"/>
    <n v="5019373099"/>
    <m/>
    <m/>
    <m/>
  </r>
  <r>
    <x v="0"/>
    <x v="1"/>
    <x v="6"/>
    <x v="29"/>
    <d v="2025-11-11T06:00:00"/>
    <s v="379574_OOS"/>
    <s v="Loading"/>
    <s v="CN-SEA-6117525_OOS"/>
    <s v="Aval non piloté_EN"/>
    <s v="MAERSK - Control Tower"/>
    <m/>
    <m/>
    <s v="No"/>
    <s v="NL Haps DC (DSV)"/>
    <s v="OOS_OUT - Delivery OOS"/>
    <n v="20"/>
    <n v="0"/>
    <n v="0"/>
    <n v="0"/>
    <n v="5019272563"/>
    <x v="0"/>
    <m/>
    <s v="12/11/2025 00:01-00:01"/>
    <m/>
    <n v="0"/>
    <m/>
    <s v="No"/>
    <s v="Shipped/Received"/>
    <s v="Direct"/>
    <m/>
    <m/>
    <s v="3poeuropect@lns.maersk.com"/>
    <m/>
    <m/>
    <m/>
    <s v="No"/>
    <s v="&amp;nbsp"/>
    <m/>
    <m/>
    <n v="261373513"/>
  </r>
  <r>
    <x v="0"/>
    <x v="1"/>
    <x v="6"/>
    <x v="29"/>
    <d v="2025-11-11T07:00:00"/>
    <s v="0006129150_4900"/>
    <s v="Loading"/>
    <n v="470864"/>
    <s v="Primary flows"/>
    <s v="MIERZWA FOR SN 3PO"/>
    <m/>
    <m/>
    <s v="No"/>
    <s v="NL Haps DC (DSV)"/>
    <s v="GRAB - PL Grabica"/>
    <n v="33"/>
    <n v="0"/>
    <n v="0"/>
    <n v="0"/>
    <s v="1  01"/>
    <x v="1"/>
    <m/>
    <s v="13/11/2025 04:00-04:00"/>
    <s v="KRA494PA"/>
    <n v="0"/>
    <m/>
    <s v="No"/>
    <s v="Shipped/Received"/>
    <s v="Direct"/>
    <m/>
    <m/>
    <m/>
    <s v="HAPSDCPL20251111-03"/>
    <m/>
    <m/>
    <s v="No"/>
    <n v="5019362018"/>
    <s v="KN1482K"/>
    <s v="Kacper Wawro"/>
    <m/>
  </r>
  <r>
    <x v="0"/>
    <x v="1"/>
    <x v="6"/>
    <x v="29"/>
    <d v="2025-11-11T07:00:00"/>
    <s v="382983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76553"/>
    <x v="2"/>
    <m/>
    <s v="12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9"/>
    <d v="2025-11-11T07:00:00"/>
    <s v="379575_OOS"/>
    <s v="Loading"/>
    <s v="CN-SEA-6117526_OOS"/>
    <s v="Aval non piloté_EN"/>
    <s v="MAERSK - Control Tower"/>
    <m/>
    <m/>
    <s v="No"/>
    <s v="NL Haps DC (DSV)"/>
    <s v="OOS_OUT - Delivery OOS"/>
    <n v="20"/>
    <n v="0"/>
    <n v="0"/>
    <n v="0"/>
    <s v="5019267355 5019291494"/>
    <x v="0"/>
    <m/>
    <s v="12/11/2025 00:02-00:02"/>
    <m/>
    <n v="0"/>
    <m/>
    <s v="No"/>
    <s v="Shipped/Received"/>
    <s v="Direct"/>
    <m/>
    <m/>
    <s v="3poeuropect@lns.maersk.com"/>
    <m/>
    <m/>
    <m/>
    <s v="No"/>
    <s v="&amp;nbsp"/>
    <m/>
    <m/>
    <n v="261373751"/>
  </r>
  <r>
    <x v="0"/>
    <x v="1"/>
    <x v="6"/>
    <x v="29"/>
    <d v="2025-11-11T08:00:00"/>
    <s v="382180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25971 &amp; 4505826001 LZV"/>
    <x v="1"/>
    <m/>
    <s v="12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9"/>
    <d v="2025-11-11T08:00:00"/>
    <s v="382848_OOS"/>
    <s v="Loading"/>
    <s v="Scrap ZTM PIM - ROAD_OOS"/>
    <s v="Aval non piloté_EN"/>
    <s v="Koopman Cargo B.V."/>
    <m/>
    <m/>
    <s v="No"/>
    <s v="NL Haps DC (DSV)"/>
    <s v="OOS_OUT - Delivery OOS"/>
    <n v="33"/>
    <n v="0"/>
    <n v="0"/>
    <n v="0"/>
    <s v="90016778   90029831"/>
    <x v="0"/>
    <m/>
    <s v="12/11/2025 12:00-12:00"/>
    <m/>
    <n v="0"/>
    <m/>
    <s v="No"/>
    <s v="Shipped/Received"/>
    <s v="Direct"/>
    <m/>
    <m/>
    <s v="cargo-csd@koopman.nl"/>
    <m/>
    <m/>
    <m/>
    <s v="No"/>
    <s v="&amp;nbsp"/>
    <m/>
    <m/>
    <m/>
  </r>
  <r>
    <x v="0"/>
    <x v="1"/>
    <x v="6"/>
    <x v="29"/>
    <d v="2025-11-11T08:00:00"/>
    <s v="375294_OOS"/>
    <s v="Loading"/>
    <s v="TW-SEA-6105670_OOS"/>
    <s v="Aval non piloté_EN"/>
    <s v="MAERSK - Control Tower"/>
    <m/>
    <m/>
    <s v="No"/>
    <s v="NL Haps DC (DSV)"/>
    <s v="OOS_OUT - Delivery OOS"/>
    <n v="10"/>
    <n v="0"/>
    <n v="0"/>
    <n v="0"/>
    <n v="5019296272"/>
    <x v="2"/>
    <m/>
    <s v="12/11/2025 00:03-00:03"/>
    <m/>
    <n v="0"/>
    <m/>
    <s v="No"/>
    <s v="Shipped/Received"/>
    <s v="Direct"/>
    <m/>
    <m/>
    <s v="3POeuropect@lns.maersk.com"/>
    <m/>
    <m/>
    <m/>
    <s v="No"/>
    <s v="&amp;nbsp"/>
    <m/>
    <m/>
    <n v="260907511"/>
  </r>
  <r>
    <x v="0"/>
    <x v="1"/>
    <x v="6"/>
    <x v="29"/>
    <d v="2025-11-11T08:00:00"/>
    <s v="375499_OOS"/>
    <s v="Loading"/>
    <s v="CN-SEA-6105655_OOS"/>
    <s v="Aval non piloté_EN"/>
    <s v="MAERSK - Control Tower"/>
    <m/>
    <m/>
    <s v="No"/>
    <s v="NL Haps DC (DSV)"/>
    <s v="OOS_OUT - Delivery OOS"/>
    <n v="20"/>
    <n v="0"/>
    <n v="0"/>
    <n v="0"/>
    <n v="5019310711"/>
    <x v="0"/>
    <m/>
    <s v="12/11/2025 00:01-00:01"/>
    <m/>
    <n v="0"/>
    <m/>
    <s v="No"/>
    <s v="Shipped/Received"/>
    <s v="Direct"/>
    <m/>
    <m/>
    <s v="3POeuropect@lns.maersk.com"/>
    <m/>
    <m/>
    <m/>
    <s v="No"/>
    <s v="&amp;nbsp"/>
    <m/>
    <m/>
    <n v="260954224"/>
  </r>
  <r>
    <x v="0"/>
    <x v="1"/>
    <x v="6"/>
    <x v="29"/>
    <d v="2025-11-11T09:00:00"/>
    <s v="380375_OOS"/>
    <s v="Loading"/>
    <s v="KR - SEA_OOS"/>
    <s v="Aval non piloté_EN"/>
    <s v="GEODIS"/>
    <m/>
    <m/>
    <s v="No"/>
    <s v="NL Haps DC (DSV)"/>
    <s v="OOS_OUT - Delivery OOS"/>
    <n v="20"/>
    <n v="0"/>
    <n v="0"/>
    <n v="0"/>
    <s v="DN 5019342070 / 5019347481 / 5019343586"/>
    <x v="0"/>
    <m/>
    <s v="12/11/2025 09:00-09:00"/>
    <m/>
    <n v="0"/>
    <m/>
    <s v="No"/>
    <s v="Shipped/Received"/>
    <s v="Direct"/>
    <m/>
    <m/>
    <s v="nutricia-booking.ff.nl@geodis.com"/>
    <m/>
    <m/>
    <m/>
    <s v="No"/>
    <s v="&amp;nbsp"/>
    <m/>
    <s v="SOUTH KOREA"/>
    <s v="SRTMS183613"/>
  </r>
  <r>
    <x v="0"/>
    <x v="1"/>
    <x v="6"/>
    <x v="29"/>
    <d v="2025-11-11T09:00:00"/>
    <s v="0006127472_4900"/>
    <s v="Loading"/>
    <n v="470150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23:00-23:00"/>
    <m/>
    <n v="0"/>
    <m/>
    <s v="No"/>
    <s v="Shipped/Received"/>
    <s v="Direct"/>
    <m/>
    <m/>
    <m/>
    <s v="HAPSDCUK20251111-02"/>
    <m/>
    <m/>
    <s v="No"/>
    <n v="5019302070"/>
    <m/>
    <m/>
    <m/>
  </r>
  <r>
    <x v="0"/>
    <x v="1"/>
    <x v="6"/>
    <x v="29"/>
    <d v="2025-11-11T09:00:00"/>
    <s v="375500_OOS"/>
    <s v="Loading"/>
    <s v="CN-SEA-6105656_OOS"/>
    <s v="Aval non piloté_EN"/>
    <s v="MAERSK - Control Tower"/>
    <m/>
    <m/>
    <s v="No"/>
    <s v="NL Haps DC (DSV)"/>
    <s v="OOS_OUT - Delivery OOS"/>
    <n v="20"/>
    <n v="0"/>
    <n v="0"/>
    <n v="0"/>
    <n v="5019316596"/>
    <x v="0"/>
    <m/>
    <s v="12/11/2025 00:01-00:01"/>
    <m/>
    <n v="0"/>
    <m/>
    <s v="No"/>
    <s v="Shipped/Received"/>
    <s v="Direct"/>
    <m/>
    <m/>
    <s v="3POeuropect@lns.maersk.com"/>
    <m/>
    <m/>
    <m/>
    <s v="No"/>
    <s v="&amp;nbsp"/>
    <m/>
    <m/>
    <n v="260954224"/>
  </r>
  <r>
    <x v="0"/>
    <x v="1"/>
    <x v="6"/>
    <x v="29"/>
    <d v="2025-11-11T10:00:00"/>
    <s v="375501_OOS"/>
    <s v="Loading"/>
    <s v="CN-SEA-6105657_OOS"/>
    <s v="Aval non piloté_EN"/>
    <s v="MAERSK - Control Tower"/>
    <m/>
    <m/>
    <s v="No"/>
    <s v="NL Haps DC (DSV)"/>
    <s v="OOS_OUT - Delivery OOS"/>
    <n v="20"/>
    <n v="0"/>
    <n v="0"/>
    <n v="0"/>
    <n v="5019310224"/>
    <x v="0"/>
    <m/>
    <s v="12/11/2025 00:01-00:01"/>
    <m/>
    <n v="0"/>
    <m/>
    <s v="No"/>
    <s v="Shipped/Received"/>
    <s v="Direct"/>
    <m/>
    <m/>
    <s v="3POeuropect@lns.maersk.com"/>
    <m/>
    <m/>
    <m/>
    <s v="No"/>
    <s v="&amp;nbsp"/>
    <m/>
    <m/>
    <n v="260954224"/>
  </r>
  <r>
    <x v="0"/>
    <x v="1"/>
    <x v="6"/>
    <x v="29"/>
    <d v="2025-11-11T10:00:00"/>
    <s v="380955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78330 - 22P [BLOCK]"/>
    <x v="0"/>
    <m/>
    <s v="12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9"/>
    <d v="2025-11-11T10:00:00"/>
    <s v="0006119625_4900"/>
    <s v="Loading"/>
    <n v="467175"/>
    <s v="Primary flows"/>
    <s v="PIOMAR FOR SN 3PO"/>
    <m/>
    <m/>
    <s v="No"/>
    <s v="NL Haps DC (DSV)"/>
    <s v="RICA - CZ Ricany DC2 Ambient WH"/>
    <n v="33"/>
    <n v="0"/>
    <n v="0"/>
    <n v="0"/>
    <s v="1  01"/>
    <x v="1"/>
    <m/>
    <s v="18/11/2025 15:00-15:00"/>
    <m/>
    <n v="0"/>
    <m/>
    <s v="No"/>
    <s v="Shipped/Received"/>
    <s v="Direct"/>
    <m/>
    <m/>
    <m/>
    <s v="HAPSDCCZ20251111-01"/>
    <m/>
    <m/>
    <s v="No"/>
    <n v="5019357384"/>
    <m/>
    <m/>
    <m/>
  </r>
  <r>
    <x v="0"/>
    <x v="1"/>
    <x v="6"/>
    <x v="29"/>
    <d v="2025-11-11T10:00:00"/>
    <s v="0006119624_4900"/>
    <s v="Loading"/>
    <s v="472079 / 467161"/>
    <s v="Primary flows / Primary flows"/>
    <s v="HELLMANN FOR SN 3PO"/>
    <m/>
    <m/>
    <s v="No"/>
    <s v="NL Haps DC (DSV)"/>
    <s v="NEUE - CH Neuendorf (MURPF) SN / NEUE - CH Neuendorf (MURPF) SN"/>
    <n v="66"/>
    <n v="0"/>
    <n v="0"/>
    <n v="0"/>
    <s v="1  01"/>
    <x v="1"/>
    <m/>
    <s v="13/11/2025 08:30-08:30"/>
    <s v="B801W"/>
    <n v="0"/>
    <m/>
    <s v="No"/>
    <s v="Shipped/Received"/>
    <s v="Direct"/>
    <s v=" / "/>
    <s v=" / "/>
    <m/>
    <s v="HAPSDCCH20251111-01 / HAPSDCCH20251111-01"/>
    <m/>
    <m/>
    <s v="No"/>
    <s v="5019378687 / 5019367983"/>
    <s v="NW7799"/>
    <m/>
    <m/>
  </r>
  <r>
    <x v="0"/>
    <x v="1"/>
    <x v="6"/>
    <x v="29"/>
    <d v="2025-11-11T11:00:00"/>
    <s v="382890_OOS"/>
    <s v="Loading"/>
    <s v="5019376114_OOS"/>
    <s v="Aval non piloté_EN"/>
    <s v="Nabuurs"/>
    <m/>
    <m/>
    <m/>
    <s v="NL Haps DC (DSV)"/>
    <s v="OOS_OUT - Delivery OOS"/>
    <n v="4"/>
    <n v="0"/>
    <n v="0"/>
    <n v="0"/>
    <s v="Order to ship 4 pallet with rejected cans for scrapping. Special instructions added: M20004 NBB"/>
    <x v="4"/>
    <m/>
    <s v="12/11/2025 00:00-00:00"/>
    <m/>
    <n v="0"/>
    <m/>
    <s v="No"/>
    <m/>
    <s v="Direct"/>
    <m/>
    <m/>
    <s v="logistic.support.haps@danone.com"/>
    <m/>
    <m/>
    <m/>
    <s v="No"/>
    <s v="&amp;nbsp"/>
    <m/>
    <m/>
    <m/>
  </r>
  <r>
    <x v="0"/>
    <x v="1"/>
    <x v="6"/>
    <x v="29"/>
    <d v="2025-11-11T11:00:00"/>
    <s v="380937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64919"/>
    <x v="0"/>
    <m/>
    <s v="12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9"/>
    <d v="2025-11-11T11:00:00"/>
    <s v="380933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00559 5019348361"/>
    <x v="0"/>
    <m/>
    <s v="12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9"/>
    <d v="2025-11-11T11:00:00"/>
    <s v="380554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63716 5019325836 5019328158 5019335407 "/>
    <x v="0"/>
    <m/>
    <s v="12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9"/>
    <d v="2025-11-11T12:00:00"/>
    <s v="0006119629_4900"/>
    <s v="Loading"/>
    <n v="467169"/>
    <s v="Primary flows"/>
    <s v="KREISS FOR SN 3PO"/>
    <m/>
    <m/>
    <s v="No"/>
    <s v="NL Haps DC (DSV)"/>
    <s v="CIE2 - ES Ciempozuelos SN"/>
    <n v="33"/>
    <n v="0"/>
    <n v="0"/>
    <n v="0"/>
    <s v="1  01"/>
    <x v="1"/>
    <m/>
    <s v="13/11/2025 14:00-14:00"/>
    <m/>
    <n v="0"/>
    <m/>
    <s v="No"/>
    <s v="Shipped/Received"/>
    <s v="Direct"/>
    <m/>
    <m/>
    <m/>
    <s v="HAPSDCES20251111-01"/>
    <m/>
    <m/>
    <s v="No"/>
    <n v="5019375646"/>
    <m/>
    <m/>
    <m/>
  </r>
  <r>
    <x v="0"/>
    <x v="1"/>
    <x v="6"/>
    <x v="29"/>
    <d v="2025-11-11T12:00:00"/>
    <s v="0006127474_4900"/>
    <s v="Loading"/>
    <s v="472333 / 470140"/>
    <s v="Primary flows / Primary flows"/>
    <s v="SAMSKIP FOR SN 3PO"/>
    <m/>
    <m/>
    <s v="No"/>
    <s v="NL Haps DC (DSV)"/>
    <s v="REDD - GB Redditch / REDD - GB Redditch"/>
    <n v="66"/>
    <n v="0"/>
    <n v="0"/>
    <n v="0"/>
    <s v="1  01"/>
    <x v="1"/>
    <m/>
    <s v="21/11/2025 18:00-18:00"/>
    <m/>
    <n v="0"/>
    <m/>
    <s v="No"/>
    <s v="Shipped/Received"/>
    <s v="Direct"/>
    <s v=" / "/>
    <s v=" / "/>
    <m/>
    <s v="HAPSDCUK20251111-04 / HAPSDCUK20251111-04"/>
    <m/>
    <m/>
    <s v="No"/>
    <s v="5019380842 / 5019369104"/>
    <m/>
    <m/>
    <m/>
  </r>
  <r>
    <x v="0"/>
    <x v="1"/>
    <x v="6"/>
    <x v="29"/>
    <d v="2025-11-11T12:00:00"/>
    <s v="380944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80088 - 22P [BLOCK]"/>
    <x v="0"/>
    <m/>
    <s v="12/11/2025 12:00-12:00"/>
    <m/>
    <n v="0"/>
    <m/>
    <s v="No"/>
    <s v="Shipped/Received"/>
    <s v="Direct"/>
    <m/>
    <m/>
    <s v="export.ams.ff.nl@geodis.com"/>
    <m/>
    <m/>
    <m/>
    <s v="No"/>
    <s v="&amp;nbsp"/>
    <m/>
    <m/>
    <m/>
  </r>
  <r>
    <x v="0"/>
    <x v="1"/>
    <x v="6"/>
    <x v="29"/>
    <d v="2025-11-11T12:00:00"/>
    <s v="378843_OOS"/>
    <s v="Loading"/>
    <s v="TR-ROAD_OOS"/>
    <s v="Aval non piloté_EN"/>
    <s v="Intercombi"/>
    <m/>
    <m/>
    <s v="No"/>
    <s v="NL Haps DC (DSV)"/>
    <s v="OOS_OUT - Delivery OOS"/>
    <n v="33"/>
    <n v="0"/>
    <n v="0"/>
    <n v="0"/>
    <s v="5019334255 + 5019334891"/>
    <x v="0"/>
    <m/>
    <s v="12/11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1"/>
    <x v="6"/>
    <x v="29"/>
    <d v="2025-11-11T13:00:00"/>
    <s v="0006127471_4900"/>
    <s v="Loading"/>
    <n v="470155"/>
    <s v="Primary flows"/>
    <s v="LKW WALTER FOR SN 3PO"/>
    <m/>
    <m/>
    <s v="No"/>
    <s v="NL Haps DC (DSV)"/>
    <s v="REDD - GB Redditch"/>
    <n v="33"/>
    <n v="0"/>
    <n v="0"/>
    <n v="0"/>
    <s v="1  01"/>
    <x v="1"/>
    <m/>
    <s v="13/11/2025 15:00-15:00"/>
    <m/>
    <n v="0"/>
    <m/>
    <s v="No"/>
    <s v="Shipped/Received"/>
    <s v="Direct"/>
    <m/>
    <m/>
    <m/>
    <s v="HAPSDCUK20251111-01"/>
    <m/>
    <m/>
    <s v="No"/>
    <n v="5019365406"/>
    <m/>
    <m/>
    <m/>
  </r>
  <r>
    <x v="0"/>
    <x v="1"/>
    <x v="6"/>
    <x v="29"/>
    <d v="2025-11-11T13:00:00"/>
    <s v="381574_OOS"/>
    <s v="Loading"/>
    <s v="NZ-AIR_OOS / AU-AIR_OOS"/>
    <s v="Aval non piloté_EN / Aval non piloté_EN"/>
    <s v="HELLMANN"/>
    <m/>
    <m/>
    <s v="No"/>
    <s v="NL Haps DC (DSV)"/>
    <s v="OOS_OUT - Delivery OOS / OOS_OUT - Delivery OOS"/>
    <n v="13"/>
    <n v="0"/>
    <n v="0"/>
    <n v="0"/>
    <s v="AU 5019305358 (7PL - LINE 1191) NZ 5019317224   5019313858 (6PL - LINE 1192)"/>
    <x v="0"/>
    <m/>
    <s v="12/11/2025 13:00-13:00"/>
    <m/>
    <n v="0"/>
    <m/>
    <s v="No"/>
    <s v="Shipped/Received"/>
    <s v="Direct"/>
    <s v=" / "/>
    <s v=" / "/>
    <s v="amsexport@hellmann.com"/>
    <s v=" / "/>
    <m/>
    <m/>
    <s v="No"/>
    <s v="&amp;nbsp"/>
    <s v=" / &amp;nbsp"/>
    <m/>
    <m/>
  </r>
  <r>
    <x v="0"/>
    <x v="1"/>
    <x v="6"/>
    <x v="29"/>
    <d v="2025-11-11T13:00:00"/>
    <s v="380945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80089 - 22P [BLOCK]"/>
    <x v="0"/>
    <m/>
    <s v="12/11/2025 13:00-13:00"/>
    <m/>
    <n v="0"/>
    <m/>
    <s v="No"/>
    <s v="Shipped/Received"/>
    <s v="Direct"/>
    <m/>
    <m/>
    <s v="export.ams.ff.nl@geodis.com"/>
    <m/>
    <m/>
    <m/>
    <s v="No"/>
    <s v="&amp;nbsp"/>
    <m/>
    <m/>
    <m/>
  </r>
  <r>
    <x v="0"/>
    <x v="1"/>
    <x v="6"/>
    <x v="29"/>
    <d v="2025-11-11T14:00:00"/>
    <s v="380946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75754 - 22P [BLOCK]"/>
    <x v="0"/>
    <m/>
    <s v="12/11/2025 14:00-14:00"/>
    <m/>
    <n v="0"/>
    <m/>
    <s v="No"/>
    <s v="Shipped/Received"/>
    <s v="Direct"/>
    <m/>
    <m/>
    <s v="export.ams.ff.nl@geodis.com"/>
    <m/>
    <m/>
    <m/>
    <s v="No"/>
    <s v="&amp;nbsp"/>
    <m/>
    <m/>
    <m/>
  </r>
  <r>
    <x v="0"/>
    <x v="1"/>
    <x v="6"/>
    <x v="29"/>
    <d v="2025-11-11T14:00:00"/>
    <s v="381301_OOS"/>
    <s v="Loading"/>
    <s v="NWW-ROAD_OOS"/>
    <s v="Aval non piloté_EN"/>
    <s v="Kuehne   Nagel Logistics B.V."/>
    <m/>
    <m/>
    <s v="No"/>
    <s v="NL Haps DC (DSV)"/>
    <s v="OOS_OUT - Delivery OOS"/>
    <n v="12"/>
    <n v="0"/>
    <n v="0"/>
    <n v="0"/>
    <s v="5019345777    5019354133"/>
    <x v="0"/>
    <m/>
    <s v="12/11/2025 12:00-12:00"/>
    <m/>
    <n v="0"/>
    <m/>
    <s v="No"/>
    <s v="Shipped/Received"/>
    <s v="Direct"/>
    <m/>
    <m/>
    <s v="knmoe.forwarding@kuehne-nagel.com"/>
    <m/>
    <m/>
    <m/>
    <s v="No"/>
    <s v="&amp;nbsp"/>
    <m/>
    <m/>
    <m/>
  </r>
  <r>
    <x v="0"/>
    <x v="1"/>
    <x v="6"/>
    <x v="29"/>
    <d v="2025-11-11T14:00:00"/>
    <s v="381629_OOS"/>
    <s v="Loading"/>
    <s v="IQ-ROAD_OOS"/>
    <s v="Aval non piloté_EN"/>
    <s v="EXPEDITE ONE"/>
    <m/>
    <m/>
    <s v="No"/>
    <s v="NL Haps DC (DSV)"/>
    <s v="OOS_OUT - Delivery OOS"/>
    <n v="6"/>
    <n v="0"/>
    <n v="0"/>
    <n v="0"/>
    <n v="5019233076"/>
    <x v="2"/>
    <m/>
    <s v="12/11/2025 12:00-12:00"/>
    <m/>
    <n v="0"/>
    <m/>
    <s v="No"/>
    <s v="Shipped/Received"/>
    <s v="Direct"/>
    <m/>
    <m/>
    <s v="Operations@expedite.one"/>
    <m/>
    <m/>
    <m/>
    <s v="No"/>
    <s v="&amp;nbsp"/>
    <m/>
    <m/>
    <m/>
  </r>
  <r>
    <x v="0"/>
    <x v="1"/>
    <x v="6"/>
    <x v="29"/>
    <d v="2025-11-11T14:00:00"/>
    <s v="0006119628_4900"/>
    <s v="Loading"/>
    <n v="467182"/>
    <s v="Primary flows"/>
    <s v="LKW WALTER FOR SN 3PO"/>
    <m/>
    <m/>
    <s v="No"/>
    <s v="NL Haps DC (DSV)"/>
    <s v="ALZE - DE Alzenau"/>
    <n v="33"/>
    <n v="0"/>
    <n v="0"/>
    <n v="0"/>
    <s v="1  01"/>
    <x v="1"/>
    <m/>
    <s v="12/11/2025 10:00-10:00"/>
    <m/>
    <n v="0"/>
    <m/>
    <s v="No"/>
    <s v="Shipped/Received"/>
    <s v="Direct"/>
    <m/>
    <m/>
    <m/>
    <s v="HAPSDCDE20251111-03"/>
    <m/>
    <m/>
    <s v="No"/>
    <n v="5019376211"/>
    <m/>
    <m/>
    <m/>
  </r>
  <r>
    <x v="0"/>
    <x v="1"/>
    <x v="6"/>
    <x v="29"/>
    <d v="2025-11-11T15:00:00"/>
    <s v="380947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70539 - 22P [BLOCK]"/>
    <x v="0"/>
    <m/>
    <s v="12/11/2025 15:00-15:00"/>
    <m/>
    <n v="0"/>
    <m/>
    <s v="No"/>
    <s v="Shipped/Received"/>
    <s v="Direct"/>
    <m/>
    <m/>
    <s v="export.ams.ff.nl@geodis.com"/>
    <m/>
    <m/>
    <m/>
    <s v="No"/>
    <s v="&amp;nbsp"/>
    <m/>
    <m/>
    <m/>
  </r>
  <r>
    <x v="0"/>
    <x v="1"/>
    <x v="6"/>
    <x v="29"/>
    <d v="2025-11-11T15:00:00"/>
    <s v="382438_OOS"/>
    <s v="Loading"/>
    <s v="KR - SEA_OOS"/>
    <s v="Aval non piloté_EN"/>
    <s v="GEODIS"/>
    <m/>
    <m/>
    <s v="No"/>
    <s v="NL Haps DC (DSV)"/>
    <s v="OOS_OUT - Delivery OOS"/>
    <n v="10"/>
    <n v="0"/>
    <n v="0"/>
    <n v="0"/>
    <s v="DN 5019342811"/>
    <x v="2"/>
    <m/>
    <s v="12/11/2025 14:00-14:00"/>
    <m/>
    <n v="0"/>
    <m/>
    <s v="No"/>
    <s v="Shipped/Received"/>
    <s v="Direct"/>
    <m/>
    <m/>
    <s v="nutricia-booking.ff.nl@geodis.com"/>
    <m/>
    <m/>
    <m/>
    <s v="No"/>
    <s v="&amp;nbsp"/>
    <m/>
    <s v="SOUTH KOREA"/>
    <s v="SRTMS183613"/>
  </r>
  <r>
    <x v="0"/>
    <x v="1"/>
    <x v="6"/>
    <x v="29"/>
    <d v="2025-11-11T15:00:00"/>
    <s v="0006119627_4900"/>
    <s v="Loading"/>
    <n v="467173"/>
    <s v="Primary flows"/>
    <s v="LKW WALTER FOR SN 3PO"/>
    <m/>
    <m/>
    <s v="No"/>
    <s v="NL Haps DC (DSV)"/>
    <s v="ALZE - DE Alzenau"/>
    <n v="33"/>
    <n v="0"/>
    <n v="0"/>
    <n v="0"/>
    <s v="1  01"/>
    <x v="1"/>
    <m/>
    <s v="12/11/2025 10:00-10:00"/>
    <m/>
    <n v="0"/>
    <m/>
    <s v="No"/>
    <s v="Shipped/Received"/>
    <s v="Direct"/>
    <m/>
    <m/>
    <m/>
    <s v="HAPSDCDE20251111-02"/>
    <m/>
    <m/>
    <s v="No"/>
    <n v="5019364993"/>
    <m/>
    <m/>
    <m/>
  </r>
  <r>
    <x v="0"/>
    <x v="1"/>
    <x v="6"/>
    <x v="29"/>
    <d v="2025-11-11T16:00:00"/>
    <s v="0006119626_4900"/>
    <s v="Loading"/>
    <n v="467177"/>
    <s v="Primary flows"/>
    <s v="LKW WALTER FOR SN 3PO"/>
    <m/>
    <m/>
    <s v="No"/>
    <s v="NL Haps DC (DSV)"/>
    <s v="ALZE - DE Alzenau"/>
    <n v="33"/>
    <n v="0"/>
    <n v="0"/>
    <n v="0"/>
    <s v="1  01"/>
    <x v="1"/>
    <m/>
    <s v="12/11/2025 10:00-10:00"/>
    <m/>
    <n v="0"/>
    <m/>
    <s v="No"/>
    <s v="Shipped/Received"/>
    <s v="Direct"/>
    <m/>
    <m/>
    <m/>
    <s v="HAPSDCDE20251111-01"/>
    <m/>
    <m/>
    <s v="No"/>
    <n v="5019377006"/>
    <m/>
    <m/>
    <m/>
  </r>
  <r>
    <x v="0"/>
    <x v="1"/>
    <x v="6"/>
    <x v="29"/>
    <d v="2025-11-11T16:00:00"/>
    <s v="380954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71695 - 22P [BLOCK]"/>
    <x v="0"/>
    <m/>
    <s v="12/11/2025 16:00-16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29"/>
    <d v="2025-11-11T16:00:00"/>
    <s v="0006119631_4900"/>
    <s v="Loading"/>
    <n v="467198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2/11/2025 07:30-07:30"/>
    <m/>
    <n v="0"/>
    <m/>
    <s v="No"/>
    <s v="Shipped/Received"/>
    <s v="Direct"/>
    <m/>
    <m/>
    <m/>
    <s v="HAPSDCFR20251111-01"/>
    <m/>
    <m/>
    <s v="No"/>
    <n v="5019368263"/>
    <m/>
    <m/>
    <m/>
  </r>
  <r>
    <x v="0"/>
    <x v="1"/>
    <x v="6"/>
    <x v="29"/>
    <d v="2025-11-11T17:00:00"/>
    <s v="0006119632_4900"/>
    <s v="Loading"/>
    <n v="467176"/>
    <s v="Primary flows"/>
    <s v="ECS FOR SN 3PO"/>
    <m/>
    <m/>
    <s v="No"/>
    <s v="NL Haps DC (DSV)"/>
    <s v="MOUS - FR Moussy-Le-Neuf"/>
    <n v="33"/>
    <n v="0"/>
    <n v="0"/>
    <n v="0"/>
    <s v="1  01"/>
    <x v="1"/>
    <m/>
    <s v="12/11/2025 13:00-13:00"/>
    <m/>
    <n v="0"/>
    <m/>
    <s v="No"/>
    <s v="Shipped/Received"/>
    <s v="Direct"/>
    <m/>
    <m/>
    <m/>
    <s v="HAPSDCFR20251111-02"/>
    <m/>
    <m/>
    <s v="No"/>
    <n v="5019376007"/>
    <m/>
    <m/>
    <m/>
  </r>
  <r>
    <x v="0"/>
    <x v="1"/>
    <x v="6"/>
    <x v="29"/>
    <d v="2025-11-11T17:00:00"/>
    <s v="0006119630_4900"/>
    <s v="Loading"/>
    <s v="472189 / 467190"/>
    <s v="Primary flows / Primary flows"/>
    <s v="LKW WALTER FOR SN 3PO"/>
    <m/>
    <m/>
    <s v="No"/>
    <s v="NL Haps DC (DSV)"/>
    <s v="CIE2 - ES Ciempozuelos SN / CIE2 - ES Ciempozuelos SN"/>
    <n v="66"/>
    <n v="0"/>
    <n v="0"/>
    <n v="0"/>
    <s v="1  01"/>
    <x v="1"/>
    <m/>
    <s v="14/11/2025 10:00-10:00"/>
    <m/>
    <n v="0"/>
    <m/>
    <s v="No"/>
    <s v="Shipped/Received"/>
    <s v="Direct"/>
    <s v=" / "/>
    <s v=" / "/>
    <m/>
    <s v="HAPSDCES20251111-02 / HAPSDCES20251111-02"/>
    <m/>
    <m/>
    <s v="No"/>
    <s v="5019358037 / 5019380121"/>
    <m/>
    <m/>
    <m/>
  </r>
  <r>
    <x v="0"/>
    <x v="1"/>
    <x v="6"/>
    <x v="29"/>
    <d v="2025-11-11T18:00:00"/>
    <s v="0006119633_4900"/>
    <s v="Loading"/>
    <s v="472192 / 467157"/>
    <s v="Primary flows / Primary flows"/>
    <s v="GIRTEKA FOR SN 3PO HVO"/>
    <m/>
    <m/>
    <s v="No"/>
    <s v="NL Haps DC (DSV)"/>
    <s v="MOUS - FR Moussy-Le-Neuf / MOUS - FR Moussy-Le-Neuf"/>
    <n v="66"/>
    <n v="0"/>
    <n v="0"/>
    <n v="0"/>
    <s v="1  01"/>
    <x v="1"/>
    <m/>
    <s v="12/11/2025 09:00-09:00"/>
    <m/>
    <n v="0"/>
    <m/>
    <s v="No"/>
    <s v="Shipped/Received"/>
    <s v="Direct"/>
    <s v=" / "/>
    <s v=" / "/>
    <m/>
    <s v="HAPSDCFR20251111-03 / HAPSDCFR20251111-03"/>
    <m/>
    <m/>
    <s v="No"/>
    <s v="5019380401 / 5019364991"/>
    <m/>
    <m/>
    <m/>
  </r>
  <r>
    <x v="0"/>
    <x v="1"/>
    <x v="6"/>
    <x v="29"/>
    <d v="2025-11-11T18:00:00"/>
    <s v="0006119638_4900"/>
    <s v="Loading"/>
    <n v="467174"/>
    <s v="Primary flows"/>
    <s v="MIERZWA FOR SN 3PO"/>
    <m/>
    <m/>
    <s v="No"/>
    <s v="NL Haps DC (DSV)"/>
    <s v="GRAB - PL Grabica"/>
    <n v="33"/>
    <n v="0"/>
    <n v="0"/>
    <n v="0"/>
    <s v="1  01"/>
    <x v="1"/>
    <m/>
    <s v="14/11/2025 21:00-21:00"/>
    <s v="KRA251PH"/>
    <n v="0"/>
    <m/>
    <s v="No"/>
    <s v="Shipped/Received"/>
    <s v="Direct"/>
    <m/>
    <m/>
    <m/>
    <s v="HAPSDCPL20251111-01"/>
    <m/>
    <m/>
    <s v="No"/>
    <n v="5019360977"/>
    <s v="WPR3423T"/>
    <s v="Maciej Ba?ko"/>
    <m/>
  </r>
  <r>
    <x v="0"/>
    <x v="1"/>
    <x v="6"/>
    <x v="29"/>
    <d v="2025-11-11T18:00:00"/>
    <s v="0006131359_4900"/>
    <s v="Loading"/>
    <n v="471934"/>
    <s v="Primary flows"/>
    <s v="ABC CZEPCZYNSKI FOR SN 3PO"/>
    <m/>
    <m/>
    <s v="No"/>
    <s v="NL Haps DC (DSV)"/>
    <s v="BUDA - HU Budapest (BILK Logisztikai)"/>
    <n v="33"/>
    <n v="0"/>
    <n v="0"/>
    <n v="0"/>
    <s v="1  01"/>
    <x v="1"/>
    <m/>
    <s v="14/11/2025 08:00-08:00"/>
    <m/>
    <n v="0"/>
    <m/>
    <s v="No"/>
    <s v="Shipped/Received"/>
    <s v="Direct"/>
    <m/>
    <m/>
    <m/>
    <s v="HAPSDCHU20251111-01"/>
    <m/>
    <m/>
    <s v="No"/>
    <n v="5019355391"/>
    <m/>
    <m/>
    <m/>
  </r>
  <r>
    <x v="0"/>
    <x v="1"/>
    <x v="6"/>
    <x v="29"/>
    <d v="2025-11-11T19:00:00"/>
    <s v="0006119639_4900"/>
    <s v="Loading"/>
    <n v="467158"/>
    <s v="Primary flows"/>
    <s v="PIOMAR FOR SN 3PO"/>
    <m/>
    <m/>
    <s v="No"/>
    <s v="NL Haps DC (DSV)"/>
    <s v="GRAB - PL Grabica"/>
    <n v="33"/>
    <n v="0"/>
    <n v="0"/>
    <n v="0"/>
    <s v="1  01"/>
    <x v="1"/>
    <m/>
    <s v="18/11/2025 21:00-21:00"/>
    <m/>
    <n v="0"/>
    <m/>
    <s v="No"/>
    <s v="Shipped/Received"/>
    <s v="Direct"/>
    <m/>
    <m/>
    <m/>
    <s v="HAPSDCPL20251111-02"/>
    <m/>
    <m/>
    <s v="No"/>
    <n v="5019354750"/>
    <m/>
    <m/>
    <m/>
  </r>
  <r>
    <x v="0"/>
    <x v="1"/>
    <x v="6"/>
    <x v="29"/>
    <d v="2025-11-11T19:00:00"/>
    <s v="0006119637_4900"/>
    <s v="Loading"/>
    <s v="472086 / 467199"/>
    <s v="Primary flows / Primary flows"/>
    <s v="VLANTANA FOR SN 3PO"/>
    <m/>
    <m/>
    <s v="No"/>
    <s v="NL Haps DC (DSV)"/>
    <s v="RIGA - LV Riga (EUGESTA SIA) / RIGA - LV Riga (EUGESTA SIA)"/>
    <n v="66"/>
    <n v="0"/>
    <n v="0"/>
    <n v="0"/>
    <s v="1  01"/>
    <x v="1"/>
    <m/>
    <s v="18/11/2025 14:30-14:30"/>
    <m/>
    <n v="0"/>
    <m/>
    <s v="No"/>
    <s v="Shipped/Received"/>
    <s v="Direct"/>
    <s v=" / "/>
    <s v=" / "/>
    <m/>
    <s v="HAPSDCLV20251111-01 / HAPSDCLV20251111-01"/>
    <m/>
    <m/>
    <s v="No"/>
    <s v="5019376887 / 5019360396"/>
    <m/>
    <m/>
    <m/>
  </r>
  <r>
    <x v="0"/>
    <x v="1"/>
    <x v="6"/>
    <x v="30"/>
    <d v="2025-11-12T06:00:00"/>
    <s v="367275_OOS"/>
    <s v="Loading"/>
    <s v="CN-SEA-6078299_OOS"/>
    <s v="Aval non piloté_EN"/>
    <s v="MAERSK - Control Tower"/>
    <m/>
    <m/>
    <s v="No"/>
    <s v="NL Haps DC (DSV)"/>
    <s v="OOS_OUT - Delivery OOS"/>
    <n v="20"/>
    <n v="0"/>
    <n v="0"/>
    <n v="0"/>
    <s v="5019315598 5019323246 5019341771 "/>
    <x v="0"/>
    <m/>
    <s v="13/11/2025 00:03-00:03"/>
    <m/>
    <n v="0"/>
    <m/>
    <s v="No"/>
    <s v="Shipped/Received"/>
    <s v="Direct"/>
    <m/>
    <m/>
    <s v="3POeuropect@lns.maersk.com"/>
    <m/>
    <m/>
    <m/>
    <s v="No"/>
    <s v="&amp;nbsp"/>
    <m/>
    <m/>
    <n v="260111584"/>
  </r>
  <r>
    <x v="0"/>
    <x v="1"/>
    <x v="6"/>
    <x v="30"/>
    <d v="2025-11-12T06:00:00"/>
    <s v="0006127478_4900"/>
    <s v="Loading"/>
    <n v="470160"/>
    <s v="Primary flows"/>
    <s v="SAMSKIP FOR SN 3PO"/>
    <m/>
    <m/>
    <s v="No"/>
    <s v="NL Haps DC (DSV)"/>
    <s v="REDD - GB Redditch"/>
    <n v="33"/>
    <n v="0"/>
    <n v="0"/>
    <n v="0"/>
    <s v="1  01"/>
    <x v="1"/>
    <m/>
    <s v="24/11/2025 23:00-23:00"/>
    <m/>
    <n v="0"/>
    <m/>
    <s v="No"/>
    <s v="Shipped/Received"/>
    <s v="Direct"/>
    <m/>
    <m/>
    <m/>
    <s v="HAPSDCUK20251112-03"/>
    <m/>
    <m/>
    <s v="No"/>
    <n v="5019365753"/>
    <m/>
    <m/>
    <m/>
  </r>
  <r>
    <x v="0"/>
    <x v="1"/>
    <x v="6"/>
    <x v="30"/>
    <d v="2025-11-12T07:00:00"/>
    <s v="369942_OOS"/>
    <s v="Loading"/>
    <s v="CN-SEA-6087538_OOS"/>
    <s v="Aval non piloté_EN"/>
    <s v="MAERSK - Control Tower"/>
    <m/>
    <m/>
    <s v="No"/>
    <s v="NL Haps DC (DSV)"/>
    <s v="OOS_OUT - Delivery OOS"/>
    <n v="20"/>
    <n v="0"/>
    <n v="0"/>
    <n v="0"/>
    <n v="5019345562"/>
    <x v="0"/>
    <m/>
    <s v="13/11/2025 00:05-00:05"/>
    <m/>
    <n v="0"/>
    <m/>
    <s v="No"/>
    <s v="Shipped/Received"/>
    <s v="Direct"/>
    <m/>
    <m/>
    <s v="3POeuropect@lns.maersk.com"/>
    <m/>
    <m/>
    <m/>
    <s v="No"/>
    <s v="&amp;nbsp"/>
    <m/>
    <m/>
    <n v="260326904"/>
  </r>
  <r>
    <x v="0"/>
    <x v="1"/>
    <x v="6"/>
    <x v="30"/>
    <d v="2025-11-12T07:00:00"/>
    <s v="382181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27464 LZV"/>
    <x v="1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07:00:00"/>
    <s v="383199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394933"/>
    <x v="2"/>
    <m/>
    <s v="13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08:00:00"/>
    <s v="0006119653_4900"/>
    <s v="Loading"/>
    <s v="472532 / 467179"/>
    <s v="Primary flows / Primary flows"/>
    <s v="SAMSKIP FOR SN 3PO"/>
    <m/>
    <m/>
    <s v="No"/>
    <s v="NL Haps DC (DSV)"/>
    <s v="VEST - NO Vestby Leman / VEST - NO Vestby Leman"/>
    <n v="66"/>
    <n v="0"/>
    <n v="0"/>
    <n v="0"/>
    <s v="1  01"/>
    <x v="1"/>
    <m/>
    <s v="19/11/2025 15:00-15:00"/>
    <m/>
    <n v="0"/>
    <m/>
    <s v="No"/>
    <s v="Shipped/Received"/>
    <s v="Direct"/>
    <s v=" / "/>
    <s v=" / "/>
    <m/>
    <s v="HAPSDCNO20251112-01 / HAPSDCNO20251112-01"/>
    <m/>
    <m/>
    <s v="No"/>
    <s v="5019376617 / 5017497021"/>
    <m/>
    <m/>
    <m/>
  </r>
  <r>
    <x v="0"/>
    <x v="1"/>
    <x v="6"/>
    <x v="30"/>
    <d v="2025-11-12T08:00:00"/>
    <s v="381465_OOS"/>
    <s v="Loading"/>
    <s v="AU-AIR_OOS"/>
    <s v="Aval non piloté_EN"/>
    <s v="HELLMANN"/>
    <m/>
    <m/>
    <s v="No"/>
    <s v="NL Haps DC (DSV)"/>
    <s v="OOS_OUT - Delivery OOS"/>
    <n v="29"/>
    <n v="0"/>
    <n v="0"/>
    <n v="0"/>
    <s v="AU 5019335481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08:00:00"/>
    <s v="381464_OOS"/>
    <s v="Loading"/>
    <s v="AU-AIR_OOS"/>
    <s v="Aval non piloté_EN"/>
    <s v="HELLMANN"/>
    <m/>
    <m/>
    <s v="No"/>
    <s v="NL Haps DC (DSV)"/>
    <s v="OOS_OUT - Delivery OOS"/>
    <n v="29"/>
    <n v="0"/>
    <n v="0"/>
    <n v="0"/>
    <s v="AU 5019322945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09:00:00"/>
    <s v="375137_OOS"/>
    <s v="Loading"/>
    <s v="TH-SEA-6105669_OOS"/>
    <s v="Aval non piloté_EN"/>
    <s v="MAERSK - Control Tower"/>
    <m/>
    <m/>
    <s v="No"/>
    <s v="NL Haps DC (DSV)"/>
    <s v="OOS_OUT - Delivery OOS"/>
    <n v="20"/>
    <n v="0"/>
    <n v="0"/>
    <n v="0"/>
    <s v="5019313237 + 5019314195 + 5019328137 "/>
    <x v="0"/>
    <m/>
    <s v="13/11/2025 00:01-00:01"/>
    <m/>
    <n v="0"/>
    <m/>
    <s v="No"/>
    <s v="Shipped/Received"/>
    <s v="Direct"/>
    <m/>
    <m/>
    <s v="3poeuropect@lns.maersk.com"/>
    <m/>
    <m/>
    <m/>
    <s v="No"/>
    <s v="&amp;nbsp"/>
    <m/>
    <m/>
    <n v="20313647"/>
  </r>
  <r>
    <x v="0"/>
    <x v="1"/>
    <x v="6"/>
    <x v="30"/>
    <d v="2025-11-12T09:00:00"/>
    <s v="382854_OOS"/>
    <s v="Loading"/>
    <s v="Scrap ZTM PIM - ROAD_OOS"/>
    <s v="Aval non piloté_EN"/>
    <s v="Koopman Cargo B.V."/>
    <m/>
    <m/>
    <s v="No"/>
    <s v="NL Haps DC (DSV)"/>
    <s v="OOS_OUT - Delivery OOS"/>
    <n v="27"/>
    <n v="0"/>
    <n v="0"/>
    <n v="0"/>
    <n v="90012144"/>
    <x v="0"/>
    <m/>
    <s v="13/11/2025 12:00-12:00"/>
    <m/>
    <n v="0"/>
    <m/>
    <s v="No"/>
    <s v="Shipped/Received"/>
    <s v="Direct"/>
    <m/>
    <m/>
    <s v="cargo-csd@koopman.nl"/>
    <m/>
    <m/>
    <m/>
    <s v="No"/>
    <s v="&amp;nbsp"/>
    <m/>
    <m/>
    <m/>
  </r>
  <r>
    <x v="0"/>
    <x v="1"/>
    <x v="6"/>
    <x v="30"/>
    <d v="2025-11-12T09:00:00"/>
    <s v="381468_OOS"/>
    <s v="Loading"/>
    <s v="AU-AIR_OOS"/>
    <s v="Aval non piloté_EN"/>
    <s v="HELLMANN"/>
    <m/>
    <m/>
    <s v="No"/>
    <s v="NL Haps DC (DSV)"/>
    <s v="OOS_OUT - Delivery OOS"/>
    <n v="29"/>
    <n v="0"/>
    <n v="0"/>
    <n v="0"/>
    <s v="AU 5019324573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10:00:00"/>
    <s v="380555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326788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10:00:00"/>
    <s v="382191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334372 5019330625 5019330071 5019348799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10:00:00"/>
    <s v="0006119651_4900"/>
    <s v="Loading"/>
    <n v="467167"/>
    <s v="Primary flows"/>
    <s v="SAMSKIP FOR SN 3PO"/>
    <m/>
    <m/>
    <s v="No"/>
    <s v="NL Haps DC (DSV)"/>
    <s v="BELF - IE Belfast (Moviento)"/>
    <n v="33"/>
    <n v="0"/>
    <n v="0"/>
    <n v="0"/>
    <s v="1  01"/>
    <x v="1"/>
    <m/>
    <s v="19/11/2025 16:00-16:00"/>
    <m/>
    <n v="0"/>
    <m/>
    <s v="No"/>
    <s v="Shipped/Received"/>
    <s v="Direct"/>
    <m/>
    <m/>
    <m/>
    <s v="HAPSDCIE20251112-01"/>
    <m/>
    <m/>
    <s v="No"/>
    <n v="5019391418"/>
    <m/>
    <m/>
    <m/>
  </r>
  <r>
    <x v="0"/>
    <x v="1"/>
    <x v="6"/>
    <x v="30"/>
    <d v="2025-11-12T10:00:00"/>
    <s v="375502_OOS"/>
    <s v="Loading"/>
    <s v="CN-SEA-6105660_OOS"/>
    <s v="Aval non piloté_EN"/>
    <s v="MAERSK - Control Tower"/>
    <m/>
    <m/>
    <s v="No"/>
    <s v="NL Haps DC (DSV)"/>
    <s v="OOS_OUT - Delivery OOS"/>
    <n v="20"/>
    <n v="0"/>
    <n v="0"/>
    <n v="0"/>
    <n v="5019282270"/>
    <x v="0"/>
    <m/>
    <s v="13/11/2025 00:03-00:03"/>
    <m/>
    <n v="0"/>
    <m/>
    <s v="No"/>
    <s v="Shipped/Received"/>
    <s v="Direct"/>
    <m/>
    <m/>
    <s v="3POeuropect@lns.maersk.com"/>
    <m/>
    <m/>
    <m/>
    <s v="No"/>
    <s v="&amp;nbsp"/>
    <m/>
    <m/>
    <n v="260954894"/>
  </r>
  <r>
    <x v="0"/>
    <x v="1"/>
    <x v="6"/>
    <x v="30"/>
    <d v="2025-11-12T11:00:00"/>
    <s v="375503_OOS"/>
    <s v="Loading"/>
    <s v="CN-SEA-6105661_OOS"/>
    <s v="Aval non piloté_EN"/>
    <s v="MAERSK - Control Tower"/>
    <m/>
    <m/>
    <s v="No"/>
    <s v="NL Haps DC (DSV)"/>
    <s v="OOS_OUT - Delivery OOS"/>
    <n v="20"/>
    <n v="0"/>
    <n v="0"/>
    <n v="0"/>
    <n v="5019297642"/>
    <x v="0"/>
    <m/>
    <s v="13/11/2025 00:02-00:02"/>
    <m/>
    <n v="0"/>
    <m/>
    <s v="No"/>
    <s v="Shipped/Received"/>
    <s v="Direct"/>
    <m/>
    <m/>
    <s v="3POeuropect@lns.maersk.com"/>
    <m/>
    <m/>
    <m/>
    <s v="No"/>
    <s v="&amp;nbsp"/>
    <m/>
    <m/>
    <n v="260954894"/>
  </r>
  <r>
    <x v="0"/>
    <x v="1"/>
    <x v="6"/>
    <x v="30"/>
    <d v="2025-11-12T11:00:00"/>
    <s v="375295_OOS"/>
    <s v="Loading"/>
    <s v="TW-SEA-6105671_OOS"/>
    <s v="Aval non piloté_EN"/>
    <s v="MAERSK - Control Tower"/>
    <m/>
    <m/>
    <s v="No"/>
    <s v="NL Haps DC (DSV)"/>
    <s v="OOS_OUT - Delivery OOS"/>
    <n v="20"/>
    <n v="0"/>
    <n v="0"/>
    <n v="0"/>
    <s v="5019286302 5019300997 "/>
    <x v="0"/>
    <m/>
    <s v="13/11/2025 00:02-00:02"/>
    <m/>
    <n v="0"/>
    <m/>
    <s v="No"/>
    <s v="Shipped/Received"/>
    <s v="Direct"/>
    <m/>
    <m/>
    <s v="3POeuropect@lns.maersk.com"/>
    <m/>
    <m/>
    <m/>
    <s v="No"/>
    <s v="&amp;nbsp"/>
    <m/>
    <m/>
    <n v="260907685"/>
  </r>
  <r>
    <x v="0"/>
    <x v="1"/>
    <x v="6"/>
    <x v="30"/>
    <d v="2025-11-12T11:00:00"/>
    <s v="380556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345805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12:00:00"/>
    <s v="0006127477_4900"/>
    <s v="Loading"/>
    <n v="470138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23:00-23:00"/>
    <m/>
    <n v="0"/>
    <m/>
    <s v="No"/>
    <s v="Shipped/Received"/>
    <s v="Direct"/>
    <m/>
    <m/>
    <m/>
    <s v="HAPSDCUK20251112-02"/>
    <m/>
    <m/>
    <s v="No"/>
    <n v="5019375132"/>
    <m/>
    <m/>
    <m/>
  </r>
  <r>
    <x v="0"/>
    <x v="1"/>
    <x v="6"/>
    <x v="30"/>
    <d v="2025-11-12T12:00:00"/>
    <s v="382196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60951 5019344733 5019360965 5019338354 5019344196 5019361127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12:00:00"/>
    <s v="381577_OOS"/>
    <s v="Loading"/>
    <s v="NWW-ROAD_OOS"/>
    <s v="Aval non piloté_EN"/>
    <s v="Scanway Solutions"/>
    <m/>
    <m/>
    <s v="No"/>
    <s v="NL Haps DC (DSV)"/>
    <s v="OOS_OUT - Delivery OOS"/>
    <n v="3"/>
    <n v="0"/>
    <n v="0"/>
    <n v="0"/>
    <n v="5019235344"/>
    <x v="2"/>
    <m/>
    <s v="13/11/2025 12:00-12:00"/>
    <m/>
    <n v="0"/>
    <m/>
    <s v="No"/>
    <s v="Shipped/Received"/>
    <s v="Direct"/>
    <m/>
    <m/>
    <s v="scanway@scanway.ee"/>
    <m/>
    <m/>
    <m/>
    <s v="No"/>
    <s v="&amp;nbsp"/>
    <m/>
    <m/>
    <m/>
  </r>
  <r>
    <x v="0"/>
    <x v="1"/>
    <x v="6"/>
    <x v="30"/>
    <d v="2025-11-12T12:00:00"/>
    <s v="369894_OOS"/>
    <s v="Loading"/>
    <s v="CN-SEA-6087535_OOS"/>
    <s v="Aval non piloté_EN"/>
    <s v="MAERSK - Control Tower"/>
    <m/>
    <m/>
    <s v="No"/>
    <s v="NL Haps DC (DSV)"/>
    <s v="OOS_OUT - Delivery OOS"/>
    <n v="20"/>
    <n v="0"/>
    <n v="0"/>
    <n v="0"/>
    <n v="5019334848"/>
    <x v="0"/>
    <m/>
    <s v="13/11/2025 00:03-00:03"/>
    <m/>
    <n v="0"/>
    <m/>
    <s v="No"/>
    <s v="Shipped/Received"/>
    <s v="Direct"/>
    <m/>
    <m/>
    <s v="3POeuropect@lns.maersk.com"/>
    <m/>
    <m/>
    <m/>
    <s v="No"/>
    <s v="&amp;nbsp"/>
    <m/>
    <m/>
    <n v="260323323"/>
  </r>
  <r>
    <x v="0"/>
    <x v="1"/>
    <x v="6"/>
    <x v="30"/>
    <d v="2025-11-12T12:00:00"/>
    <s v="0006127476_4900"/>
    <s v="Loading"/>
    <n v="470164"/>
    <s v="Primary flows"/>
    <s v="GIRTEKA FOR SN 3PO"/>
    <m/>
    <m/>
    <s v="No"/>
    <s v="NL Haps DC (DSV)"/>
    <s v="REDD - GB Redditch"/>
    <n v="33"/>
    <n v="0"/>
    <n v="0"/>
    <n v="0"/>
    <s v="1  01"/>
    <x v="1"/>
    <m/>
    <s v="13/11/2025 17:00-17:00"/>
    <s v="WGM_80187"/>
    <n v="0"/>
    <m/>
    <s v="No"/>
    <s v="Shipped/Received"/>
    <s v="Direct"/>
    <m/>
    <m/>
    <m/>
    <s v="HAPSDCUK20251112-01"/>
    <m/>
    <m/>
    <s v="No"/>
    <n v="5019362712"/>
    <s v="WGM_5797N"/>
    <s v="Alena Salauyova"/>
    <m/>
  </r>
  <r>
    <x v="0"/>
    <x v="1"/>
    <x v="6"/>
    <x v="30"/>
    <d v="2025-11-12T13:00:00"/>
    <s v="377995_OOS"/>
    <s v="Loading"/>
    <s v="CN-SEA-6115288_OOS"/>
    <s v="Aval non piloté_EN"/>
    <s v="MAERSK - Control Tower"/>
    <m/>
    <m/>
    <s v="No"/>
    <s v="NL Haps DC (DSV)"/>
    <s v="OOS_OUT - Delivery OOS"/>
    <n v="20"/>
    <n v="0"/>
    <n v="0"/>
    <n v="0"/>
    <n v="5019325623"/>
    <x v="0"/>
    <m/>
    <s v="13/11/2025 00:03-00:03"/>
    <m/>
    <n v="0"/>
    <m/>
    <s v="No"/>
    <s v="Shipped/Received"/>
    <s v="Direct"/>
    <m/>
    <m/>
    <s v="3poeuropect@lns.maersk.com"/>
    <m/>
    <m/>
    <m/>
    <s v="No"/>
    <s v="&amp;nbsp"/>
    <m/>
    <m/>
    <n v="261489050"/>
  </r>
  <r>
    <x v="0"/>
    <x v="1"/>
    <x v="6"/>
    <x v="30"/>
    <d v="2025-11-12T13:00:00"/>
    <s v="378844_OOS"/>
    <s v="Loading"/>
    <s v="TR-ROAD_OOS"/>
    <s v="Aval non piloté_EN"/>
    <s v="Intercombi"/>
    <m/>
    <m/>
    <s v="No"/>
    <s v="NL Haps DC (DSV)"/>
    <s v="OOS_OUT - Delivery OOS"/>
    <n v="33"/>
    <n v="0"/>
    <n v="0"/>
    <n v="0"/>
    <n v="5019344325"/>
    <x v="0"/>
    <m/>
    <s v="13/11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1"/>
    <x v="6"/>
    <x v="30"/>
    <d v="2025-11-12T13:00:00"/>
    <s v="0006119654_4900"/>
    <s v="Loading"/>
    <n v="467165"/>
    <s v="Primary flows"/>
    <s v="PIOMAR FOR SN 3PO"/>
    <m/>
    <m/>
    <s v="No"/>
    <s v="NL Haps DC (DSV)"/>
    <s v="GRAB - PL Grabica"/>
    <n v="33"/>
    <n v="0"/>
    <n v="0"/>
    <n v="0"/>
    <s v="1  01"/>
    <x v="1"/>
    <m/>
    <s v="14/11/2025 21:00-21:00"/>
    <s v="DSW567AG"/>
    <n v="0"/>
    <m/>
    <s v="No"/>
    <s v="Shipped/Received"/>
    <s v="Direct"/>
    <m/>
    <m/>
    <m/>
    <s v="HAPSDCPL20251112-01"/>
    <m/>
    <m/>
    <s v="No"/>
    <n v="5019358191"/>
    <s v="OP8725S"/>
    <s v="SOBOLEWSKI DARIUSZ"/>
    <m/>
  </r>
  <r>
    <x v="0"/>
    <x v="1"/>
    <x v="6"/>
    <x v="30"/>
    <d v="2025-11-12T13:00:00"/>
    <s v="380934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298122 5019345804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14:00:00"/>
    <s v="380952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71694 - 22P [BLOCK]"/>
    <x v="0"/>
    <m/>
    <s v="13/11/2025 14:00-14:00"/>
    <m/>
    <n v="0"/>
    <m/>
    <s v="No"/>
    <s v="Shipped/Received"/>
    <s v="Direct"/>
    <m/>
    <m/>
    <s v="export.ams.ff.nl@geodis.com"/>
    <m/>
    <m/>
    <m/>
    <s v="No"/>
    <s v="&amp;nbsp"/>
    <m/>
    <m/>
    <m/>
  </r>
  <r>
    <x v="0"/>
    <x v="1"/>
    <x v="6"/>
    <x v="30"/>
    <d v="2025-11-12T14:00:00"/>
    <s v="381469_OOS"/>
    <s v="Loading"/>
    <s v="AU-AIR_OOS"/>
    <s v="Aval non piloté_EN"/>
    <s v="HELLMANN"/>
    <m/>
    <m/>
    <s v="No"/>
    <s v="NL Haps DC (DSV)"/>
    <s v="OOS_OUT - Delivery OOS"/>
    <n v="29"/>
    <n v="0"/>
    <n v="0"/>
    <n v="0"/>
    <s v="AU 5019322946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15:00:00"/>
    <s v="380936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339430 5019335030"/>
    <x v="0"/>
    <m/>
    <s v="13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0"/>
    <d v="2025-11-12T15:00:00"/>
    <s v="0006119642_4900"/>
    <s v="Loading"/>
    <n v="467180"/>
    <s v="Primary flows"/>
    <s v="LKW WALTER FOR SN 3PO"/>
    <m/>
    <m/>
    <s v="No"/>
    <s v="NL Haps DC (DSV)"/>
    <s v="ALZE - DE Alzenau"/>
    <n v="33"/>
    <n v="0"/>
    <n v="0"/>
    <n v="0"/>
    <s v="1  01"/>
    <x v="1"/>
    <m/>
    <s v="13/11/2025 10:00-10:00"/>
    <m/>
    <n v="0"/>
    <m/>
    <s v="No"/>
    <s v="Shipped/Received"/>
    <s v="Direct"/>
    <m/>
    <m/>
    <m/>
    <s v="HAPSDCDE20251112-01"/>
    <m/>
    <m/>
    <s v="No"/>
    <n v="5019392680"/>
    <m/>
    <m/>
    <m/>
  </r>
  <r>
    <x v="0"/>
    <x v="1"/>
    <x v="6"/>
    <x v="30"/>
    <d v="2025-11-12T15:00:00"/>
    <s v="0006134006_4900"/>
    <s v="Loading"/>
    <s v="472636 / 472635 / 472634 / 472633"/>
    <s v="Primary flows / Primary flows / Primary flows / Primary flows"/>
    <s v="GEFCO FOR SN 3PO"/>
    <m/>
    <m/>
    <s v="No"/>
    <s v="NL Haps DC (DSV)"/>
    <s v="ZAGR - HR Zagreb / LJUB - SI Ljubljana / LJUB - SI Ljubljana / LJUB - SI Ljubljana"/>
    <n v="32"/>
    <n v="0"/>
    <n v="0"/>
    <n v="0"/>
    <s v="1  01"/>
    <x v="0"/>
    <m/>
    <s v="14/11/2025 15:00-15:00 / 13/11/2025 16:00-16:00"/>
    <s v="NM-HR-682"/>
    <n v="0"/>
    <m/>
    <s v="No"/>
    <s v="Shipped/Received"/>
    <s v="Direct"/>
    <s v=" /  /  / "/>
    <s v=" /  /  / "/>
    <m/>
    <s v="HAPSDCBG20251112-01 / HAPSDCBG20251112-01 / HAPSDCBG20251112-01 / HAPSDCBG20251112-01"/>
    <m/>
    <m/>
    <s v="No"/>
    <s v="5019375832 / 5019393847 / 5019355262 / 5019350000"/>
    <s v="NM-KR-088 "/>
    <s v="Alen Demirovi?"/>
    <m/>
  </r>
  <r>
    <x v="0"/>
    <x v="1"/>
    <x v="6"/>
    <x v="30"/>
    <d v="2025-11-12T16:00:00"/>
    <s v="0006119700_4900"/>
    <s v="Loading"/>
    <n v="467232"/>
    <s v="Primary flows"/>
    <s v="P AND O FOR SN 3PO"/>
    <m/>
    <m/>
    <s v="No"/>
    <s v="NL Haps DC (DSV)"/>
    <s v="TAMP - FI Tampere"/>
    <n v="33"/>
    <n v="0"/>
    <n v="0"/>
    <n v="0"/>
    <s v="1  01"/>
    <x v="1"/>
    <m/>
    <s v="18/11/2025 12:00-12:00"/>
    <m/>
    <n v="0"/>
    <m/>
    <s v="No"/>
    <s v="Shipped/Received"/>
    <s v="Direct"/>
    <m/>
    <m/>
    <m/>
    <s v="HAPSDCFI20251114-01"/>
    <m/>
    <m/>
    <s v="No"/>
    <n v="5019375613"/>
    <m/>
    <m/>
    <m/>
  </r>
  <r>
    <x v="0"/>
    <x v="1"/>
    <x v="6"/>
    <x v="30"/>
    <d v="2025-11-12T16:00:00"/>
    <s v="383145_OOS"/>
    <s v="Loading"/>
    <s v="Scrap Denkavit - ROAD_OOS"/>
    <s v="Aval non piloté_EN"/>
    <s v="Denkavit"/>
    <m/>
    <m/>
    <s v="No"/>
    <s v="NL Haps DC (DSV)"/>
    <s v="OOS_OUT - Delivery OOS"/>
    <n v="28"/>
    <n v="0"/>
    <n v="0"/>
    <n v="0"/>
    <s v="90014991 (PO 17294717)"/>
    <x v="0"/>
    <m/>
    <s v="13/11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1"/>
    <x v="6"/>
    <x v="30"/>
    <d v="2025-11-12T16:00:00"/>
    <s v="382162_OOS"/>
    <s v="Loading"/>
    <s v="Scrap Kwaliflex - ROAD_OOS"/>
    <s v="Aval non piloté_EN"/>
    <s v="Kwaliflex"/>
    <m/>
    <m/>
    <s v="No"/>
    <s v="NL Haps DC (DSV)"/>
    <s v="OOS_OUT - Delivery OOS"/>
    <n v="33"/>
    <n v="0"/>
    <n v="0"/>
    <n v="0"/>
    <n v="90030309"/>
    <x v="0"/>
    <m/>
    <s v="13/11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1"/>
    <x v="6"/>
    <x v="30"/>
    <d v="2025-11-12T16:00:00"/>
    <s v="0006119643_4900"/>
    <s v="Loading"/>
    <n v="467181"/>
    <s v="Primary flows"/>
    <s v="LKW WALTER FOR SN 3PO"/>
    <m/>
    <m/>
    <s v="No"/>
    <s v="NL Haps DC (DSV)"/>
    <s v="ALZE - DE Alzenau"/>
    <n v="33"/>
    <n v="0"/>
    <n v="0"/>
    <n v="0"/>
    <s v="1  01"/>
    <x v="1"/>
    <m/>
    <s v="13/11/2025 10:00-10:00"/>
    <m/>
    <n v="0"/>
    <m/>
    <s v="No"/>
    <s v="Shipped/Received"/>
    <s v="Direct"/>
    <m/>
    <m/>
    <m/>
    <s v="HAPSDCDE20251112-02"/>
    <m/>
    <m/>
    <s v="No"/>
    <n v="5019378939"/>
    <m/>
    <m/>
    <m/>
  </r>
  <r>
    <x v="0"/>
    <x v="1"/>
    <x v="6"/>
    <x v="30"/>
    <d v="2025-11-12T17:00:00"/>
    <s v="0006119649_4900"/>
    <s v="Loading"/>
    <n v="467171"/>
    <s v="Primary flows"/>
    <s v="ECS FOR SN 3PO"/>
    <m/>
    <m/>
    <s v="No"/>
    <s v="NL Haps DC (DSV)"/>
    <s v="MOUS - FR Moussy-Le-Neuf"/>
    <n v="33"/>
    <n v="0"/>
    <n v="0"/>
    <n v="0"/>
    <s v="1  01"/>
    <x v="1"/>
    <m/>
    <s v="13/11/2025 13:30-13:30"/>
    <m/>
    <n v="0"/>
    <m/>
    <s v="No"/>
    <s v="Shipped/Received"/>
    <s v="Direct"/>
    <m/>
    <m/>
    <m/>
    <s v="HAPSDCFR20251112-03"/>
    <m/>
    <m/>
    <s v="No"/>
    <n v="5019394920"/>
    <m/>
    <m/>
    <m/>
  </r>
  <r>
    <x v="0"/>
    <x v="1"/>
    <x v="6"/>
    <x v="30"/>
    <d v="2025-11-12T17:00:00"/>
    <s v="0006119650_4900"/>
    <s v="Loading"/>
    <s v="467155 / 467156"/>
    <s v="Primary flows / Primary flows"/>
    <s v="KREISS FOR SN 3PO"/>
    <m/>
    <m/>
    <s v="No"/>
    <s v="NL Haps DC (DSV)"/>
    <s v="BUDA - HU Budapest (BILK Logisztikai) / BRAT - SK Bratislava"/>
    <n v="66"/>
    <n v="0"/>
    <n v="0"/>
    <n v="0"/>
    <s v="1  01"/>
    <x v="1"/>
    <m/>
    <s v="17/11/2025 09:00-09:00 / 14/11/2025 12:00-12:00"/>
    <m/>
    <n v="0"/>
    <m/>
    <s v="No"/>
    <s v="Shipped/Received"/>
    <s v="Direct"/>
    <s v=" / "/>
    <s v=" / "/>
    <m/>
    <s v="HAPSDCHU20251112-01 / HAPSDCHU20251112-01"/>
    <m/>
    <m/>
    <s v="No"/>
    <s v="5019364475 / 5019372979"/>
    <m/>
    <m/>
    <m/>
  </r>
  <r>
    <x v="0"/>
    <x v="1"/>
    <x v="6"/>
    <x v="30"/>
    <d v="2025-11-12T18:00:00"/>
    <s v="0006128905_4900"/>
    <s v="Loading"/>
    <n v="470604"/>
    <s v="Primary flows"/>
    <s v="LKW WALTER FOR SN 3PO"/>
    <m/>
    <m/>
    <s v="No"/>
    <s v="NL Haps DC (DSV)"/>
    <s v="PETR - RO Petresti"/>
    <n v="33"/>
    <n v="0"/>
    <n v="0"/>
    <n v="0"/>
    <s v="1  01"/>
    <x v="1"/>
    <m/>
    <s v="19/11/2025 12:00-12:00"/>
    <m/>
    <n v="0"/>
    <m/>
    <s v="No"/>
    <s v="Shipped/Received"/>
    <s v="Direct"/>
    <m/>
    <m/>
    <m/>
    <s v="UIT: 7E7U824201730172"/>
    <m/>
    <m/>
    <s v="No"/>
    <n v="5019365935"/>
    <m/>
    <m/>
    <m/>
  </r>
  <r>
    <x v="0"/>
    <x v="1"/>
    <x v="6"/>
    <x v="30"/>
    <d v="2025-11-12T18:00:00"/>
    <s v="0006129241_4900"/>
    <s v="Loading"/>
    <n v="470857"/>
    <s v="Primary flows"/>
    <s v="GIRTEKA FOR SN 3PO"/>
    <m/>
    <m/>
    <s v="No"/>
    <s v="NL Haps DC (DSV)"/>
    <s v="GRAB - PL Grabica"/>
    <n v="33"/>
    <n v="0"/>
    <n v="0"/>
    <n v="0"/>
    <s v="1  01"/>
    <x v="1"/>
    <m/>
    <s v="14/11/2025 11:00-11:00"/>
    <s v="PZ_4U268"/>
    <n v="0"/>
    <m/>
    <s v="No"/>
    <s v="Shipped/Received"/>
    <s v="Direct"/>
    <m/>
    <m/>
    <m/>
    <s v="HAPSDCPL20251112-03"/>
    <m/>
    <m/>
    <s v="No"/>
    <n v="5019384784"/>
    <s v="MOS_359"/>
    <s v="Kostiantyn Ponomarenko"/>
    <m/>
  </r>
  <r>
    <x v="0"/>
    <x v="1"/>
    <x v="6"/>
    <x v="30"/>
    <d v="2025-11-12T19:00:00"/>
    <s v="0006119640_4900"/>
    <s v="Loading"/>
    <s v="472542 / 472541 / 467160"/>
    <s v="Primary flows / Primary flows / Primary flows"/>
    <s v="GIRTEKA FOR SN 3PO HVO"/>
    <m/>
    <m/>
    <s v="No"/>
    <s v="NL Haps DC (DSV)"/>
    <s v="PUCH - AT Puch / PUCH - AT Puch / PUCH - AT Puch"/>
    <n v="99"/>
    <n v="0"/>
    <n v="0"/>
    <n v="0"/>
    <s v="1  01"/>
    <x v="1"/>
    <m/>
    <s v="14/11/2025 07:00-07:00"/>
    <m/>
    <n v="0"/>
    <m/>
    <s v="No"/>
    <s v="Shipped/Received"/>
    <s v="Direct"/>
    <s v=" /  / "/>
    <s v=" /  / "/>
    <m/>
    <s v="HAPSDCAT20251112-01 / HAPSDCAT20251112-01 / HAPSDCAT20251112-01"/>
    <m/>
    <m/>
    <s v="No"/>
    <s v="5019394160 / 5019373119 / 5019373118"/>
    <m/>
    <m/>
    <m/>
  </r>
  <r>
    <x v="0"/>
    <x v="1"/>
    <x v="6"/>
    <x v="30"/>
    <d v="2025-11-12T20:00:00"/>
    <s v="0006119655_4900"/>
    <s v="Loading"/>
    <n v="467186"/>
    <s v="Primary flows"/>
    <s v="MIERZWA FOR SN 3PO"/>
    <m/>
    <m/>
    <s v="No"/>
    <s v="NL Haps DC (DSV)"/>
    <s v="GRAB - PL Grabica"/>
    <n v="33"/>
    <n v="0"/>
    <n v="0"/>
    <n v="0"/>
    <s v="1  01"/>
    <x v="1"/>
    <m/>
    <s v="14/11/2025 21:00-21:00"/>
    <s v="KRA8993P"/>
    <n v="0"/>
    <m/>
    <s v="No"/>
    <s v="Shipped/Received"/>
    <s v="Direct"/>
    <m/>
    <m/>
    <m/>
    <s v="HAPSDCPL20251112-02"/>
    <m/>
    <m/>
    <s v="No"/>
    <n v="5019387894"/>
    <s v="KRA669EA"/>
    <s v="Szymon Kegler"/>
    <m/>
  </r>
  <r>
    <x v="0"/>
    <x v="1"/>
    <x v="6"/>
    <x v="31"/>
    <d v="2025-11-13T06:00:00"/>
    <s v="375506_OOS"/>
    <s v="Loading"/>
    <s v="CN-SEA-6105664_OOS"/>
    <s v="Aval non piloté_EN"/>
    <s v="MAERSK - Control Tower"/>
    <m/>
    <m/>
    <s v="No"/>
    <s v="NL Haps DC (DSV)"/>
    <s v="OOS_OUT - Delivery OOS"/>
    <n v="20"/>
    <n v="0"/>
    <n v="0"/>
    <n v="0"/>
    <n v="5019282271"/>
    <x v="0"/>
    <m/>
    <s v="14/11/2025 00:03-00:03"/>
    <m/>
    <n v="0"/>
    <m/>
    <s v="No"/>
    <s v="Shipped/Received"/>
    <s v="Direct"/>
    <m/>
    <m/>
    <s v="3POeuropect@lns.maersk.com"/>
    <m/>
    <m/>
    <m/>
    <s v="No"/>
    <s v="&amp;nbsp"/>
    <m/>
    <m/>
    <n v="260954894"/>
  </r>
  <r>
    <x v="0"/>
    <x v="1"/>
    <x v="6"/>
    <x v="31"/>
    <d v="2025-11-13T06:00:00"/>
    <s v="0006127484_4900"/>
    <s v="Loading"/>
    <n v="470147"/>
    <s v="Primary flows"/>
    <s v="SAMSKIP FOR SN 3PO"/>
    <m/>
    <m/>
    <s v="No"/>
    <s v="NL Haps DC (DSV)"/>
    <s v="REDD - GB Redditch"/>
    <n v="33"/>
    <n v="0"/>
    <n v="0"/>
    <n v="0"/>
    <s v="1  01"/>
    <x v="1"/>
    <m/>
    <s v="24/11/2025 18:00-18:00"/>
    <m/>
    <n v="0"/>
    <m/>
    <s v="No"/>
    <s v="Shipped/Received"/>
    <s v="Direct"/>
    <m/>
    <m/>
    <m/>
    <s v="HAPSDCUK20251113-04"/>
    <m/>
    <m/>
    <s v="No"/>
    <n v="5019376113"/>
    <m/>
    <m/>
    <m/>
  </r>
  <r>
    <x v="0"/>
    <x v="1"/>
    <x v="6"/>
    <x v="31"/>
    <d v="2025-11-13T07:00:00"/>
    <s v="0006127482_4900"/>
    <s v="Loading"/>
    <n v="470142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23:00-23:00"/>
    <m/>
    <n v="0"/>
    <m/>
    <s v="No"/>
    <s v="Shipped/Received"/>
    <s v="Direct"/>
    <m/>
    <m/>
    <m/>
    <s v="HAPSDCUK20251113-02"/>
    <m/>
    <m/>
    <s v="No"/>
    <n v="5019391924"/>
    <m/>
    <m/>
    <m/>
  </r>
  <r>
    <x v="0"/>
    <x v="1"/>
    <x v="6"/>
    <x v="31"/>
    <d v="2025-11-13T07:00:00"/>
    <s v="383585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409482"/>
    <x v="2"/>
    <m/>
    <s v="14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08:00:00"/>
    <s v="375504_OOS"/>
    <s v="Loading"/>
    <s v="CN-SEA-6105662_OOS"/>
    <s v="Aval non piloté_EN"/>
    <s v="MAERSK - Control Tower"/>
    <m/>
    <m/>
    <s v="No"/>
    <s v="NL Haps DC (DSV)"/>
    <s v="OOS_OUT - Delivery OOS"/>
    <n v="20"/>
    <n v="0"/>
    <n v="0"/>
    <n v="0"/>
    <n v="5019297643"/>
    <x v="0"/>
    <m/>
    <s v="14/11/2025 00:02-00:02"/>
    <m/>
    <n v="0"/>
    <m/>
    <s v="No"/>
    <s v="Shipped/Received"/>
    <s v="Direct"/>
    <m/>
    <m/>
    <s v="3POeuropect@lns.maersk.com"/>
    <m/>
    <m/>
    <m/>
    <s v="No"/>
    <s v="&amp;nbsp"/>
    <m/>
    <m/>
    <n v="260954894"/>
  </r>
  <r>
    <x v="0"/>
    <x v="1"/>
    <x v="6"/>
    <x v="31"/>
    <d v="2025-11-13T08:00:00"/>
    <s v="380949_OOS"/>
    <s v="Loading"/>
    <s v="CN-AIR_OOS"/>
    <s v="Aval non piloté_EN"/>
    <s v="KERRY LOGISTICS"/>
    <m/>
    <m/>
    <s v="No"/>
    <s v="NL Haps DC (DSV)"/>
    <s v="OOS_OUT - Delivery OOS"/>
    <n v="13"/>
    <n v="0"/>
    <n v="0"/>
    <n v="0"/>
    <s v="CN 5019378329 (13PL)"/>
    <x v="0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08:00:00"/>
    <s v="383554_OOS"/>
    <s v="Loading"/>
    <s v="DSV-ZTM_OOS"/>
    <s v="Aval non piloté_EN"/>
    <s v="Koopman Cargo B.V."/>
    <m/>
    <m/>
    <s v="No"/>
    <s v="NL Haps DC (DSV)"/>
    <s v="OOS_OUT - Delivery OOS"/>
    <n v="23"/>
    <n v="0"/>
    <n v="0"/>
    <n v="0"/>
    <s v="4505828722 &amp; 5019406251 LZV"/>
    <x v="1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09:00:00"/>
    <s v="375105_OOS"/>
    <s v="Loading"/>
    <s v="AU-SEA-6105619_OOS"/>
    <s v="Aval non piloté_EN"/>
    <s v="MAERSK - Control Tower"/>
    <m/>
    <m/>
    <s v="No"/>
    <s v="NL Haps DC (DSV)"/>
    <s v="OOS_OUT - Delivery OOS"/>
    <n v="20"/>
    <n v="0"/>
    <n v="0"/>
    <n v="0"/>
    <n v="5019338403"/>
    <x v="0"/>
    <m/>
    <s v="14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0900831"/>
  </r>
  <r>
    <x v="0"/>
    <x v="1"/>
    <x v="6"/>
    <x v="31"/>
    <d v="2025-11-13T09:00:00"/>
    <s v="375505_OOS"/>
    <s v="Loading"/>
    <s v="CN-SEA-6105663_OOS"/>
    <s v="Aval non piloté_EN"/>
    <s v="MAERSK - Control Tower"/>
    <m/>
    <m/>
    <s v="No"/>
    <s v="NL Haps DC (DSV)"/>
    <s v="OOS_OUT - Delivery OOS"/>
    <n v="20"/>
    <n v="0"/>
    <n v="0"/>
    <n v="0"/>
    <n v="5019270155"/>
    <x v="0"/>
    <m/>
    <s v="14/11/2025 00:02-00:02"/>
    <m/>
    <n v="0"/>
    <m/>
    <s v="No"/>
    <s v="Shipped/Received"/>
    <s v="Direct"/>
    <m/>
    <m/>
    <s v="3POeuropect@lns.maersk.com"/>
    <m/>
    <m/>
    <m/>
    <s v="No"/>
    <s v="&amp;nbsp"/>
    <m/>
    <m/>
    <n v="260954894"/>
  </r>
  <r>
    <x v="0"/>
    <x v="1"/>
    <x v="6"/>
    <x v="31"/>
    <d v="2025-11-13T10:00:00"/>
    <s v="378237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77066"/>
    <x v="0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0:00:00"/>
    <s v="378238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77067"/>
    <x v="0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0:00:00"/>
    <s v="0006119686_4900"/>
    <s v="Loading"/>
    <n v="467216"/>
    <s v="Primary flows"/>
    <s v="SAMSKIP FOR SN 3PO"/>
    <m/>
    <m/>
    <s v="No"/>
    <s v="NL Haps DC (DSV)"/>
    <s v="VEST - NO Vestby Leman"/>
    <n v="33"/>
    <n v="0"/>
    <n v="0"/>
    <n v="0"/>
    <s v="1  01"/>
    <x v="1"/>
    <m/>
    <s v="20/11/2025 15:00-15:00"/>
    <m/>
    <n v="0"/>
    <m/>
    <s v="No"/>
    <s v="Shipped/Received"/>
    <s v="Direct"/>
    <m/>
    <m/>
    <m/>
    <s v="HAPSDCNO20251113-01"/>
    <m/>
    <m/>
    <s v="No"/>
    <n v="5019387867"/>
    <m/>
    <m/>
    <m/>
  </r>
  <r>
    <x v="0"/>
    <x v="1"/>
    <x v="6"/>
    <x v="31"/>
    <d v="2025-11-13T10:00:00"/>
    <s v="380557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334607 5019334583 5019335390 5019339876"/>
    <x v="0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1:00:00"/>
    <s v="383206_OOS"/>
    <s v="Loading"/>
    <s v="AIR - EC_OOS / AIR - MX_OOS / AIR - KR_OOS"/>
    <s v="Aval non piloté_EN / Aval non piloté_EN / Aval non piloté_EN"/>
    <s v="GEODIS"/>
    <m/>
    <m/>
    <s v="No"/>
    <s v="NL Haps DC (DSV)"/>
    <s v="OOS_OUT - Delivery OOS / OOS_OUT - Delivery OOS / OOS_OUT - Delivery OOS"/>
    <n v="19"/>
    <n v="0"/>
    <n v="0"/>
    <n v="0"/>
    <s v="5019306730 (6 PLT) EC 5019319181 (3 PLT) MX"/>
    <x v="0"/>
    <m/>
    <s v="14/11/2025 12:00-12:00"/>
    <m/>
    <n v="0"/>
    <m/>
    <s v="No"/>
    <s v="Shipped/Received"/>
    <s v="Direct"/>
    <s v=" /  / "/>
    <s v=" /  / "/>
    <s v="tom.bloos@geodis.com"/>
    <s v=" /  / "/>
    <m/>
    <m/>
    <s v="No"/>
    <s v="&amp;nbsp"/>
    <s v=" / &amp;nbsp"/>
    <s v=" / &amp;nbsp"/>
    <m/>
  </r>
  <r>
    <x v="0"/>
    <x v="1"/>
    <x v="6"/>
    <x v="31"/>
    <d v="2025-11-13T11:00:00"/>
    <s v="383140_OOS"/>
    <s v="Loading"/>
    <s v="CN-AIR_OOS"/>
    <s v="Aval non piloté_EN"/>
    <s v="GEODIS"/>
    <m/>
    <m/>
    <s v="No"/>
    <s v="NL Haps DC (DSV)"/>
    <s v="OOS_OUT - Delivery OOS"/>
    <n v="4"/>
    <n v="0"/>
    <n v="0"/>
    <n v="0"/>
    <s v="CN 5019397206"/>
    <x v="2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1:00:00"/>
    <s v="380558_OOS"/>
    <s v="Loading"/>
    <s v="MEA-SEA_OOS"/>
    <s v="Aval non piloté_EN"/>
    <s v="KERRY LOGISTICS"/>
    <m/>
    <m/>
    <s v="No"/>
    <s v="NL Haps DC (DSV)"/>
    <s v="OOS_OUT - Delivery OOS"/>
    <n v="23"/>
    <n v="0"/>
    <n v="0"/>
    <n v="0"/>
    <s v="MEA 5019327196"/>
    <x v="0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1:00:00"/>
    <s v="378240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77069"/>
    <x v="0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1:00:00"/>
    <s v="378239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77068"/>
    <x v="0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2:00:00"/>
    <s v="375106_OOS"/>
    <s v="Loading"/>
    <s v="AU-SEA-6105620_OOS"/>
    <s v="Aval non piloté_EN"/>
    <s v="MAERSK - Control Tower"/>
    <m/>
    <m/>
    <s v="No"/>
    <s v="NL Haps DC (DSV)"/>
    <s v="OOS_OUT - Delivery OOS"/>
    <n v="20"/>
    <n v="0"/>
    <n v="0"/>
    <n v="0"/>
    <n v="5019334655"/>
    <x v="0"/>
    <m/>
    <s v="14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0900831"/>
  </r>
  <r>
    <x v="0"/>
    <x v="1"/>
    <x v="6"/>
    <x v="31"/>
    <d v="2025-11-13T12:00:00"/>
    <s v="378845_OOS"/>
    <s v="Loading"/>
    <s v="TR-ROAD_OOS"/>
    <s v="Aval non piloté_EN"/>
    <s v="Intercombi"/>
    <m/>
    <m/>
    <s v="No"/>
    <s v="NL Haps DC (DSV)"/>
    <s v="OOS_OUT - Delivery OOS"/>
    <n v="33"/>
    <n v="0"/>
    <n v="0"/>
    <n v="0"/>
    <s v="5019351302 + 5019351303"/>
    <x v="0"/>
    <m/>
    <s v="14/11/2025 12:00-12:00"/>
    <m/>
    <n v="0"/>
    <m/>
    <s v="No"/>
    <s v="Shipped/Received"/>
    <s v="Direct"/>
    <m/>
    <m/>
    <s v="sevval.sakaoglu@intercombi.com"/>
    <m/>
    <m/>
    <m/>
    <s v="No"/>
    <s v="&amp;nbsp"/>
    <m/>
    <m/>
    <m/>
  </r>
  <r>
    <x v="0"/>
    <x v="1"/>
    <x v="6"/>
    <x v="31"/>
    <d v="2025-11-13T12:00:00"/>
    <s v="0006119689_4900"/>
    <s v="Loading"/>
    <s v="472706 / 467214"/>
    <s v="Primary flows / Primary flows"/>
    <s v="GIRTEKA FOR SN 3PO"/>
    <m/>
    <m/>
    <s v="No"/>
    <s v="NL Haps DC (DSV)"/>
    <s v="AZA2 - PT Azambuja Ambient / AZA2 - PT Azambuja Ambient"/>
    <n v="66"/>
    <n v="0"/>
    <n v="0"/>
    <n v="0"/>
    <s v="1  01"/>
    <x v="1"/>
    <m/>
    <s v="17/11/2025 12:00-12:00"/>
    <m/>
    <n v="0"/>
    <m/>
    <s v="No"/>
    <s v="Shipped/Received"/>
    <s v="Direct"/>
    <s v=" / "/>
    <s v=" / "/>
    <m/>
    <s v="HAPSDCPT20251113-02 / HAPSDCPT20251113-02"/>
    <m/>
    <m/>
    <s v="No"/>
    <s v="5019376395 / 5019392331"/>
    <m/>
    <m/>
    <m/>
  </r>
  <r>
    <x v="0"/>
    <x v="1"/>
    <x v="6"/>
    <x v="31"/>
    <d v="2025-11-13T13:00:00"/>
    <s v="375107_OOS"/>
    <s v="Loading"/>
    <s v="AU-SEA-6105651_OOS"/>
    <s v="Aval non piloté_EN"/>
    <s v="MAERSK - Control Tower"/>
    <m/>
    <m/>
    <s v="No"/>
    <s v="NL Haps DC (DSV)"/>
    <s v="OOS_OUT - Delivery OOS"/>
    <n v="20"/>
    <n v="0"/>
    <n v="0"/>
    <n v="0"/>
    <n v="5019333741"/>
    <x v="0"/>
    <m/>
    <s v="14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0900831"/>
  </r>
  <r>
    <x v="0"/>
    <x v="1"/>
    <x v="6"/>
    <x v="31"/>
    <d v="2025-11-13T13:00:00"/>
    <s v="383438_OOS"/>
    <s v="Loading"/>
    <s v="IL-AIR_OOS"/>
    <s v="Aval non piloté_EN"/>
    <s v="EXW"/>
    <m/>
    <m/>
    <s v="No"/>
    <s v="NL Haps DC (DSV)"/>
    <s v="OOS_OUT - Delivery OOS"/>
    <n v="1"/>
    <n v="0"/>
    <n v="0"/>
    <n v="0"/>
    <n v="5019330715"/>
    <x v="0"/>
    <m/>
    <s v="14/11/2025 12:00-12:00"/>
    <m/>
    <n v="0"/>
    <m/>
    <s v="No"/>
    <s v="Shipped/Received"/>
    <s v="Direct"/>
    <m/>
    <m/>
    <s v="lggdsexp.log@challenge-group.com"/>
    <m/>
    <m/>
    <m/>
    <s v="No"/>
    <s v="&amp;nbsp"/>
    <m/>
    <s v="EL8H133"/>
    <s v="Grzegorz Parnowski"/>
  </r>
  <r>
    <x v="0"/>
    <x v="1"/>
    <x v="6"/>
    <x v="31"/>
    <d v="2025-11-13T13:00:00"/>
    <s v="379493_OOS"/>
    <s v="Loading"/>
    <s v="CO-SEA-6087540_OOS"/>
    <s v="Aval non piloté_EN"/>
    <s v="Maersk - Control Tower"/>
    <m/>
    <m/>
    <s v="No"/>
    <s v="NL Haps DC (DSV)"/>
    <s v="OOS_OUT - Delivery OOS"/>
    <n v="20"/>
    <n v="0"/>
    <n v="0"/>
    <n v="0"/>
    <n v="5019289067"/>
    <x v="0"/>
    <m/>
    <s v="14/11/2025 00:02-00:02"/>
    <m/>
    <n v="0"/>
    <m/>
    <s v="No"/>
    <s v="Shipped/Received"/>
    <s v="Direct"/>
    <m/>
    <m/>
    <s v="nutricia.ct.eu@lns.maersk.com"/>
    <m/>
    <m/>
    <m/>
    <s v="No"/>
    <s v="&amp;nbsp"/>
    <m/>
    <m/>
    <n v="92463535"/>
  </r>
  <r>
    <x v="0"/>
    <x v="1"/>
    <x v="6"/>
    <x v="31"/>
    <d v="2025-11-13T13:00:00"/>
    <s v="0006127481_4900"/>
    <s v="Loading"/>
    <n v="470149"/>
    <s v="Primary flows"/>
    <s v="LKW WALTER FOR SN 3PO"/>
    <m/>
    <m/>
    <s v="No"/>
    <s v="NL Haps DC (DSV)"/>
    <s v="REDD - GB Redditch"/>
    <n v="33"/>
    <n v="0"/>
    <n v="0"/>
    <n v="0"/>
    <s v="1  01"/>
    <x v="1"/>
    <m/>
    <s v="17/11/2025 10:00-10:00"/>
    <m/>
    <n v="0"/>
    <m/>
    <s v="No"/>
    <s v="Shipped/Received"/>
    <s v="Direct"/>
    <m/>
    <m/>
    <m/>
    <s v="HAPSDCUK20251113-01"/>
    <m/>
    <m/>
    <s v="No"/>
    <n v="5019393641"/>
    <m/>
    <m/>
    <m/>
  </r>
  <r>
    <x v="0"/>
    <x v="1"/>
    <x v="6"/>
    <x v="31"/>
    <d v="2025-11-13T14:00:00"/>
    <s v="370430_OOS"/>
    <s v="Loading"/>
    <s v="CO-SEA-6087541_OOS"/>
    <s v="Aval non piloté_EN"/>
    <s v="Maersk - Control Tower"/>
    <m/>
    <m/>
    <s v="No"/>
    <s v="NL Haps DC (DSV)"/>
    <s v="OOS_OUT - Delivery OOS"/>
    <n v="20"/>
    <n v="0"/>
    <n v="0"/>
    <n v="0"/>
    <n v="5019301751"/>
    <x v="0"/>
    <m/>
    <s v="14/11/2025 00:02-00:02"/>
    <m/>
    <n v="0"/>
    <m/>
    <s v="No"/>
    <s v="Shipped/Received"/>
    <s v="Direct"/>
    <m/>
    <m/>
    <s v="nutricia.ct.eu@lns.maersk.com"/>
    <m/>
    <m/>
    <m/>
    <s v="No"/>
    <s v="&amp;nbsp"/>
    <m/>
    <m/>
    <n v="92463535"/>
  </r>
  <r>
    <x v="0"/>
    <x v="1"/>
    <x v="6"/>
    <x v="31"/>
    <d v="2025-11-13T14:00:00"/>
    <s v="383061_OOS"/>
    <s v="Loading"/>
    <s v="AIR - CN_OOS"/>
    <s v="Aval non piloté_EN"/>
    <s v="GEODIS"/>
    <m/>
    <m/>
    <s v="No"/>
    <s v="NL Haps DC (DSV)"/>
    <s v="OOS_OUT - Delivery OOS"/>
    <n v="5"/>
    <n v="0"/>
    <n v="0"/>
    <n v="0"/>
    <n v="5019337112"/>
    <x v="0"/>
    <m/>
    <s v="14/11/2025 12:00-12:00"/>
    <m/>
    <n v="0"/>
    <m/>
    <s v="No"/>
    <s v="Shipped/Received"/>
    <s v="Direct"/>
    <m/>
    <m/>
    <s v="tom.bloos@geodis.com"/>
    <m/>
    <m/>
    <m/>
    <s v="No"/>
    <s v="&amp;nbsp"/>
    <m/>
    <m/>
    <m/>
  </r>
  <r>
    <x v="0"/>
    <x v="1"/>
    <x v="6"/>
    <x v="31"/>
    <d v="2025-11-13T14:00:00"/>
    <s v="0006132801_4900"/>
    <s v="Loading"/>
    <n v="472250"/>
    <s v="Primary flows"/>
    <s v="PIOMAR FOR SN 3PO"/>
    <m/>
    <m/>
    <s v="No"/>
    <s v="NL Haps DC (DSV)"/>
    <s v="GRAB - PL Grabica"/>
    <n v="33"/>
    <n v="0"/>
    <n v="0"/>
    <n v="0"/>
    <s v="1  01"/>
    <x v="1"/>
    <m/>
    <s v="18/11/2025 23:00-23:00"/>
    <s v="OP2334K"/>
    <n v="0"/>
    <m/>
    <s v="No"/>
    <s v="Shipped/Received"/>
    <s v="Direct"/>
    <m/>
    <m/>
    <m/>
    <s v="HAPSDCPL20251113-03"/>
    <m/>
    <m/>
    <s v="No"/>
    <n v="5019390736"/>
    <s v="OKR51V7"/>
    <s v="HUSAKOWSKI RYSZARD"/>
    <m/>
  </r>
  <r>
    <x v="0"/>
    <x v="1"/>
    <x v="6"/>
    <x v="31"/>
    <d v="2025-11-13T14:00:00"/>
    <s v="383198_OOS"/>
    <s v="Loading"/>
    <s v="MEA-AIR_OOS"/>
    <s v="Aval non piloté_EN"/>
    <s v="KERRY LOGISTICS"/>
    <m/>
    <m/>
    <s v="No"/>
    <s v="NL Haps DC (DSV)"/>
    <s v="OOS_OUT - Delivery OOS"/>
    <n v="10"/>
    <n v="0"/>
    <n v="0"/>
    <n v="0"/>
    <s v="MEA 5019393045"/>
    <x v="2"/>
    <m/>
    <s v="14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5:00:00"/>
    <s v="383405_OOS"/>
    <s v="Loading"/>
    <s v="CO - AIR_OOS"/>
    <s v="Aval non piloté_EN"/>
    <s v="JAS"/>
    <m/>
    <m/>
    <m/>
    <s v="NL Haps DC (DSV)"/>
    <s v="OOS_OUT - Delivery OOS"/>
    <n v="4"/>
    <n v="0"/>
    <n v="0"/>
    <n v="0"/>
    <s v="CO AIR 5019298146 5019313528 5019306716 5019344730"/>
    <x v="2"/>
    <m/>
    <s v="14/11/2025 15:00-15:00"/>
    <m/>
    <n v="0"/>
    <m/>
    <s v="No"/>
    <m/>
    <s v="Direct"/>
    <m/>
    <m/>
    <s v="NLAMS-Export-Air@jas.com"/>
    <m/>
    <m/>
    <m/>
    <s v="No"/>
    <s v="&amp;nbsp"/>
    <m/>
    <m/>
    <m/>
  </r>
  <r>
    <x v="0"/>
    <x v="1"/>
    <x v="6"/>
    <x v="31"/>
    <d v="2025-11-13T15:00:00"/>
    <s v="380948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75755 - 22P [BLOCK]"/>
    <x v="0"/>
    <m/>
    <s v="14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5:00:00"/>
    <s v="378846_OOS"/>
    <s v="Loading"/>
    <s v="UA-ROAD_OOS"/>
    <s v="Aval non piloté_EN"/>
    <s v="SCANTEK LTD"/>
    <m/>
    <m/>
    <s v="No"/>
    <s v="NL Haps DC (DSV)"/>
    <s v="OOS_OUT - Delivery OOS"/>
    <n v="20"/>
    <n v="0"/>
    <n v="0"/>
    <n v="0"/>
    <s v="5019237659 + 5019325639 + 5019346828"/>
    <x v="1"/>
    <m/>
    <s v="14/11/2025 12:00-12:00"/>
    <m/>
    <n v="0"/>
    <m/>
    <s v="No"/>
    <s v="Shipped/Received"/>
    <s v="Direct"/>
    <m/>
    <m/>
    <s v="olha.pakon@danone.com"/>
    <m/>
    <m/>
    <m/>
    <s v="No"/>
    <s v="&amp;nbsp"/>
    <m/>
    <m/>
    <m/>
  </r>
  <r>
    <x v="0"/>
    <x v="1"/>
    <x v="6"/>
    <x v="31"/>
    <d v="2025-11-13T16:00:00"/>
    <s v="380950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55394 -22P [BLOCK]"/>
    <x v="0"/>
    <m/>
    <s v="14/11/2025 16:00-16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1"/>
    <d v="2025-11-13T16:00:00"/>
    <s v="0006132846_4900"/>
    <s v="Loading"/>
    <s v="472711 / 472282"/>
    <s v="Primary flows / Primary flows"/>
    <s v="MIERZWA FOR SN 3PO"/>
    <m/>
    <m/>
    <s v="No"/>
    <s v="NL Haps DC (DSV)"/>
    <s v="GRAB - PL Grabica / GRAB - PL Grabica"/>
    <n v="66"/>
    <n v="0"/>
    <n v="0"/>
    <n v="0"/>
    <s v="1  01"/>
    <x v="1"/>
    <m/>
    <s v="19/11/2025 08:00-08:00"/>
    <s v="KRA8995P"/>
    <n v="0"/>
    <m/>
    <s v="No"/>
    <s v="Shipped/Received"/>
    <s v="Direct"/>
    <s v=" / "/>
    <s v=" / "/>
    <m/>
    <s v="HAPSDCPL20251113-04 / HAPSDCPL20251113-04"/>
    <m/>
    <m/>
    <s v="No"/>
    <s v="5019381743 / 5019381745"/>
    <s v="KN1480K"/>
    <s v="Skrok Robert "/>
    <m/>
  </r>
  <r>
    <x v="0"/>
    <x v="1"/>
    <x v="6"/>
    <x v="31"/>
    <d v="2025-11-13T17:00:00"/>
    <s v="0006119646_4900"/>
    <s v="Loading"/>
    <s v="472707 / 467168"/>
    <s v="Primary flows / Primary flows"/>
    <s v="FERCAM AUSTRIA FOR SN 3PO"/>
    <m/>
    <m/>
    <s v="No"/>
    <s v="NL Haps DC (DSV)"/>
    <s v="CIE2 - ES Ciempozuelos SN / CIE2 - ES Ciempozuelos SN"/>
    <n v="66"/>
    <n v="0"/>
    <n v="0"/>
    <n v="0"/>
    <s v="1  01"/>
    <x v="1"/>
    <m/>
    <s v="17/11/2025 09:00-09:00"/>
    <m/>
    <n v="0"/>
    <m/>
    <s v="No"/>
    <s v="Shipped/Received"/>
    <s v="Direct"/>
    <s v=" / "/>
    <s v=" / "/>
    <m/>
    <s v="HAPSDCES20251112-01 / HAPSDCES20251112-01"/>
    <m/>
    <m/>
    <s v="No"/>
    <s v="5019392699 / 5019376397"/>
    <m/>
    <m/>
    <m/>
  </r>
  <r>
    <x v="0"/>
    <x v="1"/>
    <x v="6"/>
    <x v="31"/>
    <d v="2025-11-13T17:00:00"/>
    <s v="0006119659_4900"/>
    <s v="Loading"/>
    <s v="472708 / 467237"/>
    <s v="Primary flows / Primary flows"/>
    <s v="LKW WALTER FOR SN 3PO"/>
    <m/>
    <m/>
    <s v="No"/>
    <s v="NL Haps DC (DSV)"/>
    <s v="ALZE - DE Alzenau / ALZE - DE Alzenau"/>
    <n v="66"/>
    <n v="0"/>
    <n v="0"/>
    <n v="0"/>
    <s v="1  01"/>
    <x v="1"/>
    <m/>
    <s v="14/11/2025 10:00-10:00"/>
    <m/>
    <n v="0"/>
    <m/>
    <s v="No"/>
    <s v="Shipped/Received"/>
    <s v="Direct"/>
    <s v=" / "/>
    <s v=" / "/>
    <m/>
    <s v="HAPSDCDE20251113-03 / HAPSDCDE20251113-03"/>
    <m/>
    <m/>
    <s v="No"/>
    <s v="5019392681 / 5019391210"/>
    <m/>
    <m/>
    <m/>
  </r>
  <r>
    <x v="0"/>
    <x v="1"/>
    <x v="6"/>
    <x v="31"/>
    <d v="2025-11-13T18:00:00"/>
    <s v="0006119687_4900"/>
    <s v="Loading"/>
    <s v="472709 / 467218"/>
    <s v="Primary flows / Primary flows"/>
    <s v="MIERZWA FOR SN 3PO"/>
    <m/>
    <m/>
    <s v="No"/>
    <s v="NL Haps DC (DSV)"/>
    <s v="GRAB - PL Grabica / GRAB - PL Grabica"/>
    <n v="66"/>
    <n v="0"/>
    <n v="0"/>
    <n v="0"/>
    <s v="1  01"/>
    <x v="1"/>
    <m/>
    <s v="16/11/2025 23:00-23:00"/>
    <s v="KRA8181P"/>
    <n v="0"/>
    <m/>
    <s v="No"/>
    <s v="Shipped/Received"/>
    <s v="Direct"/>
    <s v=" / "/>
    <s v=" / "/>
    <m/>
    <s v="HAPSDCPL20251113-01 / HAPSDCPL20251113-01"/>
    <m/>
    <m/>
    <s v="No"/>
    <s v="5019376306 / 5019391369"/>
    <s v="WPR0415U "/>
    <s v="Tryka Janusz "/>
    <m/>
  </r>
  <r>
    <x v="0"/>
    <x v="1"/>
    <x v="6"/>
    <x v="31"/>
    <d v="2025-11-13T18:00:00"/>
    <s v="0006119656_4900"/>
    <s v="Loading"/>
    <n v="467226"/>
    <s v="Primary flows"/>
    <s v="GIRTEKA FOR SN 3PO"/>
    <m/>
    <m/>
    <s v="No"/>
    <s v="NL Haps DC (DSV)"/>
    <s v="NAZA - BE Nazareth (Dematra)"/>
    <n v="33"/>
    <n v="0"/>
    <n v="0"/>
    <n v="0"/>
    <s v="1  01"/>
    <x v="1"/>
    <m/>
    <s v="14/11/2025 11:00-11:00"/>
    <s v="PZ_097XW"/>
    <n v="0"/>
    <m/>
    <s v="No"/>
    <s v="Shipped/Received"/>
    <s v="Direct"/>
    <m/>
    <m/>
    <m/>
    <s v="HAPSDCBE20251113-01"/>
    <m/>
    <m/>
    <s v="No"/>
    <n v="5019380830"/>
    <s v="PZ_5R136"/>
    <s v="Aliaksandr Anishchyk"/>
    <m/>
  </r>
  <r>
    <x v="0"/>
    <x v="1"/>
    <x v="6"/>
    <x v="31"/>
    <d v="2025-11-13T18:00:00"/>
    <s v="0006119660_4900"/>
    <s v="Loading"/>
    <n v="467235"/>
    <s v="Primary flows"/>
    <s v="LOGISTA FOR SN 3PO"/>
    <m/>
    <m/>
    <s v="No"/>
    <s v="NL Haps DC (DSV)"/>
    <s v="CIE2 - ES Ciempozuelos SN"/>
    <n v="33"/>
    <n v="0"/>
    <n v="0"/>
    <n v="0"/>
    <s v="1  01"/>
    <x v="1"/>
    <m/>
    <s v="17/11/2025 08:00-08:00"/>
    <s v="R4643BBW"/>
    <n v="0"/>
    <m/>
    <s v="No"/>
    <s v="Shipped/Received"/>
    <s v="Direct"/>
    <m/>
    <m/>
    <m/>
    <s v="HAPSDCES20251113-01"/>
    <m/>
    <m/>
    <s v="No"/>
    <n v="5019392698"/>
    <s v="8864LKR"/>
    <s v="Cristian Ilie"/>
    <m/>
  </r>
  <r>
    <x v="0"/>
    <x v="1"/>
    <x v="6"/>
    <x v="31"/>
    <d v="2025-11-13T19:00:00"/>
    <s v="0006132750_4900"/>
    <s v="Loading"/>
    <n v="472249"/>
    <s v="Primary flows"/>
    <s v="GIRTEKA FOR SN 3PO"/>
    <m/>
    <m/>
    <s v="No"/>
    <s v="NL Haps DC (DSV)"/>
    <s v="GRAB - PL Grabica"/>
    <n v="33"/>
    <n v="0"/>
    <n v="0"/>
    <n v="0"/>
    <s v="1  01"/>
    <x v="1"/>
    <m/>
    <s v="17/11/2025 11:00-11:00"/>
    <s v="JY_213"/>
    <n v="0"/>
    <m/>
    <s v="No"/>
    <s v="Shipped/Received"/>
    <s v="Direct"/>
    <m/>
    <m/>
    <m/>
    <s v="HAPSDCPL20251113-02"/>
    <m/>
    <m/>
    <s v="No"/>
    <n v="5019391525"/>
    <s v="PZ_3R488"/>
    <s v="Andrei Kuzniatsou"/>
    <m/>
  </r>
  <r>
    <x v="0"/>
    <x v="1"/>
    <x v="6"/>
    <x v="31"/>
    <d v="2025-11-13T19:00:00"/>
    <s v="0006119685_4900"/>
    <s v="Loading"/>
    <n v="467224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19/11/2025 09:00-09:00"/>
    <m/>
    <n v="0"/>
    <m/>
    <s v="No"/>
    <s v="Shipped/Received"/>
    <s v="Direct"/>
    <m/>
    <m/>
    <m/>
    <s v="HAPSDCIT20251113-01"/>
    <m/>
    <m/>
    <s v="No"/>
    <n v="5019359079"/>
    <m/>
    <m/>
    <m/>
  </r>
  <r>
    <x v="0"/>
    <x v="1"/>
    <x v="6"/>
    <x v="31"/>
    <d v="2025-11-13T19:00:00"/>
    <s v="0006119690_4900"/>
    <s v="Loading"/>
    <s v="472710 / 467236"/>
    <s v="Primary flows / Primary flows"/>
    <s v="DSV DK FOR SN 3PO"/>
    <m/>
    <m/>
    <s v="No"/>
    <s v="NL Haps DC (DSV)"/>
    <s v="HELS - SE Helsingborg / HELS - SE Helsingborg"/>
    <n v="66"/>
    <n v="0"/>
    <n v="0"/>
    <n v="0"/>
    <s v="1  01"/>
    <x v="1"/>
    <m/>
    <s v="17/11/2025 08:00-08:00"/>
    <m/>
    <n v="0"/>
    <m/>
    <s v="No"/>
    <s v="Shipped/Received"/>
    <s v="Direct"/>
    <s v=" / "/>
    <s v=" / "/>
    <m/>
    <s v="HAPSDCSE20251113-01 / HAPSDCSE20251113-01"/>
    <m/>
    <m/>
    <s v="No"/>
    <s v="5019387868 / 5019391234"/>
    <m/>
    <m/>
    <m/>
  </r>
  <r>
    <x v="0"/>
    <x v="1"/>
    <x v="6"/>
    <x v="31"/>
    <d v="2025-11-13T20:00:00"/>
    <s v="0006119683_4900"/>
    <s v="Loading"/>
    <n v="467211"/>
    <s v="Primary flows"/>
    <s v="GIRTEKA FOR SN 3PO HVO"/>
    <m/>
    <m/>
    <s v="No"/>
    <s v="NL Haps DC (DSV)"/>
    <s v="MOUS - FR Moussy-Le-Neuf"/>
    <n v="33"/>
    <n v="0"/>
    <n v="0"/>
    <n v="0"/>
    <s v="1  01"/>
    <x v="1"/>
    <m/>
    <s v="14/11/2025 09:00-09:00"/>
    <m/>
    <n v="0"/>
    <m/>
    <s v="No"/>
    <s v="Shipped/Received"/>
    <s v="Direct"/>
    <m/>
    <m/>
    <m/>
    <s v="HAPSDCFR20251113-03"/>
    <m/>
    <m/>
    <s v="No"/>
    <n v="5019393261"/>
    <m/>
    <m/>
    <m/>
  </r>
  <r>
    <x v="0"/>
    <x v="1"/>
    <x v="6"/>
    <x v="32"/>
    <d v="2025-11-14T06:00:00"/>
    <s v="0006127487_4900"/>
    <s v="Loading"/>
    <n v="470159"/>
    <s v="Primary flows"/>
    <s v="SAMSKIP FOR SN 3PO"/>
    <m/>
    <m/>
    <s v="No"/>
    <s v="NL Haps DC (DSV)"/>
    <s v="REDD - GB Redditch"/>
    <n v="33"/>
    <n v="0"/>
    <n v="0"/>
    <n v="0"/>
    <s v="1  01"/>
    <x v="1"/>
    <m/>
    <s v="17/11/2025 18:00-18:00"/>
    <m/>
    <n v="0"/>
    <m/>
    <s v="No"/>
    <s v="Shipped/Received"/>
    <s v="Direct"/>
    <m/>
    <m/>
    <m/>
    <s v="HAPSDCUK20251114-02"/>
    <m/>
    <m/>
    <s v="No"/>
    <n v="5019398558"/>
    <m/>
    <m/>
    <m/>
  </r>
  <r>
    <x v="0"/>
    <x v="1"/>
    <x v="6"/>
    <x v="32"/>
    <d v="2025-11-14T06:00:00"/>
    <s v="377697_OOS"/>
    <s v="Loading"/>
    <s v="AU-SEA-6115227_OOS"/>
    <s v="Aval non piloté_EN"/>
    <s v="MAERSK - Control Tower"/>
    <m/>
    <m/>
    <s v="No"/>
    <s v="NL Haps DC (DSV)"/>
    <s v="OOS_OUT - Delivery OOS"/>
    <n v="20"/>
    <n v="0"/>
    <n v="0"/>
    <n v="0"/>
    <n v="5019335289"/>
    <x v="0"/>
    <m/>
    <s v="15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1200097"/>
  </r>
  <r>
    <x v="0"/>
    <x v="1"/>
    <x v="6"/>
    <x v="32"/>
    <d v="2025-11-14T07:00:00"/>
    <s v="384346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407749"/>
    <x v="2"/>
    <m/>
    <s v="15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07:00:00"/>
    <s v="377701_OOS"/>
    <s v="Loading"/>
    <s v="AU-SEA-6115228_OOS"/>
    <s v="Aval non piloté_EN"/>
    <s v="MAERSK - Control Tower"/>
    <m/>
    <m/>
    <s v="No"/>
    <s v="NL Haps DC (DSV)"/>
    <s v="OOS_OUT - Delivery OOS"/>
    <n v="20"/>
    <n v="0"/>
    <n v="0"/>
    <n v="0"/>
    <n v="5019337189"/>
    <x v="0"/>
    <m/>
    <s v="15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1200097"/>
  </r>
  <r>
    <x v="0"/>
    <x v="1"/>
    <x v="6"/>
    <x v="32"/>
    <d v="2025-11-14T07:00:00"/>
    <s v="382415_OOS"/>
    <s v="Loading"/>
    <s v="SV - AIR_OOS"/>
    <s v="Aval non piloté_EN"/>
    <s v="GEODIS"/>
    <m/>
    <s v="trailer rejected"/>
    <s v="No"/>
    <s v="NL Haps DC (DSV)"/>
    <s v="OOS_OUT - Delivery OOS"/>
    <n v="1"/>
    <n v="0"/>
    <n v="0"/>
    <n v="0"/>
    <s v="DN 5019243652  (1 PLT)"/>
    <x v="3"/>
    <m/>
    <s v="15/11/2025 09:00-09:00"/>
    <m/>
    <n v="0"/>
    <m/>
    <s v="No"/>
    <s v="Shipped/Received"/>
    <s v="Direct"/>
    <m/>
    <m/>
    <s v="export.ams.ff.nl@geodis.com"/>
    <m/>
    <m/>
    <m/>
    <s v="No"/>
    <s v="&amp;nbsp"/>
    <m/>
    <m/>
    <m/>
  </r>
  <r>
    <x v="0"/>
    <x v="1"/>
    <x v="6"/>
    <x v="32"/>
    <d v="2025-11-14T08:00:00"/>
    <s v="377702_OOS"/>
    <s v="Loading"/>
    <s v="AU-SEA-6115229_OOS"/>
    <s v="Aval non piloté_EN"/>
    <s v="MAERSK - Control Tower"/>
    <m/>
    <m/>
    <s v="No"/>
    <s v="NL Haps DC (DSV)"/>
    <s v="OOS_OUT - Delivery OOS"/>
    <n v="20"/>
    <n v="0"/>
    <n v="0"/>
    <n v="0"/>
    <s v="5019345211 5019343692 "/>
    <x v="0"/>
    <m/>
    <s v="15/11/2025 00:01-00:01"/>
    <m/>
    <n v="0"/>
    <m/>
    <s v="No"/>
    <s v="Shipped/Received"/>
    <s v="Direct"/>
    <m/>
    <m/>
    <s v="nutricia.ct.eu@lns.maersk.com"/>
    <m/>
    <m/>
    <m/>
    <s v="No"/>
    <s v="&amp;nbsp"/>
    <m/>
    <m/>
    <n v="261200097"/>
  </r>
  <r>
    <x v="0"/>
    <x v="1"/>
    <x v="6"/>
    <x v="32"/>
    <d v="2025-11-14T08:00:00"/>
    <s v="362333_OOS"/>
    <s v="Loading"/>
    <s v="US-SEA-6058471_OOS"/>
    <s v="Aval non piloté_EN"/>
    <s v="MAERSK - Control Tower"/>
    <m/>
    <m/>
    <s v="No"/>
    <s v="NL Haps DC (DSV)"/>
    <s v="OOS_OUT - Delivery OOS"/>
    <n v="20"/>
    <n v="0"/>
    <n v="0"/>
    <n v="0"/>
    <n v="5019353560"/>
    <x v="0"/>
    <m/>
    <s v="15/11/2025 00:04-00:04"/>
    <m/>
    <n v="0"/>
    <m/>
    <s v="No"/>
    <s v="Shipped/Received"/>
    <s v="Direct"/>
    <m/>
    <m/>
    <s v="3POeuropect@lns.maersk.com"/>
    <m/>
    <m/>
    <m/>
    <s v="No"/>
    <s v="&amp;nbsp"/>
    <m/>
    <m/>
    <n v="259556399"/>
  </r>
  <r>
    <x v="0"/>
    <x v="1"/>
    <x v="6"/>
    <x v="32"/>
    <d v="2025-11-14T08:00:00"/>
    <s v="0006119722_4900"/>
    <s v="Loading"/>
    <n v="467220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21/11/2025 22:00-22:00"/>
    <m/>
    <n v="0"/>
    <m/>
    <s v="No"/>
    <s v="Shipped/Received"/>
    <s v="Direct"/>
    <m/>
    <m/>
    <m/>
    <s v="HAPSDCIE20251114-01"/>
    <m/>
    <m/>
    <s v="No"/>
    <n v="5019399976"/>
    <m/>
    <m/>
    <m/>
  </r>
  <r>
    <x v="0"/>
    <x v="1"/>
    <x v="6"/>
    <x v="32"/>
    <d v="2025-11-14T09:00:00"/>
    <s v="382473_OOS"/>
    <s v="Loading"/>
    <s v="Scrap Denkavit - ROAD_OOS"/>
    <s v="Aval non piloté_EN"/>
    <s v="Denkavit"/>
    <m/>
    <m/>
    <s v="No"/>
    <s v="NL Haps DC (DSV)"/>
    <s v="OOS_OUT - Delivery OOS"/>
    <n v="30"/>
    <n v="0"/>
    <n v="0"/>
    <n v="0"/>
    <s v="90016673 (PO 17294714)"/>
    <x v="0"/>
    <m/>
    <s v="15/11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1"/>
    <x v="6"/>
    <x v="32"/>
    <d v="2025-11-14T09:00:00"/>
    <s v="0006119723_4900"/>
    <s v="Loading"/>
    <n v="467240"/>
    <s v="Primary flows"/>
    <s v="SAMSKIP FOR SN 3PO"/>
    <m/>
    <m/>
    <s v="No"/>
    <s v="NL Haps DC (DSV)"/>
    <s v="DUBL - IE Dublin (United Drug)"/>
    <n v="33"/>
    <n v="0"/>
    <n v="0"/>
    <n v="0"/>
    <s v="1  01"/>
    <x v="1"/>
    <m/>
    <s v="21/11/2025 23:00-23:00"/>
    <m/>
    <n v="0"/>
    <m/>
    <s v="No"/>
    <s v="Shipped/Received"/>
    <s v="Direct"/>
    <m/>
    <m/>
    <m/>
    <s v="HAPSDCIE20251114-02"/>
    <m/>
    <m/>
    <s v="No"/>
    <n v="5019405096"/>
    <m/>
    <m/>
    <m/>
  </r>
  <r>
    <x v="0"/>
    <x v="1"/>
    <x v="6"/>
    <x v="32"/>
    <d v="2025-11-14T10:00:00"/>
    <s v="384196_OOS"/>
    <s v="Loading"/>
    <s v="5019416852_OOS"/>
    <s v="Aval non piloté_EN"/>
    <s v="Nabuurs"/>
    <m/>
    <m/>
    <s v="No"/>
    <s v="NL Haps DC (DSV)"/>
    <s v="OOS_OUT - Delivery OOS"/>
    <n v="4"/>
    <n v="0"/>
    <n v="0"/>
    <n v="0"/>
    <s v="Order to ship 4 rejected pallets for scrapping. Special instructions added: M20004 NBB"/>
    <x v="4"/>
    <m/>
    <s v="15/11/2025 00:00-00:00"/>
    <m/>
    <n v="0"/>
    <m/>
    <s v="No"/>
    <s v="Shipped/Received"/>
    <s v="Direct"/>
    <m/>
    <m/>
    <s v="logistic.support.haps@danone.com"/>
    <m/>
    <m/>
    <m/>
    <s v="No"/>
    <s v="&amp;nbsp"/>
    <m/>
    <m/>
    <m/>
  </r>
  <r>
    <x v="0"/>
    <x v="1"/>
    <x v="6"/>
    <x v="32"/>
    <d v="2025-11-14T10:00:00"/>
    <s v="378245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88369"/>
    <x v="0"/>
    <m/>
    <s v="1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0:00:00"/>
    <s v="378246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80358"/>
    <x v="0"/>
    <m/>
    <s v="1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0:00:00"/>
    <s v="0006127488_4900"/>
    <s v="Loading"/>
    <n v="470153"/>
    <s v="Primary flows"/>
    <s v="SAMSKIP FOR SN 3PO"/>
    <m/>
    <m/>
    <s v="No"/>
    <s v="NL Haps DC (DSV)"/>
    <s v="REDD - GB Redditch"/>
    <n v="33"/>
    <n v="0"/>
    <n v="0"/>
    <n v="0"/>
    <s v="1  01"/>
    <x v="1"/>
    <m/>
    <s v="24/11/2025 18:00-18:00"/>
    <m/>
    <n v="0"/>
    <m/>
    <s v="No"/>
    <s v="Shipped/Received"/>
    <s v="Direct"/>
    <m/>
    <m/>
    <m/>
    <s v="HAPSDCUK20251114-03"/>
    <m/>
    <m/>
    <s v="No"/>
    <n v="5019398559"/>
    <m/>
    <m/>
    <m/>
  </r>
  <r>
    <x v="0"/>
    <x v="1"/>
    <x v="6"/>
    <x v="32"/>
    <d v="2025-11-14T11:00:00"/>
    <s v="0006119693_4900"/>
    <s v="Loading"/>
    <n v="467217"/>
    <s v="Primary flows"/>
    <s v="ABC CZEPCZYNSKI FOR SN 3PO"/>
    <m/>
    <m/>
    <s v="No"/>
    <s v="NL Haps DC (DSV)"/>
    <s v="RICA - CZ Ricany DC2 Ambient WH"/>
    <n v="33"/>
    <n v="0"/>
    <n v="0"/>
    <n v="0"/>
    <s v="1 01"/>
    <x v="1"/>
    <m/>
    <s v="18/11/2025 06:00-06:00"/>
    <m/>
    <n v="0"/>
    <m/>
    <s v="No"/>
    <s v="Shipped/Received"/>
    <s v="Direct"/>
    <m/>
    <m/>
    <m/>
    <s v="HAPSDCCZ20251114-01"/>
    <m/>
    <m/>
    <s v="No"/>
    <n v="5019399185"/>
    <m/>
    <m/>
    <m/>
  </r>
  <r>
    <x v="0"/>
    <x v="1"/>
    <x v="6"/>
    <x v="32"/>
    <d v="2025-11-14T11:00:00"/>
    <s v="0006127489_4900"/>
    <s v="Loading"/>
    <n v="470165"/>
    <s v="Primary flows"/>
    <s v="SAMSKIP FOR SN 3PO"/>
    <m/>
    <m/>
    <s v="No"/>
    <s v="NL Haps DC (DSV)"/>
    <s v="REDD - GB Redditch"/>
    <n v="33"/>
    <n v="0"/>
    <n v="0"/>
    <n v="0"/>
    <s v="1  01"/>
    <x v="1"/>
    <m/>
    <s v="24/11/2025 18:00-18:00"/>
    <m/>
    <n v="0"/>
    <m/>
    <s v="No"/>
    <s v="Shipped/Received"/>
    <s v="Direct"/>
    <m/>
    <m/>
    <m/>
    <s v="HAPSDCUK20251114-04"/>
    <m/>
    <m/>
    <s v="No"/>
    <n v="5019402779"/>
    <m/>
    <m/>
    <m/>
  </r>
  <r>
    <x v="0"/>
    <x v="1"/>
    <x v="6"/>
    <x v="32"/>
    <d v="2025-11-14T11:00:00"/>
    <s v="383375_OOS"/>
    <s v="Loading"/>
    <s v="CN - AIR_OOS"/>
    <s v="Aval non piloté_EN"/>
    <s v="GEODIS"/>
    <m/>
    <m/>
    <s v="No"/>
    <s v="NL Haps DC (DSV)"/>
    <s v="OOS_OUT - Delivery OOS"/>
    <n v="22"/>
    <n v="0"/>
    <n v="0"/>
    <n v="0"/>
    <s v="CN 5019409321"/>
    <x v="0"/>
    <m/>
    <s v="15/11/2025 14:00-14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1:00:00"/>
    <s v="381221_OOS"/>
    <s v="Loading"/>
    <s v="NWW-ROAD_OOS"/>
    <s v="Aval non piloté_EN"/>
    <s v="Kuehne   Nagel Logistics B.V."/>
    <m/>
    <m/>
    <s v="No"/>
    <s v="NL Haps DC (DSV)"/>
    <s v="OOS_OUT - Delivery OOS"/>
    <n v="4"/>
    <n v="0"/>
    <n v="0"/>
    <n v="0"/>
    <n v="5019333750"/>
    <x v="2"/>
    <m/>
    <s v="15/11/2025 12:00-12:00"/>
    <m/>
    <n v="0"/>
    <m/>
    <s v="No"/>
    <s v="Shipped/Received"/>
    <s v="Direct"/>
    <m/>
    <m/>
    <s v="diana.topalova@kuehne-nagel.com"/>
    <m/>
    <m/>
    <m/>
    <s v="No"/>
    <s v="&amp;nbsp"/>
    <m/>
    <m/>
    <m/>
  </r>
  <r>
    <x v="0"/>
    <x v="1"/>
    <x v="6"/>
    <x v="32"/>
    <d v="2025-11-14T11:00:00"/>
    <s v="378247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5019391061"/>
    <x v="0"/>
    <m/>
    <s v="1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1:00:00"/>
    <s v="383194_OOS"/>
    <s v="Loading"/>
    <s v="0090029432_OOS"/>
    <s v="Aval non piloté_EN"/>
    <s v="Transportbedrijf Gerwin van Beek"/>
    <m/>
    <m/>
    <s v="No"/>
    <s v="NL Haps DC (DSV)"/>
    <s v="OOS_OUT - Delivery OOS"/>
    <n v="22"/>
    <n v="0"/>
    <n v="0"/>
    <n v="0"/>
    <s v="8 scraporders to load to Denkavit for scrapping: 0090029432 ? 0090031654 ? 0090029767 ? 0090028744 ? 0090029768 ? 0090029395 ? 0090029211 - 0090029313 Special instructions added: M20004 M11138 NBB/YBB"/>
    <x v="5"/>
    <m/>
    <s v="15/11/2025 00:00-00:00"/>
    <m/>
    <n v="0"/>
    <m/>
    <s v="No"/>
    <s v="Shipped/Received"/>
    <s v="Direct"/>
    <m/>
    <m/>
    <s v="logistic.support.haps@danone.com"/>
    <m/>
    <m/>
    <m/>
    <s v="No"/>
    <s v="&amp;nbsp"/>
    <m/>
    <m/>
    <m/>
  </r>
  <r>
    <x v="0"/>
    <x v="1"/>
    <x v="6"/>
    <x v="32"/>
    <d v="2025-11-14T12:00:00"/>
    <s v="378840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373011"/>
    <x v="0"/>
    <m/>
    <s v="15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1"/>
    <x v="6"/>
    <x v="32"/>
    <d v="2025-11-14T12:00:00"/>
    <s v="383208_OOS"/>
    <s v="Loading"/>
    <s v="CN-AIR_OOS"/>
    <s v="Aval non piloté_EN"/>
    <s v="GEODIS"/>
    <m/>
    <m/>
    <m/>
    <s v="NL Haps DC (DSV)"/>
    <s v="OOS_OUT - Delivery OOS"/>
    <n v="21"/>
    <n v="0"/>
    <n v="0"/>
    <n v="0"/>
    <s v="CN 5019378488"/>
    <x v="0"/>
    <m/>
    <s v="15/11/2025 10:00-10:00"/>
    <m/>
    <n v="0"/>
    <m/>
    <s v="No"/>
    <m/>
    <s v="Direct"/>
    <m/>
    <m/>
    <s v="mdc.transport@danone.com"/>
    <m/>
    <m/>
    <m/>
    <s v="No"/>
    <s v="&amp;nbsp"/>
    <m/>
    <m/>
    <m/>
  </r>
  <r>
    <x v="0"/>
    <x v="1"/>
    <x v="6"/>
    <x v="32"/>
    <d v="2025-11-14T12:00:00"/>
    <s v="0006127486_4900"/>
    <s v="Loading"/>
    <n v="470141"/>
    <s v="Primary flows"/>
    <s v="GIRTEKA FOR SN 3PO"/>
    <m/>
    <m/>
    <s v="No"/>
    <s v="NL Haps DC (DSV)"/>
    <s v="REDD - GB Redditch"/>
    <n v="33"/>
    <n v="0"/>
    <n v="0"/>
    <n v="0"/>
    <s v="1  01"/>
    <x v="1"/>
    <m/>
    <s v="17/11/2025 08:00-08:00"/>
    <s v="PZ_3V686"/>
    <n v="0"/>
    <m/>
    <s v="No"/>
    <s v="Shipped/Received"/>
    <s v="Direct"/>
    <m/>
    <m/>
    <m/>
    <s v="HAPSDCUK20251114-01"/>
    <m/>
    <m/>
    <s v="No"/>
    <n v="5019404576"/>
    <s v="NNZ_579"/>
    <s v="Viacheslav Shmat"/>
    <m/>
  </r>
  <r>
    <x v="0"/>
    <x v="1"/>
    <x v="6"/>
    <x v="32"/>
    <d v="2025-11-14T12:00:00"/>
    <s v="0006127490_4900"/>
    <s v="Loading"/>
    <n v="470167"/>
    <s v="Primary flows"/>
    <s v="SAMSKIP FOR SN 3PO"/>
    <m/>
    <m/>
    <s v="No"/>
    <s v="NL Haps DC (DSV)"/>
    <s v="REDD - GB Redditch"/>
    <n v="33"/>
    <n v="0"/>
    <n v="0"/>
    <n v="0"/>
    <s v="1  01"/>
    <x v="1"/>
    <m/>
    <s v="24/11/2025 18:00-18:00"/>
    <m/>
    <n v="0"/>
    <m/>
    <s v="No"/>
    <s v="Shipped/Received"/>
    <s v="Direct"/>
    <m/>
    <m/>
    <m/>
    <s v="HAPSDCUK20251114-05"/>
    <m/>
    <m/>
    <s v="No"/>
    <n v="5019400075"/>
    <m/>
    <m/>
    <m/>
  </r>
  <r>
    <x v="0"/>
    <x v="1"/>
    <x v="6"/>
    <x v="32"/>
    <d v="2025-11-14T13:00:00"/>
    <s v="0006119695_4900"/>
    <s v="Loading"/>
    <n v="467241"/>
    <s v="Primary flows"/>
    <s v="LKW WALTER FOR SN 3PO"/>
    <m/>
    <m/>
    <s v="No"/>
    <s v="NL Haps DC (DSV)"/>
    <s v="ALZE - DE Alzenau"/>
    <n v="33"/>
    <n v="0"/>
    <n v="0"/>
    <n v="0"/>
    <s v="1  01"/>
    <x v="1"/>
    <m/>
    <s v="21/11/2025 06:00-06:00"/>
    <m/>
    <n v="0"/>
    <m/>
    <s v="No"/>
    <s v="Shipped/Received"/>
    <s v="Direct"/>
    <m/>
    <m/>
    <m/>
    <s v="HAPSDCDE20251114-01"/>
    <m/>
    <m/>
    <s v="No"/>
    <n v="5019402582"/>
    <m/>
    <m/>
    <m/>
  </r>
  <r>
    <x v="0"/>
    <x v="1"/>
    <x v="6"/>
    <x v="32"/>
    <d v="2025-11-14T13:00:00"/>
    <s v="383743_OOS"/>
    <s v="Loading"/>
    <s v="NWW-SEA_OOS"/>
    <s v="Aval non piloté_EN"/>
    <s v="Cleve"/>
    <m/>
    <m/>
    <s v="No"/>
    <s v="NL Haps DC (DSV)"/>
    <s v="OOS_OUT - Delivery OOS"/>
    <n v="1"/>
    <n v="0"/>
    <n v="0"/>
    <n v="0"/>
    <n v="5019337218"/>
    <x v="0"/>
    <m/>
    <s v="15/11/2025 12:00-12:00"/>
    <m/>
    <n v="0"/>
    <m/>
    <s v="No"/>
    <s v="Shipped/Received"/>
    <s v="Direct"/>
    <m/>
    <m/>
    <s v="end-americas@cleve.nl"/>
    <m/>
    <m/>
    <m/>
    <s v="No"/>
    <s v="&amp;nbsp"/>
    <m/>
    <m/>
    <m/>
  </r>
  <r>
    <x v="0"/>
    <x v="1"/>
    <x v="6"/>
    <x v="32"/>
    <d v="2025-11-14T13:00:00"/>
    <s v="378841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384738"/>
    <x v="0"/>
    <m/>
    <s v="15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1"/>
    <x v="6"/>
    <x v="32"/>
    <d v="2025-11-14T13:00:00"/>
    <s v="380951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67473 - 22P [BLOCK]"/>
    <x v="0"/>
    <m/>
    <s v="15/11/2025 13:00-13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4:00:00"/>
    <s v="382474_OOS"/>
    <s v="Loading"/>
    <s v="Scrap Denkavit - ROAD_OOS"/>
    <s v="Aval non piloté_EN"/>
    <s v="Denkavit"/>
    <m/>
    <m/>
    <s v="No"/>
    <s v="NL Haps DC (DSV)"/>
    <s v="OOS_OUT - Delivery OOS"/>
    <n v="30"/>
    <n v="0"/>
    <n v="0"/>
    <n v="0"/>
    <s v="90014396 + 90012230 (PO 17294715)"/>
    <x v="0"/>
    <m/>
    <s v="15/11/2025 12:00-12:00"/>
    <m/>
    <n v="0"/>
    <m/>
    <s v="No"/>
    <s v="Shipped/Received"/>
    <s v="Direct"/>
    <m/>
    <m/>
    <s v="supply@denkavit.nl"/>
    <m/>
    <m/>
    <m/>
    <s v="No"/>
    <s v="&amp;nbsp"/>
    <m/>
    <m/>
    <m/>
  </r>
  <r>
    <x v="0"/>
    <x v="1"/>
    <x v="6"/>
    <x v="32"/>
    <d v="2025-11-14T14:00:00"/>
    <s v="380957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81563 - 6P [BLOCK]"/>
    <x v="2"/>
    <m/>
    <s v="15/11/2025 14:00-14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4:00:00"/>
    <s v="382933_OOS"/>
    <s v="Loading"/>
    <s v="RU-ROAD_OOS"/>
    <s v="Aval non piloté_EN"/>
    <s v="FortaPlus"/>
    <m/>
    <m/>
    <s v="No"/>
    <s v="NL Haps DC (DSV)"/>
    <s v="OOS_OUT - Delivery OOS"/>
    <n v="33"/>
    <n v="0"/>
    <n v="0"/>
    <n v="0"/>
    <n v="5019378943"/>
    <x v="0"/>
    <m/>
    <s v="15/11/2025 12:00-12:00"/>
    <m/>
    <n v="0"/>
    <m/>
    <s v="No"/>
    <s v="Shipped/Received"/>
    <s v="Direct"/>
    <m/>
    <m/>
    <s v="kazimierz.tomas@fortaplus.com"/>
    <m/>
    <m/>
    <m/>
    <s v="No"/>
    <s v="&amp;nbsp"/>
    <m/>
    <m/>
    <m/>
  </r>
  <r>
    <x v="0"/>
    <x v="1"/>
    <x v="6"/>
    <x v="32"/>
    <d v="2025-11-14T15:00:00"/>
    <s v="0006119694_4900"/>
    <s v="Loading"/>
    <n v="467210"/>
    <s v="Primary flows"/>
    <s v="ABC CZEPCZYNSKI FOR SN 3PO"/>
    <m/>
    <m/>
    <s v="No"/>
    <s v="NL Haps DC (DSV)"/>
    <s v="RICA - CZ Ricany DC2 Ambient WH"/>
    <n v="33"/>
    <n v="0"/>
    <n v="0"/>
    <n v="0"/>
    <s v="1  01"/>
    <x v="1"/>
    <m/>
    <s v="18/11/2025 10:00-10:00"/>
    <m/>
    <n v="0"/>
    <m/>
    <s v="No"/>
    <s v="Shipped/Received"/>
    <s v="Direct"/>
    <m/>
    <m/>
    <m/>
    <s v="HAPSDCCZ20251114-02"/>
    <m/>
    <m/>
    <s v="No"/>
    <n v="5019404495"/>
    <m/>
    <m/>
    <m/>
  </r>
  <r>
    <x v="0"/>
    <x v="1"/>
    <x v="6"/>
    <x v="32"/>
    <d v="2025-11-14T15:00:00"/>
    <s v="383141_OOS"/>
    <s v="Loading"/>
    <s v="CN-AIR_OOS"/>
    <s v="Aval non piloté_EN"/>
    <s v="GEODIS"/>
    <m/>
    <m/>
    <s v="No"/>
    <s v="NL Haps DC (DSV)"/>
    <s v="OOS_OUT - Delivery OOS"/>
    <n v="9"/>
    <n v="0"/>
    <n v="0"/>
    <n v="0"/>
    <s v="CN 5019397207"/>
    <x v="2"/>
    <m/>
    <s v="15/11/2025 10:00-10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6:00:00"/>
    <s v="380953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65139 - 22P [BLOCK]"/>
    <x v="0"/>
    <m/>
    <s v="15/11/2025 16:00-16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6:00:00"/>
    <s v="0006119728_4900"/>
    <s v="Loading"/>
    <s v="473285 / 467229"/>
    <s v="Primary flows / Primary flows"/>
    <s v="DSV DK FOR SN 3PO"/>
    <m/>
    <m/>
    <s v="No"/>
    <s v="NL Haps DC (DSV)"/>
    <s v="HELS - SE Helsingborg / HELS - SE Helsingborg"/>
    <n v="66"/>
    <n v="0"/>
    <n v="0"/>
    <n v="0"/>
    <s v="1  01"/>
    <x v="1"/>
    <m/>
    <s v="17/11/2025 10:00-10:00"/>
    <m/>
    <n v="0"/>
    <m/>
    <s v="No"/>
    <s v="Shipped/Received"/>
    <s v="Direct"/>
    <s v=" / "/>
    <s v=" / "/>
    <m/>
    <s v="HAPSDCSE20251114-01 / HAPSDCSE20251114-01"/>
    <m/>
    <m/>
    <s v="No"/>
    <s v="5019406764 / 5019400266"/>
    <m/>
    <m/>
    <m/>
  </r>
  <r>
    <x v="0"/>
    <x v="1"/>
    <x v="6"/>
    <x v="32"/>
    <d v="2025-11-14T16:00:00"/>
    <s v="382167_OOS"/>
    <s v="Loading"/>
    <s v="Scrap Kwaliflex - ROAD_OOS"/>
    <s v="Aval non piloté_EN"/>
    <s v="Kwaliflex"/>
    <m/>
    <m/>
    <s v="No"/>
    <s v="NL Haps DC (DSV)"/>
    <s v="OOS_OUT - Delivery OOS"/>
    <n v="33"/>
    <n v="0"/>
    <n v="0"/>
    <n v="0"/>
    <n v="90010911"/>
    <x v="0"/>
    <m/>
    <s v="15/11/2025 12:00-12:00"/>
    <m/>
    <n v="0"/>
    <m/>
    <s v="No"/>
    <s v="Shipped/Received"/>
    <s v="Direct"/>
    <m/>
    <m/>
    <s v="planning@kwaliflex.nl"/>
    <m/>
    <m/>
    <m/>
    <s v="No"/>
    <s v="&amp;nbsp"/>
    <m/>
    <m/>
    <m/>
  </r>
  <r>
    <x v="0"/>
    <x v="1"/>
    <x v="6"/>
    <x v="32"/>
    <d v="2025-11-14T16:00:00"/>
    <s v="0006119696_4900"/>
    <s v="Loading"/>
    <n v="467230"/>
    <s v="Primary flows"/>
    <s v="LKW WALTER FOR SN 3PO"/>
    <m/>
    <m/>
    <s v="No"/>
    <s v="NL Haps DC (DSV)"/>
    <s v="ALZE - DE Alzenau"/>
    <n v="33"/>
    <n v="0"/>
    <n v="0"/>
    <n v="0"/>
    <s v="1  01"/>
    <x v="1"/>
    <m/>
    <s v="21/11/2025 06:00-06:00"/>
    <m/>
    <n v="0"/>
    <m/>
    <s v="No"/>
    <s v="Shipped/Received"/>
    <s v="Direct"/>
    <m/>
    <m/>
    <m/>
    <s v="HAPSDCDE20251114-02"/>
    <m/>
    <m/>
    <s v="No"/>
    <n v="5019402583"/>
    <m/>
    <m/>
    <m/>
  </r>
  <r>
    <x v="0"/>
    <x v="1"/>
    <x v="6"/>
    <x v="32"/>
    <d v="2025-11-14T17:00:00"/>
    <s v="0006119721_4900"/>
    <s v="Loading"/>
    <n v="467231"/>
    <s v="Primary flows"/>
    <s v="ABC CZEPCZYNSKI FOR SN 3PO"/>
    <m/>
    <m/>
    <s v="No"/>
    <s v="NL Haps DC (DSV)"/>
    <s v="BUDA - HU Budapest (BILK Logisztikai)"/>
    <n v="33"/>
    <n v="0"/>
    <n v="0"/>
    <n v="0"/>
    <s v="1  01"/>
    <x v="1"/>
    <m/>
    <s v="17/11/2025 11:00-11:00"/>
    <m/>
    <n v="0"/>
    <m/>
    <s v="No"/>
    <s v="Shipped/Received"/>
    <s v="Direct"/>
    <m/>
    <m/>
    <m/>
    <s v="HAPSDCHU20251114-01"/>
    <m/>
    <m/>
    <s v="No"/>
    <n v="5019394830"/>
    <m/>
    <m/>
    <m/>
  </r>
  <r>
    <x v="0"/>
    <x v="1"/>
    <x v="6"/>
    <x v="32"/>
    <d v="2025-11-14T17:00:00"/>
    <s v="0006119699_4900"/>
    <s v="Loading"/>
    <n v="467212"/>
    <s v="Primary flows"/>
    <s v="FERCAM AUSTRIA FOR SN 3PO"/>
    <m/>
    <m/>
    <s v="No"/>
    <s v="NL Haps DC (DSV)"/>
    <s v="CIE2 - ES Ciempozuelos SN"/>
    <n v="33"/>
    <n v="0"/>
    <n v="0"/>
    <n v="0"/>
    <s v="1  01"/>
    <x v="1"/>
    <m/>
    <s v="17/11/2025 14:00-14:00"/>
    <m/>
    <n v="0"/>
    <m/>
    <s v="No"/>
    <s v="Shipped/Received"/>
    <s v="Direct"/>
    <m/>
    <m/>
    <m/>
    <s v="HAPSDCES20251114-02"/>
    <m/>
    <m/>
    <s v="No"/>
    <n v="5019410425"/>
    <m/>
    <m/>
    <m/>
  </r>
  <r>
    <x v="0"/>
    <x v="1"/>
    <x v="6"/>
    <x v="32"/>
    <d v="2025-11-14T17:00:00"/>
    <s v="380956_OOS"/>
    <s v="Loading"/>
    <s v="CN-AIR_OOS"/>
    <s v="Aval non piloté_EN"/>
    <s v="GEODIS"/>
    <m/>
    <m/>
    <s v="No"/>
    <s v="NL Haps DC (DSV)"/>
    <s v="OOS_OUT - Delivery OOS"/>
    <n v="23"/>
    <n v="0"/>
    <n v="0"/>
    <n v="0"/>
    <s v="CN AIR 5019376331 - 22P [BLOCK]"/>
    <x v="0"/>
    <m/>
    <s v="15/11/2025 17:00-17:00"/>
    <m/>
    <n v="0"/>
    <m/>
    <s v="No"/>
    <s v="Shipped/Received"/>
    <s v="Direct"/>
    <m/>
    <m/>
    <s v="mdc.transport@danone.com"/>
    <m/>
    <m/>
    <m/>
    <s v="No"/>
    <s v="&amp;nbsp"/>
    <m/>
    <m/>
    <m/>
  </r>
  <r>
    <x v="0"/>
    <x v="1"/>
    <x v="6"/>
    <x v="32"/>
    <d v="2025-11-14T18:00:00"/>
    <s v="0006119726_4900"/>
    <s v="Loading"/>
    <s v="473287 / 473286 / 467239"/>
    <s v="Primary flows / Primary flows / Primary flows"/>
    <s v="GIRTEKA FOR SN 3PO"/>
    <m/>
    <m/>
    <s v="No"/>
    <s v="NL Haps DC (DSV)"/>
    <s v="GRAB - PL Grabica / GRAB - PL Grabica / GRAB - PL Grabica"/>
    <n v="99"/>
    <n v="0"/>
    <n v="0"/>
    <n v="0"/>
    <s v="1  01"/>
    <x v="1"/>
    <m/>
    <s v="17/11/2025 14:00-14:00"/>
    <m/>
    <n v="0"/>
    <m/>
    <s v="No"/>
    <s v="Shipped/Received"/>
    <s v="Direct"/>
    <s v=" /  / "/>
    <s v=" /  / "/>
    <m/>
    <s v="HAPSDCPL20251114-01 / HAPSDCPL20251114-01 / HAPSDCPL20251114-01"/>
    <m/>
    <m/>
    <s v="No"/>
    <s v="5019409324 / 5019409082 / 5019399591"/>
    <m/>
    <m/>
    <m/>
  </r>
  <r>
    <x v="0"/>
    <x v="1"/>
    <x v="6"/>
    <x v="32"/>
    <d v="2025-11-14T18:00:00"/>
    <s v="0006119652_4900"/>
    <s v="Loading"/>
    <n v="467197"/>
    <s v="Primary flows"/>
    <s v="GIRTEKA FOR SN 3PO"/>
    <m/>
    <m/>
    <s v="No"/>
    <s v="NL Haps DC (DSV)"/>
    <s v="GREZ - IT Grezzago (Pozzuolo Martesana)"/>
    <n v="33"/>
    <n v="0"/>
    <n v="0"/>
    <n v="0"/>
    <s v="1  01"/>
    <x v="1"/>
    <m/>
    <s v="17/11/2025 20:00-20:00"/>
    <s v="PZ_4N309"/>
    <n v="0"/>
    <m/>
    <s v="No"/>
    <s v="Shipped/Received"/>
    <s v="Direct"/>
    <m/>
    <m/>
    <m/>
    <s v="HAPSDCIT20251112-01"/>
    <m/>
    <m/>
    <s v="No"/>
    <n v="5019367457"/>
    <s v="MJG_678"/>
    <s v="Ravzatullo Nematzoda"/>
    <m/>
  </r>
  <r>
    <x v="0"/>
    <x v="1"/>
    <x v="6"/>
    <x v="32"/>
    <d v="2025-11-14T19:00:00"/>
    <s v="0006119724_4900"/>
    <s v="Loading"/>
    <s v="467219 / 472905"/>
    <s v="Primary flows / Primary flows"/>
    <s v="ECS FOR SN 3PO"/>
    <m/>
    <m/>
    <s v="No"/>
    <s v="NL Haps DC (DSV)"/>
    <s v="GREZ - IT Grezzago (Pozzuolo Martesana) / CODO - IT Codogno"/>
    <n v="66"/>
    <n v="0"/>
    <n v="0"/>
    <n v="0"/>
    <s v="1  01"/>
    <x v="1"/>
    <m/>
    <s v="21/11/2025 22:00-22:00 / 21/11/2025 18:30-18:30"/>
    <m/>
    <n v="0"/>
    <m/>
    <s v="No"/>
    <s v="Shipped/Received"/>
    <s v="Direct"/>
    <s v=" / "/>
    <s v=" / "/>
    <m/>
    <s v="HAPSDCIT20251114-01 / HAPSDCIT20251114-01"/>
    <m/>
    <m/>
    <s v="No"/>
    <s v="5019406769 / 5019410042"/>
    <m/>
    <m/>
    <m/>
  </r>
  <r>
    <x v="0"/>
    <x v="1"/>
    <x v="6"/>
    <x v="32"/>
    <d v="2025-11-14T19:00:00"/>
    <s v="0006119727_4900"/>
    <s v="Loading"/>
    <n v="467213"/>
    <s v="Primary flows"/>
    <s v="GIRTEKA FOR SN 3PO"/>
    <m/>
    <m/>
    <s v="No"/>
    <s v="NL Haps DC (DSV)"/>
    <s v="GRAB - PL Grabica"/>
    <n v="33"/>
    <n v="0"/>
    <n v="0"/>
    <n v="0"/>
    <s v="1  01"/>
    <x v="1"/>
    <m/>
    <s v="17/11/2025 22:00-22:00"/>
    <s v="HI_274"/>
    <n v="0"/>
    <m/>
    <s v="No"/>
    <s v="Shipped/Received"/>
    <s v="Direct"/>
    <m/>
    <m/>
    <m/>
    <s v="HAPSDCPL20251114-02"/>
    <m/>
    <m/>
    <s v="No"/>
    <n v="5019407245"/>
    <s v="MJA_712"/>
    <s v="Jalil Kamran"/>
    <m/>
  </r>
  <r>
    <x v="0"/>
    <x v="1"/>
    <x v="6"/>
    <x v="32"/>
    <d v="2025-11-14T19:00:00"/>
    <s v="0006131675_4900"/>
    <s v="Loading"/>
    <n v="472097"/>
    <s v="Primary flows"/>
    <s v="ECS FOR SN 3PO"/>
    <m/>
    <m/>
    <s v="No"/>
    <s v="NL Haps DC (DSV)"/>
    <s v="GREZ - IT Grezzago (Pozzuolo Martesana)"/>
    <n v="33"/>
    <n v="0"/>
    <n v="0"/>
    <n v="0"/>
    <s v="1  01"/>
    <x v="1"/>
    <m/>
    <s v="21/11/2025 10:00-10:00"/>
    <s v="1QDW984"/>
    <n v="0"/>
    <m/>
    <s v="No"/>
    <s v="Shipped/Received"/>
    <s v="Direct"/>
    <m/>
    <m/>
    <m/>
    <s v="HAPSDCIT20251114-02"/>
    <m/>
    <m/>
    <s v="No"/>
    <n v="5019399227"/>
    <s v="MDD 865"/>
    <s v="ARJUN SUNI PULINKUNNU   Shins Joseph"/>
    <m/>
  </r>
  <r>
    <x v="0"/>
    <x v="1"/>
    <x v="6"/>
    <x v="32"/>
    <d v="2025-11-14T22:00:00"/>
    <s v="384998_OOS"/>
    <s v="Loading"/>
    <s v="Samples Haps Lab_OOS"/>
    <s v="Aval non piloté_EN"/>
    <s v="Nabuurs"/>
    <m/>
    <m/>
    <s v="No"/>
    <s v="NL Haps DC (DSV)"/>
    <s v="OOS_OUT - Delivery OOS"/>
    <n v="1"/>
    <n v="0"/>
    <n v="0"/>
    <n v="0"/>
    <n v="5019419794"/>
    <x v="2"/>
    <m/>
    <s v="15/11/2025 15:00-15:00"/>
    <m/>
    <n v="0"/>
    <m/>
    <s v="No"/>
    <s v="Shipped/Received"/>
    <s v="Direct"/>
    <m/>
    <m/>
    <s v="mdc.transport@danone.com"/>
    <m/>
    <m/>
    <m/>
    <s v="No"/>
    <s v="&amp;nbsp"/>
    <m/>
    <m/>
    <m/>
  </r>
  <r>
    <x v="1"/>
    <x v="2"/>
    <x v="7"/>
    <x v="33"/>
    <m/>
    <m/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282C4-484F-485A-B62E-3CDD5BB9E89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1:L36" firstHeaderRow="1" firstDataRow="2" firstDataCol="4"/>
  <pivotFields count="42">
    <pivotField axis="axisRow" compact="0" outline="0" showAll="0" defaultSubtotal="0">
      <items count="2">
        <item x="0"/>
        <item sd="0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7">
        <item x="1"/>
        <item x="0"/>
        <item x="2"/>
        <item x="3"/>
        <item x="5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34">
    <i>
      <x/>
      <x/>
      <x/>
      <x/>
    </i>
    <i r="3">
      <x v="1"/>
    </i>
    <i r="3">
      <x v="2"/>
    </i>
    <i r="2">
      <x v="1"/>
      <x v="3"/>
    </i>
    <i r="3">
      <x v="4"/>
    </i>
    <i r="3">
      <x v="5"/>
    </i>
    <i r="3">
      <x v="6"/>
    </i>
    <i r="3">
      <x v="7"/>
    </i>
    <i r="2">
      <x v="2"/>
      <x v="8"/>
    </i>
    <i r="3">
      <x v="9"/>
    </i>
    <i r="3">
      <x v="10"/>
    </i>
    <i r="3">
      <x v="11"/>
    </i>
    <i r="3">
      <x v="12"/>
    </i>
    <i r="2"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3">
      <x v="22"/>
    </i>
    <i r="1">
      <x v="1"/>
      <x v="5"/>
      <x v="23"/>
    </i>
    <i r="3">
      <x v="24"/>
    </i>
    <i r="3">
      <x v="25"/>
    </i>
    <i r="3">
      <x v="26"/>
    </i>
    <i r="3">
      <x v="27"/>
    </i>
    <i r="2">
      <x v="6"/>
      <x v="28"/>
    </i>
    <i r="3">
      <x v="29"/>
    </i>
    <i r="3">
      <x v="30"/>
    </i>
    <i r="3">
      <x v="31"/>
    </i>
    <i r="3">
      <x v="32"/>
    </i>
    <i>
      <x v="1"/>
    </i>
  </rowItems>
  <colFields count="1">
    <field x="2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OrderI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688B-1C3D-47DA-BF13-BC30DD331A53}">
  <dimension ref="A1:AT1492"/>
  <sheetViews>
    <sheetView tabSelected="1" topLeftCell="AK1" zoomScaleNormal="100" workbookViewId="0">
      <selection activeCell="AQ2" activeCellId="1" sqref="AT2:AT19 AQ2:AQ19"/>
    </sheetView>
  </sheetViews>
  <sheetFormatPr defaultRowHeight="14.25" x14ac:dyDescent="0.2"/>
  <cols>
    <col min="4" max="4" width="15.5" bestFit="1" customWidth="1"/>
    <col min="5" max="5" width="22.875" bestFit="1" customWidth="1"/>
    <col min="6" max="6" width="16" bestFit="1" customWidth="1"/>
    <col min="7" max="7" width="15.25" bestFit="1" customWidth="1"/>
    <col min="8" max="8" width="21.875" customWidth="1"/>
    <col min="9" max="9" width="25.75" customWidth="1"/>
    <col min="10" max="10" width="30.75" bestFit="1" customWidth="1"/>
    <col min="11" max="11" width="15" customWidth="1"/>
    <col min="12" max="12" width="15.5" customWidth="1"/>
    <col min="13" max="13" width="13.875" bestFit="1" customWidth="1"/>
    <col min="14" max="14" width="16.5" bestFit="1" customWidth="1"/>
    <col min="15" max="15" width="47.875" customWidth="1"/>
    <col min="16" max="16" width="8.75" bestFit="1" customWidth="1"/>
    <col min="17" max="17" width="11" bestFit="1" customWidth="1"/>
    <col min="18" max="18" width="8.25" bestFit="1" customWidth="1"/>
    <col min="19" max="19" width="15.5" bestFit="1" customWidth="1"/>
    <col min="20" max="20" width="33.875" customWidth="1"/>
    <col min="21" max="21" width="16.75" bestFit="1" customWidth="1"/>
    <col min="22" max="22" width="12.5" bestFit="1" customWidth="1"/>
    <col min="23" max="23" width="21.875" customWidth="1"/>
    <col min="24" max="24" width="12.125" bestFit="1" customWidth="1"/>
    <col min="25" max="25" width="14.75" bestFit="1" customWidth="1"/>
    <col min="26" max="26" width="21.75" bestFit="1" customWidth="1"/>
    <col min="27" max="27" width="10.75" bestFit="1" customWidth="1"/>
    <col min="28" max="28" width="16.75" bestFit="1" customWidth="1"/>
    <col min="29" max="29" width="10.75" bestFit="1" customWidth="1"/>
    <col min="30" max="30" width="19.25" bestFit="1" customWidth="1"/>
    <col min="31" max="31" width="19.125" bestFit="1" customWidth="1"/>
    <col min="32" max="32" width="38.125" bestFit="1" customWidth="1"/>
    <col min="33" max="33" width="39.875" customWidth="1"/>
    <col min="34" max="34" width="24.875" bestFit="1" customWidth="1"/>
    <col min="35" max="35" width="15.75" bestFit="1" customWidth="1"/>
    <col min="36" max="36" width="11" bestFit="1" customWidth="1"/>
    <col min="37" max="37" width="31.5" customWidth="1"/>
    <col min="38" max="38" width="23.875" bestFit="1" customWidth="1"/>
    <col min="39" max="39" width="16.5" customWidth="1"/>
    <col min="40" max="40" width="33.125" bestFit="1" customWidth="1"/>
    <col min="41" max="41" width="22.875" bestFit="1" customWidth="1"/>
    <col min="42" max="42" width="12.5" bestFit="1" customWidth="1"/>
    <col min="43" max="43" width="10.75" bestFit="1" customWidth="1"/>
  </cols>
  <sheetData>
    <row r="1" spans="1:46" x14ac:dyDescent="0.2">
      <c r="A1" t="s">
        <v>4745</v>
      </c>
      <c r="B1" t="s">
        <v>4746</v>
      </c>
      <c r="C1" t="s">
        <v>4747</v>
      </c>
      <c r="D1" t="s">
        <v>4748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4759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4748</v>
      </c>
      <c r="AP1" t="s">
        <v>4758</v>
      </c>
      <c r="AQ1" t="s">
        <v>4761</v>
      </c>
      <c r="AR1" t="s">
        <v>4762</v>
      </c>
      <c r="AS1" t="s">
        <v>4763</v>
      </c>
      <c r="AT1" t="s">
        <v>4760</v>
      </c>
    </row>
    <row r="2" spans="1:46" x14ac:dyDescent="0.2">
      <c r="A2">
        <f t="shared" ref="A2:A65" si="0">YEAR(D2)</f>
        <v>2025</v>
      </c>
      <c r="B2">
        <f t="shared" ref="B2:B65" si="1">MONTH(D2)</f>
        <v>10</v>
      </c>
      <c r="C2">
        <f t="shared" ref="C2:C65" si="2">WEEKNUM(D2)</f>
        <v>40</v>
      </c>
      <c r="D2" s="2">
        <f t="shared" ref="D2:D65" si="3">INT(E2)</f>
        <v>45931</v>
      </c>
      <c r="E2" s="1">
        <v>45931.25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M2" t="s">
        <v>40</v>
      </c>
      <c r="N2" t="s">
        <v>41</v>
      </c>
      <c r="O2" t="s">
        <v>42</v>
      </c>
      <c r="P2">
        <v>23</v>
      </c>
      <c r="Q2">
        <v>0</v>
      </c>
      <c r="R2">
        <v>0</v>
      </c>
      <c r="S2">
        <v>0</v>
      </c>
      <c r="T2" t="s">
        <v>43</v>
      </c>
      <c r="U2" t="s">
        <v>44</v>
      </c>
      <c r="W2" t="s">
        <v>45</v>
      </c>
      <c r="Y2">
        <v>0</v>
      </c>
      <c r="AA2" t="s">
        <v>40</v>
      </c>
      <c r="AB2" t="s">
        <v>46</v>
      </c>
      <c r="AC2" t="s">
        <v>47</v>
      </c>
      <c r="AF2" t="s">
        <v>48</v>
      </c>
      <c r="AJ2" t="s">
        <v>40</v>
      </c>
      <c r="AK2" t="s">
        <v>49</v>
      </c>
      <c r="AO2" s="1">
        <v>45931</v>
      </c>
      <c r="AP2" s="5">
        <v>0.25</v>
      </c>
      <c r="AQ2" s="5">
        <v>0.25</v>
      </c>
      <c r="AR2">
        <f>SUMIFS(P:P,AP:AP,"&gt;="&amp;AQ2,AP:AP,"&lt;"&amp;(AQ2+"1:00"))</f>
        <v>2051</v>
      </c>
      <c r="AS2">
        <v>1</v>
      </c>
      <c r="AT2">
        <f>SUMIFS(AS:AS,AP:AP,"&gt;="&amp;AQ2,AP:AP,"&lt;"&amp;(AQ2+"1:00"))</f>
        <v>65</v>
      </c>
    </row>
    <row r="3" spans="1:46" x14ac:dyDescent="0.2">
      <c r="A3">
        <f t="shared" si="0"/>
        <v>2025</v>
      </c>
      <c r="B3">
        <f t="shared" si="1"/>
        <v>10</v>
      </c>
      <c r="C3">
        <f t="shared" si="2"/>
        <v>40</v>
      </c>
      <c r="D3" s="2">
        <f t="shared" si="3"/>
        <v>45931</v>
      </c>
      <c r="E3" s="1">
        <v>45931.25</v>
      </c>
      <c r="F3" t="s">
        <v>50</v>
      </c>
      <c r="G3" t="s">
        <v>36</v>
      </c>
      <c r="H3">
        <v>450209</v>
      </c>
      <c r="I3" t="s">
        <v>51</v>
      </c>
      <c r="J3" t="s">
        <v>52</v>
      </c>
      <c r="M3" t="s">
        <v>40</v>
      </c>
      <c r="N3" t="s">
        <v>41</v>
      </c>
      <c r="O3" t="s">
        <v>53</v>
      </c>
      <c r="P3">
        <v>33</v>
      </c>
      <c r="Q3">
        <v>0</v>
      </c>
      <c r="R3">
        <v>0</v>
      </c>
      <c r="S3">
        <v>0</v>
      </c>
      <c r="T3" t="s">
        <v>54</v>
      </c>
      <c r="U3" t="s">
        <v>55</v>
      </c>
      <c r="W3" t="s">
        <v>56</v>
      </c>
      <c r="Y3">
        <v>0</v>
      </c>
      <c r="AA3" t="s">
        <v>40</v>
      </c>
      <c r="AB3" t="s">
        <v>46</v>
      </c>
      <c r="AC3" t="s">
        <v>47</v>
      </c>
      <c r="AG3" t="s">
        <v>57</v>
      </c>
      <c r="AJ3" t="s">
        <v>40</v>
      </c>
      <c r="AK3">
        <v>5019046506</v>
      </c>
      <c r="AO3" s="1">
        <v>45931</v>
      </c>
      <c r="AP3" s="5">
        <v>0.25</v>
      </c>
      <c r="AQ3" s="5">
        <v>0.29166666666666669</v>
      </c>
      <c r="AR3">
        <f>SUMIFS(P:P,AP:AP,"&gt;="&amp;AQ3,AP:AP,"&lt;"&amp;(AQ3+"1:00"))</f>
        <v>2407</v>
      </c>
      <c r="AS3">
        <v>1</v>
      </c>
      <c r="AT3">
        <f t="shared" ref="AT3:AT19" si="4">SUMIFS(AS:AS,AP:AP,"&gt;="&amp;AQ3,AP:AP,"&lt;"&amp;(AQ3+"1:00"))</f>
        <v>101</v>
      </c>
    </row>
    <row r="4" spans="1:46" x14ac:dyDescent="0.2">
      <c r="A4">
        <f t="shared" si="0"/>
        <v>2025</v>
      </c>
      <c r="B4">
        <f t="shared" si="1"/>
        <v>10</v>
      </c>
      <c r="C4">
        <f t="shared" si="2"/>
        <v>40</v>
      </c>
      <c r="D4" s="2">
        <f t="shared" si="3"/>
        <v>45931</v>
      </c>
      <c r="E4" s="1">
        <v>45931.291666666664</v>
      </c>
      <c r="F4" t="s">
        <v>58</v>
      </c>
      <c r="G4" t="s">
        <v>36</v>
      </c>
      <c r="H4" t="s">
        <v>59</v>
      </c>
      <c r="I4" t="s">
        <v>38</v>
      </c>
      <c r="J4" t="s">
        <v>60</v>
      </c>
      <c r="M4" t="s">
        <v>40</v>
      </c>
      <c r="N4" t="s">
        <v>41</v>
      </c>
      <c r="O4" t="s">
        <v>42</v>
      </c>
      <c r="P4">
        <v>20</v>
      </c>
      <c r="Q4">
        <v>0</v>
      </c>
      <c r="R4">
        <v>0</v>
      </c>
      <c r="S4">
        <v>0</v>
      </c>
      <c r="T4">
        <v>5019013727</v>
      </c>
      <c r="U4" t="s">
        <v>44</v>
      </c>
      <c r="W4" t="s">
        <v>61</v>
      </c>
      <c r="Y4">
        <v>0</v>
      </c>
      <c r="AA4" t="s">
        <v>40</v>
      </c>
      <c r="AB4" t="s">
        <v>46</v>
      </c>
      <c r="AC4" t="s">
        <v>47</v>
      </c>
      <c r="AF4" t="s">
        <v>62</v>
      </c>
      <c r="AJ4" t="s">
        <v>40</v>
      </c>
      <c r="AK4" t="s">
        <v>49</v>
      </c>
      <c r="AN4">
        <v>259597147</v>
      </c>
      <c r="AO4" s="1">
        <v>45931</v>
      </c>
      <c r="AP4" s="5">
        <v>0.29166666666666669</v>
      </c>
      <c r="AQ4" s="5">
        <v>0.33333333333333331</v>
      </c>
      <c r="AR4">
        <f t="shared" ref="AR4:AR19" si="5">SUMIFS(P:P,AP:AP,"&gt;="&amp;AQ4,AP:AP,"&lt;"&amp;(AQ4+"1:00"))</f>
        <v>2618</v>
      </c>
      <c r="AS4">
        <v>1</v>
      </c>
      <c r="AT4">
        <f t="shared" si="4"/>
        <v>99</v>
      </c>
    </row>
    <row r="5" spans="1:46" x14ac:dyDescent="0.2">
      <c r="A5">
        <f t="shared" si="0"/>
        <v>2025</v>
      </c>
      <c r="B5">
        <f t="shared" si="1"/>
        <v>10</v>
      </c>
      <c r="C5">
        <f t="shared" si="2"/>
        <v>40</v>
      </c>
      <c r="D5" s="2">
        <f t="shared" si="3"/>
        <v>45931</v>
      </c>
      <c r="E5" s="1">
        <v>45931.333333333336</v>
      </c>
      <c r="F5" t="s">
        <v>63</v>
      </c>
      <c r="G5" t="s">
        <v>36</v>
      </c>
      <c r="H5" t="s">
        <v>64</v>
      </c>
      <c r="I5" t="s">
        <v>38</v>
      </c>
      <c r="J5" t="s">
        <v>60</v>
      </c>
      <c r="M5" t="s">
        <v>40</v>
      </c>
      <c r="N5" t="s">
        <v>41</v>
      </c>
      <c r="O5" t="s">
        <v>42</v>
      </c>
      <c r="P5">
        <v>18</v>
      </c>
      <c r="Q5">
        <v>0</v>
      </c>
      <c r="R5">
        <v>0</v>
      </c>
      <c r="S5">
        <v>0</v>
      </c>
      <c r="T5">
        <v>5018968640</v>
      </c>
      <c r="U5" t="s">
        <v>44</v>
      </c>
      <c r="W5" t="s">
        <v>61</v>
      </c>
      <c r="Y5">
        <v>0</v>
      </c>
      <c r="AA5" t="s">
        <v>40</v>
      </c>
      <c r="AB5" t="s">
        <v>46</v>
      </c>
      <c r="AC5" t="s">
        <v>47</v>
      </c>
      <c r="AF5" t="s">
        <v>62</v>
      </c>
      <c r="AJ5" t="s">
        <v>40</v>
      </c>
      <c r="AK5" t="s">
        <v>49</v>
      </c>
      <c r="AN5">
        <v>259324159</v>
      </c>
      <c r="AO5" s="1">
        <v>45931</v>
      </c>
      <c r="AP5" s="5">
        <v>0.33333333333333331</v>
      </c>
      <c r="AQ5" s="5">
        <v>0.375</v>
      </c>
      <c r="AR5">
        <f t="shared" si="5"/>
        <v>2830</v>
      </c>
      <c r="AS5">
        <v>1</v>
      </c>
      <c r="AT5">
        <f t="shared" si="4"/>
        <v>100</v>
      </c>
    </row>
    <row r="6" spans="1:46" x14ac:dyDescent="0.2">
      <c r="A6">
        <f t="shared" si="0"/>
        <v>2025</v>
      </c>
      <c r="B6">
        <f t="shared" si="1"/>
        <v>10</v>
      </c>
      <c r="C6">
        <f t="shared" si="2"/>
        <v>40</v>
      </c>
      <c r="D6" s="2">
        <f t="shared" si="3"/>
        <v>45931</v>
      </c>
      <c r="E6" s="1">
        <v>45931.333333333336</v>
      </c>
      <c r="F6" t="s">
        <v>65</v>
      </c>
      <c r="G6" t="s">
        <v>36</v>
      </c>
      <c r="H6">
        <v>447464</v>
      </c>
      <c r="I6" t="s">
        <v>51</v>
      </c>
      <c r="J6" t="s">
        <v>52</v>
      </c>
      <c r="M6" t="s">
        <v>40</v>
      </c>
      <c r="N6" t="s">
        <v>41</v>
      </c>
      <c r="O6" t="s">
        <v>66</v>
      </c>
      <c r="P6">
        <v>33</v>
      </c>
      <c r="Q6">
        <v>0</v>
      </c>
      <c r="R6">
        <v>0</v>
      </c>
      <c r="S6">
        <v>0</v>
      </c>
      <c r="T6" t="s">
        <v>54</v>
      </c>
      <c r="U6" t="s">
        <v>55</v>
      </c>
      <c r="W6" t="s">
        <v>67</v>
      </c>
      <c r="Y6">
        <v>0</v>
      </c>
      <c r="AA6" t="s">
        <v>40</v>
      </c>
      <c r="AB6" t="s">
        <v>46</v>
      </c>
      <c r="AC6" t="s">
        <v>47</v>
      </c>
      <c r="AG6" t="s">
        <v>68</v>
      </c>
      <c r="AJ6" t="s">
        <v>40</v>
      </c>
      <c r="AK6">
        <v>5019057031</v>
      </c>
      <c r="AO6" s="1">
        <v>45931</v>
      </c>
      <c r="AP6" s="5">
        <v>0.33333333333333331</v>
      </c>
      <c r="AQ6" s="5">
        <v>0.41666666666666702</v>
      </c>
      <c r="AR6">
        <f t="shared" si="5"/>
        <v>7363</v>
      </c>
      <c r="AS6">
        <v>1</v>
      </c>
      <c r="AT6">
        <f t="shared" si="4"/>
        <v>265</v>
      </c>
    </row>
    <row r="7" spans="1:46" x14ac:dyDescent="0.2">
      <c r="A7">
        <f t="shared" si="0"/>
        <v>2025</v>
      </c>
      <c r="B7">
        <f t="shared" si="1"/>
        <v>10</v>
      </c>
      <c r="C7">
        <f t="shared" si="2"/>
        <v>40</v>
      </c>
      <c r="D7" s="2">
        <f t="shared" si="3"/>
        <v>45931</v>
      </c>
      <c r="E7" s="1">
        <v>45931.333333333336</v>
      </c>
      <c r="F7" t="s">
        <v>69</v>
      </c>
      <c r="G7" t="s">
        <v>36</v>
      </c>
      <c r="H7" t="s">
        <v>70</v>
      </c>
      <c r="I7" t="s">
        <v>38</v>
      </c>
      <c r="J7" t="s">
        <v>60</v>
      </c>
      <c r="M7" t="s">
        <v>40</v>
      </c>
      <c r="N7" t="s">
        <v>41</v>
      </c>
      <c r="O7" t="s">
        <v>42</v>
      </c>
      <c r="P7">
        <v>20</v>
      </c>
      <c r="Q7">
        <v>0</v>
      </c>
      <c r="R7">
        <v>0</v>
      </c>
      <c r="S7">
        <v>0</v>
      </c>
      <c r="T7">
        <v>5018994426</v>
      </c>
      <c r="U7" t="s">
        <v>44</v>
      </c>
      <c r="W7" t="s">
        <v>61</v>
      </c>
      <c r="Y7">
        <v>0</v>
      </c>
      <c r="AA7" t="s">
        <v>40</v>
      </c>
      <c r="AB7" t="s">
        <v>46</v>
      </c>
      <c r="AC7" t="s">
        <v>47</v>
      </c>
      <c r="AF7" t="s">
        <v>62</v>
      </c>
      <c r="AJ7" t="s">
        <v>40</v>
      </c>
      <c r="AK7" t="s">
        <v>49</v>
      </c>
      <c r="AN7">
        <v>259597147</v>
      </c>
      <c r="AO7" s="1">
        <v>45931</v>
      </c>
      <c r="AP7" s="5">
        <v>0.33333333333333331</v>
      </c>
      <c r="AQ7" s="5">
        <v>0.45833333333333298</v>
      </c>
      <c r="AR7">
        <f t="shared" si="5"/>
        <v>3668</v>
      </c>
      <c r="AS7">
        <v>1</v>
      </c>
      <c r="AT7">
        <f t="shared" si="4"/>
        <v>138</v>
      </c>
    </row>
    <row r="8" spans="1:46" x14ac:dyDescent="0.2">
      <c r="A8">
        <f t="shared" si="0"/>
        <v>2025</v>
      </c>
      <c r="B8">
        <f t="shared" si="1"/>
        <v>10</v>
      </c>
      <c r="C8">
        <f t="shared" si="2"/>
        <v>40</v>
      </c>
      <c r="D8" s="2">
        <f t="shared" si="3"/>
        <v>45931</v>
      </c>
      <c r="E8" s="1">
        <v>45931.375</v>
      </c>
      <c r="F8" t="s">
        <v>71</v>
      </c>
      <c r="G8" t="s">
        <v>36</v>
      </c>
      <c r="H8" t="s">
        <v>72</v>
      </c>
      <c r="I8" t="s">
        <v>38</v>
      </c>
      <c r="J8" t="s">
        <v>60</v>
      </c>
      <c r="M8" t="s">
        <v>40</v>
      </c>
      <c r="N8" t="s">
        <v>41</v>
      </c>
      <c r="O8" t="s">
        <v>42</v>
      </c>
      <c r="P8">
        <v>20</v>
      </c>
      <c r="Q8">
        <v>0</v>
      </c>
      <c r="R8">
        <v>0</v>
      </c>
      <c r="S8">
        <v>0</v>
      </c>
      <c r="T8">
        <v>5019014203</v>
      </c>
      <c r="U8" t="s">
        <v>44</v>
      </c>
      <c r="W8" t="s">
        <v>61</v>
      </c>
      <c r="Y8">
        <v>0</v>
      </c>
      <c r="AA8" t="s">
        <v>40</v>
      </c>
      <c r="AB8" t="s">
        <v>46</v>
      </c>
      <c r="AC8" t="s">
        <v>47</v>
      </c>
      <c r="AF8" t="s">
        <v>62</v>
      </c>
      <c r="AJ8" t="s">
        <v>40</v>
      </c>
      <c r="AK8" t="s">
        <v>49</v>
      </c>
      <c r="AN8">
        <v>259597147</v>
      </c>
      <c r="AO8" s="1">
        <v>45931</v>
      </c>
      <c r="AP8" s="5">
        <v>0.375</v>
      </c>
      <c r="AQ8" s="5">
        <v>0.5</v>
      </c>
      <c r="AR8">
        <f t="shared" si="5"/>
        <v>4126</v>
      </c>
      <c r="AS8">
        <v>1</v>
      </c>
      <c r="AT8">
        <f t="shared" si="4"/>
        <v>125</v>
      </c>
    </row>
    <row r="9" spans="1:46" x14ac:dyDescent="0.2">
      <c r="A9">
        <f t="shared" si="0"/>
        <v>2025</v>
      </c>
      <c r="B9">
        <f t="shared" si="1"/>
        <v>10</v>
      </c>
      <c r="C9">
        <f t="shared" si="2"/>
        <v>40</v>
      </c>
      <c r="D9" s="2">
        <f t="shared" si="3"/>
        <v>45931</v>
      </c>
      <c r="E9" s="1">
        <v>45931.375</v>
      </c>
      <c r="F9" t="s">
        <v>73</v>
      </c>
      <c r="G9" t="s">
        <v>36</v>
      </c>
      <c r="H9" t="s">
        <v>74</v>
      </c>
      <c r="I9" t="s">
        <v>38</v>
      </c>
      <c r="J9" t="s">
        <v>60</v>
      </c>
      <c r="M9" t="s">
        <v>40</v>
      </c>
      <c r="N9" t="s">
        <v>41</v>
      </c>
      <c r="O9" t="s">
        <v>42</v>
      </c>
      <c r="P9">
        <v>18</v>
      </c>
      <c r="Q9">
        <v>0</v>
      </c>
      <c r="R9">
        <v>0</v>
      </c>
      <c r="S9">
        <v>0</v>
      </c>
      <c r="T9" t="s">
        <v>75</v>
      </c>
      <c r="U9" t="s">
        <v>44</v>
      </c>
      <c r="W9" t="s">
        <v>61</v>
      </c>
      <c r="Y9">
        <v>0</v>
      </c>
      <c r="AA9" t="s">
        <v>40</v>
      </c>
      <c r="AB9" t="s">
        <v>46</v>
      </c>
      <c r="AC9" t="s">
        <v>47</v>
      </c>
      <c r="AF9" t="s">
        <v>62</v>
      </c>
      <c r="AJ9" t="s">
        <v>40</v>
      </c>
      <c r="AK9" t="s">
        <v>49</v>
      </c>
      <c r="AN9">
        <v>259324204</v>
      </c>
      <c r="AO9" s="1">
        <v>45931</v>
      </c>
      <c r="AP9" s="5">
        <v>0.375</v>
      </c>
      <c r="AQ9" s="5">
        <v>0.54166666666666696</v>
      </c>
      <c r="AR9">
        <f t="shared" si="5"/>
        <v>6214</v>
      </c>
      <c r="AS9">
        <v>1</v>
      </c>
      <c r="AT9">
        <f t="shared" si="4"/>
        <v>235</v>
      </c>
    </row>
    <row r="10" spans="1:46" x14ac:dyDescent="0.2">
      <c r="A10">
        <f t="shared" si="0"/>
        <v>2025</v>
      </c>
      <c r="B10">
        <f t="shared" si="1"/>
        <v>10</v>
      </c>
      <c r="C10">
        <f t="shared" si="2"/>
        <v>40</v>
      </c>
      <c r="D10" s="2">
        <f t="shared" si="3"/>
        <v>45931</v>
      </c>
      <c r="E10" s="1">
        <v>45931.375</v>
      </c>
      <c r="F10" t="s">
        <v>76</v>
      </c>
      <c r="G10" t="s">
        <v>36</v>
      </c>
      <c r="H10" t="s">
        <v>77</v>
      </c>
      <c r="I10" t="s">
        <v>78</v>
      </c>
      <c r="J10" t="s">
        <v>52</v>
      </c>
      <c r="M10" t="s">
        <v>40</v>
      </c>
      <c r="N10" t="s">
        <v>41</v>
      </c>
      <c r="O10" t="s">
        <v>79</v>
      </c>
      <c r="P10">
        <v>66</v>
      </c>
      <c r="Q10">
        <v>0</v>
      </c>
      <c r="R10">
        <v>0</v>
      </c>
      <c r="S10">
        <v>0</v>
      </c>
      <c r="T10" t="s">
        <v>54</v>
      </c>
      <c r="U10" t="s">
        <v>55</v>
      </c>
      <c r="W10" t="s">
        <v>80</v>
      </c>
      <c r="Y10">
        <v>0</v>
      </c>
      <c r="AA10" t="s">
        <v>40</v>
      </c>
      <c r="AB10" t="s">
        <v>46</v>
      </c>
      <c r="AC10" t="s">
        <v>47</v>
      </c>
      <c r="AD10" t="s">
        <v>81</v>
      </c>
      <c r="AE10" t="s">
        <v>81</v>
      </c>
      <c r="AG10" t="s">
        <v>82</v>
      </c>
      <c r="AJ10" t="s">
        <v>40</v>
      </c>
      <c r="AK10" t="s">
        <v>83</v>
      </c>
      <c r="AO10" s="1">
        <v>45931</v>
      </c>
      <c r="AP10" s="5">
        <v>0.375</v>
      </c>
      <c r="AQ10" s="5">
        <v>0.58333333333333304</v>
      </c>
      <c r="AR10">
        <f t="shared" si="5"/>
        <v>2806</v>
      </c>
      <c r="AS10">
        <v>1</v>
      </c>
      <c r="AT10">
        <f t="shared" si="4"/>
        <v>113</v>
      </c>
    </row>
    <row r="11" spans="1:46" x14ac:dyDescent="0.2">
      <c r="A11">
        <f t="shared" si="0"/>
        <v>2025</v>
      </c>
      <c r="B11">
        <f t="shared" si="1"/>
        <v>10</v>
      </c>
      <c r="C11">
        <f t="shared" si="2"/>
        <v>40</v>
      </c>
      <c r="D11" s="2">
        <f t="shared" si="3"/>
        <v>45931</v>
      </c>
      <c r="E11" s="1">
        <v>45931.416666666664</v>
      </c>
      <c r="F11" t="s">
        <v>84</v>
      </c>
      <c r="G11" t="s">
        <v>36</v>
      </c>
      <c r="H11">
        <v>450196</v>
      </c>
      <c r="I11" t="s">
        <v>51</v>
      </c>
      <c r="J11" t="s">
        <v>52</v>
      </c>
      <c r="M11" t="s">
        <v>40</v>
      </c>
      <c r="N11" t="s">
        <v>41</v>
      </c>
      <c r="O11" t="s">
        <v>53</v>
      </c>
      <c r="P11">
        <v>33</v>
      </c>
      <c r="Q11">
        <v>0</v>
      </c>
      <c r="R11">
        <v>0</v>
      </c>
      <c r="S11">
        <v>0</v>
      </c>
      <c r="T11" t="s">
        <v>54</v>
      </c>
      <c r="U11" t="s">
        <v>55</v>
      </c>
      <c r="W11" t="s">
        <v>56</v>
      </c>
      <c r="Y11">
        <v>0</v>
      </c>
      <c r="AA11" t="s">
        <v>40</v>
      </c>
      <c r="AB11" t="s">
        <v>46</v>
      </c>
      <c r="AC11" t="s">
        <v>47</v>
      </c>
      <c r="AG11" t="s">
        <v>85</v>
      </c>
      <c r="AJ11" t="s">
        <v>40</v>
      </c>
      <c r="AK11">
        <v>5019058587</v>
      </c>
      <c r="AO11" s="1">
        <v>45931</v>
      </c>
      <c r="AP11" s="5">
        <v>0.41666666666666669</v>
      </c>
      <c r="AQ11" s="5">
        <v>0.625</v>
      </c>
      <c r="AR11">
        <f t="shared" si="5"/>
        <v>2735</v>
      </c>
      <c r="AS11">
        <v>1</v>
      </c>
      <c r="AT11">
        <f t="shared" si="4"/>
        <v>98</v>
      </c>
    </row>
    <row r="12" spans="1:46" x14ac:dyDescent="0.2">
      <c r="A12">
        <f t="shared" si="0"/>
        <v>2025</v>
      </c>
      <c r="B12">
        <f t="shared" si="1"/>
        <v>10</v>
      </c>
      <c r="C12">
        <f t="shared" si="2"/>
        <v>40</v>
      </c>
      <c r="D12" s="2">
        <f t="shared" si="3"/>
        <v>45931</v>
      </c>
      <c r="E12" s="1">
        <v>45931.416666666664</v>
      </c>
      <c r="F12" t="s">
        <v>86</v>
      </c>
      <c r="G12" t="s">
        <v>36</v>
      </c>
      <c r="H12" t="s">
        <v>37</v>
      </c>
      <c r="I12" t="s">
        <v>38</v>
      </c>
      <c r="J12" t="s">
        <v>39</v>
      </c>
      <c r="M12" t="s">
        <v>40</v>
      </c>
      <c r="N12" t="s">
        <v>41</v>
      </c>
      <c r="O12" t="s">
        <v>42</v>
      </c>
      <c r="P12">
        <v>23</v>
      </c>
      <c r="Q12">
        <v>0</v>
      </c>
      <c r="R12">
        <v>0</v>
      </c>
      <c r="S12">
        <v>0</v>
      </c>
      <c r="T12" t="s">
        <v>87</v>
      </c>
      <c r="U12" t="s">
        <v>44</v>
      </c>
      <c r="W12" t="s">
        <v>45</v>
      </c>
      <c r="Y12">
        <v>0</v>
      </c>
      <c r="AA12" t="s">
        <v>40</v>
      </c>
      <c r="AB12" t="s">
        <v>46</v>
      </c>
      <c r="AC12" t="s">
        <v>47</v>
      </c>
      <c r="AF12" t="s">
        <v>48</v>
      </c>
      <c r="AJ12" t="s">
        <v>40</v>
      </c>
      <c r="AK12" t="s">
        <v>49</v>
      </c>
      <c r="AO12" s="1">
        <v>45931</v>
      </c>
      <c r="AP12" s="5">
        <v>0.41666666666666669</v>
      </c>
      <c r="AQ12" s="5">
        <v>0.66666666666666696</v>
      </c>
      <c r="AR12">
        <f t="shared" si="5"/>
        <v>7562</v>
      </c>
      <c r="AS12">
        <v>1</v>
      </c>
      <c r="AT12">
        <f t="shared" si="4"/>
        <v>204</v>
      </c>
    </row>
    <row r="13" spans="1:46" x14ac:dyDescent="0.2">
      <c r="A13">
        <f t="shared" si="0"/>
        <v>2025</v>
      </c>
      <c r="B13">
        <f t="shared" si="1"/>
        <v>10</v>
      </c>
      <c r="C13">
        <f t="shared" si="2"/>
        <v>40</v>
      </c>
      <c r="D13" s="2">
        <f t="shared" si="3"/>
        <v>45931</v>
      </c>
      <c r="E13" s="1">
        <v>45931.416666666664</v>
      </c>
      <c r="F13" t="s">
        <v>88</v>
      </c>
      <c r="G13" t="s">
        <v>36</v>
      </c>
      <c r="H13">
        <v>447423</v>
      </c>
      <c r="I13" t="s">
        <v>51</v>
      </c>
      <c r="J13" t="s">
        <v>89</v>
      </c>
      <c r="M13" t="s">
        <v>40</v>
      </c>
      <c r="N13" t="s">
        <v>41</v>
      </c>
      <c r="O13" t="s">
        <v>90</v>
      </c>
      <c r="P13">
        <v>33</v>
      </c>
      <c r="Q13">
        <v>0</v>
      </c>
      <c r="R13">
        <v>0</v>
      </c>
      <c r="S13">
        <v>0</v>
      </c>
      <c r="T13" t="s">
        <v>91</v>
      </c>
      <c r="U13" t="s">
        <v>55</v>
      </c>
      <c r="W13" t="s">
        <v>92</v>
      </c>
      <c r="Y13">
        <v>0</v>
      </c>
      <c r="AA13" t="s">
        <v>40</v>
      </c>
      <c r="AB13" t="s">
        <v>46</v>
      </c>
      <c r="AC13" t="s">
        <v>47</v>
      </c>
      <c r="AG13" t="s">
        <v>93</v>
      </c>
      <c r="AJ13" t="s">
        <v>40</v>
      </c>
      <c r="AK13">
        <v>5019071004</v>
      </c>
      <c r="AO13" s="1">
        <v>45931</v>
      </c>
      <c r="AP13" s="5">
        <v>0.41666666666666669</v>
      </c>
      <c r="AQ13" s="5">
        <v>0.70833333333333404</v>
      </c>
      <c r="AR13">
        <f t="shared" si="5"/>
        <v>3816</v>
      </c>
      <c r="AS13">
        <v>1</v>
      </c>
      <c r="AT13">
        <f t="shared" si="4"/>
        <v>85</v>
      </c>
    </row>
    <row r="14" spans="1:46" x14ac:dyDescent="0.2">
      <c r="A14">
        <f t="shared" si="0"/>
        <v>2025</v>
      </c>
      <c r="B14">
        <f t="shared" si="1"/>
        <v>10</v>
      </c>
      <c r="C14">
        <f t="shared" si="2"/>
        <v>40</v>
      </c>
      <c r="D14" s="2">
        <f t="shared" si="3"/>
        <v>45931</v>
      </c>
      <c r="E14" s="1">
        <v>45931.416666666664</v>
      </c>
      <c r="F14" t="s">
        <v>94</v>
      </c>
      <c r="G14" t="s">
        <v>36</v>
      </c>
      <c r="H14" t="s">
        <v>37</v>
      </c>
      <c r="I14" t="s">
        <v>38</v>
      </c>
      <c r="J14" t="s">
        <v>39</v>
      </c>
      <c r="M14" t="s">
        <v>40</v>
      </c>
      <c r="N14" t="s">
        <v>41</v>
      </c>
      <c r="O14" t="s">
        <v>42</v>
      </c>
      <c r="P14">
        <v>23</v>
      </c>
      <c r="Q14">
        <v>0</v>
      </c>
      <c r="R14">
        <v>0</v>
      </c>
      <c r="S14">
        <v>0</v>
      </c>
      <c r="T14" t="s">
        <v>95</v>
      </c>
      <c r="U14" t="s">
        <v>44</v>
      </c>
      <c r="W14" t="s">
        <v>45</v>
      </c>
      <c r="Y14">
        <v>0</v>
      </c>
      <c r="AA14" t="s">
        <v>40</v>
      </c>
      <c r="AB14" t="s">
        <v>46</v>
      </c>
      <c r="AC14" t="s">
        <v>47</v>
      </c>
      <c r="AF14" t="s">
        <v>48</v>
      </c>
      <c r="AJ14" t="s">
        <v>40</v>
      </c>
      <c r="AK14" t="s">
        <v>49</v>
      </c>
      <c r="AO14" s="1">
        <v>45931</v>
      </c>
      <c r="AP14" s="5">
        <v>0.41666666666666669</v>
      </c>
      <c r="AQ14" s="5">
        <v>0.75</v>
      </c>
      <c r="AR14">
        <f t="shared" si="5"/>
        <v>3816</v>
      </c>
      <c r="AS14">
        <v>1</v>
      </c>
      <c r="AT14">
        <f t="shared" si="4"/>
        <v>85</v>
      </c>
    </row>
    <row r="15" spans="1:46" x14ac:dyDescent="0.2">
      <c r="A15">
        <f t="shared" si="0"/>
        <v>2025</v>
      </c>
      <c r="B15">
        <f t="shared" si="1"/>
        <v>10</v>
      </c>
      <c r="C15">
        <f t="shared" si="2"/>
        <v>40</v>
      </c>
      <c r="D15" s="2">
        <f t="shared" si="3"/>
        <v>45931</v>
      </c>
      <c r="E15" s="1">
        <v>45931.458333333336</v>
      </c>
      <c r="F15" t="s">
        <v>96</v>
      </c>
      <c r="G15" t="s">
        <v>36</v>
      </c>
      <c r="H15">
        <v>450201</v>
      </c>
      <c r="I15" t="s">
        <v>51</v>
      </c>
      <c r="J15" t="s">
        <v>52</v>
      </c>
      <c r="M15" t="s">
        <v>40</v>
      </c>
      <c r="N15" t="s">
        <v>41</v>
      </c>
      <c r="O15" t="s">
        <v>53</v>
      </c>
      <c r="P15">
        <v>33</v>
      </c>
      <c r="Q15">
        <v>0</v>
      </c>
      <c r="R15">
        <v>0</v>
      </c>
      <c r="S15">
        <v>0</v>
      </c>
      <c r="T15" t="s">
        <v>54</v>
      </c>
      <c r="U15" t="s">
        <v>55</v>
      </c>
      <c r="W15" t="s">
        <v>56</v>
      </c>
      <c r="Y15">
        <v>0</v>
      </c>
      <c r="AA15" t="s">
        <v>40</v>
      </c>
      <c r="AB15" t="s">
        <v>46</v>
      </c>
      <c r="AC15" t="s">
        <v>47</v>
      </c>
      <c r="AG15" t="s">
        <v>97</v>
      </c>
      <c r="AJ15" t="s">
        <v>40</v>
      </c>
      <c r="AK15">
        <v>5019060424</v>
      </c>
      <c r="AO15" s="1">
        <v>45931</v>
      </c>
      <c r="AP15" s="5">
        <v>0.45833333333333331</v>
      </c>
      <c r="AQ15" s="5">
        <v>0.79166666666666696</v>
      </c>
      <c r="AR15">
        <f t="shared" si="5"/>
        <v>4872</v>
      </c>
      <c r="AS15">
        <v>1</v>
      </c>
      <c r="AT15">
        <f t="shared" si="4"/>
        <v>107</v>
      </c>
    </row>
    <row r="16" spans="1:46" x14ac:dyDescent="0.2">
      <c r="A16">
        <f t="shared" si="0"/>
        <v>2025</v>
      </c>
      <c r="B16">
        <f t="shared" si="1"/>
        <v>10</v>
      </c>
      <c r="C16">
        <f t="shared" si="2"/>
        <v>40</v>
      </c>
      <c r="D16" s="2">
        <f t="shared" si="3"/>
        <v>45931</v>
      </c>
      <c r="E16" s="1">
        <v>45931.458333333336</v>
      </c>
      <c r="F16" t="s">
        <v>98</v>
      </c>
      <c r="G16" t="s">
        <v>36</v>
      </c>
      <c r="H16" t="s">
        <v>37</v>
      </c>
      <c r="I16" t="s">
        <v>38</v>
      </c>
      <c r="J16" t="s">
        <v>99</v>
      </c>
      <c r="N16" t="s">
        <v>41</v>
      </c>
      <c r="O16" t="s">
        <v>42</v>
      </c>
      <c r="P16">
        <v>8</v>
      </c>
      <c r="Q16">
        <v>0</v>
      </c>
      <c r="R16">
        <v>0</v>
      </c>
      <c r="S16">
        <v>0</v>
      </c>
      <c r="T16" t="s">
        <v>100</v>
      </c>
      <c r="U16" t="s">
        <v>101</v>
      </c>
      <c r="W16" t="s">
        <v>45</v>
      </c>
      <c r="Y16">
        <v>0</v>
      </c>
      <c r="AA16" t="s">
        <v>40</v>
      </c>
      <c r="AB16" t="s">
        <v>102</v>
      </c>
      <c r="AC16" t="s">
        <v>47</v>
      </c>
      <c r="AF16" t="s">
        <v>48</v>
      </c>
      <c r="AJ16" t="s">
        <v>40</v>
      </c>
      <c r="AK16" t="s">
        <v>49</v>
      </c>
      <c r="AM16" t="s">
        <v>103</v>
      </c>
      <c r="AN16" t="s">
        <v>104</v>
      </c>
      <c r="AO16" s="1">
        <v>45931</v>
      </c>
      <c r="AP16" s="5">
        <v>0.45833333333333331</v>
      </c>
      <c r="AQ16" s="5">
        <v>0.83333333333333404</v>
      </c>
      <c r="AR16">
        <f t="shared" si="5"/>
        <v>0</v>
      </c>
      <c r="AS16">
        <v>1</v>
      </c>
      <c r="AT16">
        <f t="shared" si="4"/>
        <v>0</v>
      </c>
    </row>
    <row r="17" spans="1:46" x14ac:dyDescent="0.2">
      <c r="A17">
        <f t="shared" si="0"/>
        <v>2025</v>
      </c>
      <c r="B17">
        <f t="shared" si="1"/>
        <v>10</v>
      </c>
      <c r="C17">
        <f t="shared" si="2"/>
        <v>40</v>
      </c>
      <c r="D17" s="2">
        <f t="shared" si="3"/>
        <v>45931</v>
      </c>
      <c r="E17" s="1">
        <v>45931.458333333336</v>
      </c>
      <c r="F17" t="s">
        <v>105</v>
      </c>
      <c r="G17" t="s">
        <v>36</v>
      </c>
      <c r="H17" t="s">
        <v>106</v>
      </c>
      <c r="I17" t="s">
        <v>38</v>
      </c>
      <c r="J17" t="s">
        <v>107</v>
      </c>
      <c r="M17" t="s">
        <v>40</v>
      </c>
      <c r="N17" t="s">
        <v>41</v>
      </c>
      <c r="O17" t="s">
        <v>42</v>
      </c>
      <c r="P17">
        <v>33</v>
      </c>
      <c r="Q17">
        <v>0</v>
      </c>
      <c r="R17">
        <v>0</v>
      </c>
      <c r="S17">
        <v>0</v>
      </c>
      <c r="T17">
        <v>5019013909</v>
      </c>
      <c r="U17" t="s">
        <v>44</v>
      </c>
      <c r="W17" t="s">
        <v>108</v>
      </c>
      <c r="Y17">
        <v>0</v>
      </c>
      <c r="AA17" t="s">
        <v>40</v>
      </c>
      <c r="AB17" t="s">
        <v>46</v>
      </c>
      <c r="AC17" t="s">
        <v>47</v>
      </c>
      <c r="AF17" t="s">
        <v>109</v>
      </c>
      <c r="AJ17" t="s">
        <v>40</v>
      </c>
      <c r="AK17" t="s">
        <v>49</v>
      </c>
      <c r="AO17" s="1">
        <v>45931</v>
      </c>
      <c r="AP17" s="5">
        <v>0.45833333333333331</v>
      </c>
      <c r="AQ17" s="5">
        <v>0.875</v>
      </c>
      <c r="AR17">
        <f t="shared" si="5"/>
        <v>0</v>
      </c>
      <c r="AS17">
        <v>1</v>
      </c>
      <c r="AT17">
        <f t="shared" si="4"/>
        <v>0</v>
      </c>
    </row>
    <row r="18" spans="1:46" x14ac:dyDescent="0.2">
      <c r="A18">
        <f t="shared" si="0"/>
        <v>2025</v>
      </c>
      <c r="B18">
        <f t="shared" si="1"/>
        <v>10</v>
      </c>
      <c r="C18">
        <f t="shared" si="2"/>
        <v>40</v>
      </c>
      <c r="D18" s="2">
        <f t="shared" si="3"/>
        <v>45931</v>
      </c>
      <c r="E18" s="1">
        <v>45931.458333333336</v>
      </c>
      <c r="F18" t="s">
        <v>110</v>
      </c>
      <c r="G18" t="s">
        <v>36</v>
      </c>
      <c r="H18" t="s">
        <v>111</v>
      </c>
      <c r="I18" t="s">
        <v>38</v>
      </c>
      <c r="J18" t="s">
        <v>112</v>
      </c>
      <c r="M18" t="s">
        <v>40</v>
      </c>
      <c r="N18" t="s">
        <v>41</v>
      </c>
      <c r="O18" t="s">
        <v>42</v>
      </c>
      <c r="P18">
        <v>23</v>
      </c>
      <c r="Q18">
        <v>0</v>
      </c>
      <c r="R18">
        <v>0</v>
      </c>
      <c r="S18">
        <v>0</v>
      </c>
      <c r="T18" t="s">
        <v>113</v>
      </c>
      <c r="U18" t="s">
        <v>44</v>
      </c>
      <c r="W18" t="s">
        <v>45</v>
      </c>
      <c r="Y18">
        <v>0</v>
      </c>
      <c r="AA18" t="s">
        <v>40</v>
      </c>
      <c r="AB18" t="s">
        <v>46</v>
      </c>
      <c r="AC18" t="s">
        <v>47</v>
      </c>
      <c r="AF18" t="s">
        <v>48</v>
      </c>
      <c r="AJ18" t="s">
        <v>40</v>
      </c>
      <c r="AK18" t="s">
        <v>49</v>
      </c>
      <c r="AO18" s="1">
        <v>45931</v>
      </c>
      <c r="AP18" s="5">
        <v>0.45833333333333331</v>
      </c>
      <c r="AQ18" s="5">
        <v>0.91666666666666696</v>
      </c>
      <c r="AR18">
        <f t="shared" si="5"/>
        <v>13</v>
      </c>
      <c r="AS18">
        <v>1</v>
      </c>
      <c r="AT18">
        <f t="shared" si="4"/>
        <v>7</v>
      </c>
    </row>
    <row r="19" spans="1:46" x14ac:dyDescent="0.2">
      <c r="A19">
        <f t="shared" si="0"/>
        <v>2025</v>
      </c>
      <c r="B19">
        <f t="shared" si="1"/>
        <v>10</v>
      </c>
      <c r="C19">
        <f t="shared" si="2"/>
        <v>40</v>
      </c>
      <c r="D19" s="2">
        <f t="shared" si="3"/>
        <v>45931</v>
      </c>
      <c r="E19" s="1">
        <v>45931.458333333336</v>
      </c>
      <c r="F19" t="s">
        <v>114</v>
      </c>
      <c r="G19" t="s">
        <v>36</v>
      </c>
      <c r="H19" t="s">
        <v>115</v>
      </c>
      <c r="I19" t="s">
        <v>38</v>
      </c>
      <c r="J19" t="s">
        <v>60</v>
      </c>
      <c r="M19" t="s">
        <v>40</v>
      </c>
      <c r="N19" t="s">
        <v>41</v>
      </c>
      <c r="O19" t="s">
        <v>42</v>
      </c>
      <c r="P19">
        <v>20</v>
      </c>
      <c r="Q19">
        <v>0</v>
      </c>
      <c r="R19">
        <v>0</v>
      </c>
      <c r="S19">
        <v>0</v>
      </c>
      <c r="T19">
        <v>5018996795</v>
      </c>
      <c r="U19" t="s">
        <v>44</v>
      </c>
      <c r="W19" t="s">
        <v>116</v>
      </c>
      <c r="Y19">
        <v>0</v>
      </c>
      <c r="AA19" t="s">
        <v>40</v>
      </c>
      <c r="AB19" t="s">
        <v>46</v>
      </c>
      <c r="AC19" t="s">
        <v>47</v>
      </c>
      <c r="AF19" t="s">
        <v>62</v>
      </c>
      <c r="AJ19" t="s">
        <v>40</v>
      </c>
      <c r="AK19" t="s">
        <v>49</v>
      </c>
      <c r="AN19">
        <v>259597180</v>
      </c>
      <c r="AO19" s="1">
        <v>45931</v>
      </c>
      <c r="AP19" s="5">
        <v>0.45833333333333331</v>
      </c>
      <c r="AQ19" s="5">
        <v>0.95833333333333404</v>
      </c>
      <c r="AR19">
        <f t="shared" si="5"/>
        <v>0</v>
      </c>
      <c r="AS19">
        <v>1</v>
      </c>
      <c r="AT19">
        <f t="shared" si="4"/>
        <v>0</v>
      </c>
    </row>
    <row r="20" spans="1:46" x14ac:dyDescent="0.2">
      <c r="A20">
        <f t="shared" si="0"/>
        <v>2025</v>
      </c>
      <c r="B20">
        <f t="shared" si="1"/>
        <v>10</v>
      </c>
      <c r="C20">
        <f t="shared" si="2"/>
        <v>40</v>
      </c>
      <c r="D20" s="2">
        <f t="shared" si="3"/>
        <v>45931</v>
      </c>
      <c r="E20" s="1">
        <v>45931.5</v>
      </c>
      <c r="F20" t="s">
        <v>117</v>
      </c>
      <c r="G20" t="s">
        <v>36</v>
      </c>
      <c r="H20">
        <v>447426</v>
      </c>
      <c r="I20" t="s">
        <v>51</v>
      </c>
      <c r="J20" t="s">
        <v>118</v>
      </c>
      <c r="M20" t="s">
        <v>40</v>
      </c>
      <c r="N20" t="s">
        <v>41</v>
      </c>
      <c r="O20" t="s">
        <v>119</v>
      </c>
      <c r="P20">
        <v>33</v>
      </c>
      <c r="Q20">
        <v>0</v>
      </c>
      <c r="R20">
        <v>0</v>
      </c>
      <c r="S20">
        <v>0</v>
      </c>
      <c r="T20" t="s">
        <v>54</v>
      </c>
      <c r="U20" t="s">
        <v>55</v>
      </c>
      <c r="W20" t="s">
        <v>120</v>
      </c>
      <c r="Y20">
        <v>0</v>
      </c>
      <c r="AA20" t="s">
        <v>40</v>
      </c>
      <c r="AB20" t="s">
        <v>46</v>
      </c>
      <c r="AC20" t="s">
        <v>47</v>
      </c>
      <c r="AG20" t="s">
        <v>121</v>
      </c>
      <c r="AJ20" t="s">
        <v>40</v>
      </c>
      <c r="AK20">
        <v>5019067412</v>
      </c>
      <c r="AO20" s="1">
        <v>45931</v>
      </c>
      <c r="AP20" s="5">
        <v>0.5</v>
      </c>
      <c r="AS20">
        <v>1</v>
      </c>
    </row>
    <row r="21" spans="1:46" x14ac:dyDescent="0.2">
      <c r="A21">
        <f t="shared" si="0"/>
        <v>2025</v>
      </c>
      <c r="B21">
        <f t="shared" si="1"/>
        <v>10</v>
      </c>
      <c r="C21">
        <f t="shared" si="2"/>
        <v>40</v>
      </c>
      <c r="D21" s="2">
        <f t="shared" si="3"/>
        <v>45931</v>
      </c>
      <c r="E21" s="1">
        <v>45931.5</v>
      </c>
      <c r="F21" t="s">
        <v>122</v>
      </c>
      <c r="G21" t="s">
        <v>36</v>
      </c>
      <c r="H21" t="s">
        <v>123</v>
      </c>
      <c r="I21" t="s">
        <v>38</v>
      </c>
      <c r="J21" t="s">
        <v>60</v>
      </c>
      <c r="M21" t="s">
        <v>40</v>
      </c>
      <c r="N21" t="s">
        <v>41</v>
      </c>
      <c r="O21" t="s">
        <v>42</v>
      </c>
      <c r="P21">
        <v>20</v>
      </c>
      <c r="Q21">
        <v>0</v>
      </c>
      <c r="R21">
        <v>0</v>
      </c>
      <c r="S21">
        <v>0</v>
      </c>
      <c r="T21" t="s">
        <v>124</v>
      </c>
      <c r="U21" t="s">
        <v>44</v>
      </c>
      <c r="W21" t="s">
        <v>61</v>
      </c>
      <c r="Y21">
        <v>0</v>
      </c>
      <c r="AA21" t="s">
        <v>40</v>
      </c>
      <c r="AB21" t="s">
        <v>46</v>
      </c>
      <c r="AC21" t="s">
        <v>47</v>
      </c>
      <c r="AF21" t="s">
        <v>62</v>
      </c>
      <c r="AJ21" t="s">
        <v>40</v>
      </c>
      <c r="AK21" t="s">
        <v>49</v>
      </c>
      <c r="AN21">
        <v>259597180</v>
      </c>
      <c r="AO21" s="1">
        <v>45931</v>
      </c>
      <c r="AP21" s="5">
        <v>0.5</v>
      </c>
      <c r="AS21">
        <v>1</v>
      </c>
    </row>
    <row r="22" spans="1:46" x14ac:dyDescent="0.2">
      <c r="A22">
        <f t="shared" si="0"/>
        <v>2025</v>
      </c>
      <c r="B22">
        <f t="shared" si="1"/>
        <v>10</v>
      </c>
      <c r="C22">
        <f t="shared" si="2"/>
        <v>40</v>
      </c>
      <c r="D22" s="2">
        <f t="shared" si="3"/>
        <v>45931</v>
      </c>
      <c r="E22" s="1">
        <v>45931.5</v>
      </c>
      <c r="F22" t="s">
        <v>125</v>
      </c>
      <c r="G22" t="s">
        <v>36</v>
      </c>
      <c r="H22">
        <v>447422</v>
      </c>
      <c r="I22" t="s">
        <v>51</v>
      </c>
      <c r="J22" t="s">
        <v>126</v>
      </c>
      <c r="M22" t="s">
        <v>40</v>
      </c>
      <c r="N22" t="s">
        <v>41</v>
      </c>
      <c r="O22" t="s">
        <v>127</v>
      </c>
      <c r="P22">
        <v>33</v>
      </c>
      <c r="Q22">
        <v>0</v>
      </c>
      <c r="R22">
        <v>0</v>
      </c>
      <c r="S22">
        <v>0</v>
      </c>
      <c r="T22" t="s">
        <v>54</v>
      </c>
      <c r="U22" t="s">
        <v>55</v>
      </c>
      <c r="W22" t="s">
        <v>128</v>
      </c>
      <c r="Y22">
        <v>0</v>
      </c>
      <c r="AA22" t="s">
        <v>40</v>
      </c>
      <c r="AB22" t="s">
        <v>46</v>
      </c>
      <c r="AC22" t="s">
        <v>47</v>
      </c>
      <c r="AG22" t="s">
        <v>129</v>
      </c>
      <c r="AJ22" t="s">
        <v>40</v>
      </c>
      <c r="AK22">
        <v>5019045717</v>
      </c>
      <c r="AO22" s="1">
        <v>45931</v>
      </c>
      <c r="AP22" s="5">
        <v>0.5</v>
      </c>
      <c r="AS22">
        <v>1</v>
      </c>
    </row>
    <row r="23" spans="1:46" x14ac:dyDescent="0.2">
      <c r="A23">
        <f t="shared" si="0"/>
        <v>2025</v>
      </c>
      <c r="B23">
        <f t="shared" si="1"/>
        <v>10</v>
      </c>
      <c r="C23">
        <f t="shared" si="2"/>
        <v>40</v>
      </c>
      <c r="D23" s="2">
        <f t="shared" si="3"/>
        <v>45931</v>
      </c>
      <c r="E23" s="1">
        <v>45931.5</v>
      </c>
      <c r="F23" t="s">
        <v>130</v>
      </c>
      <c r="G23" t="s">
        <v>36</v>
      </c>
      <c r="H23" t="s">
        <v>131</v>
      </c>
      <c r="I23" t="s">
        <v>38</v>
      </c>
      <c r="J23" t="s">
        <v>60</v>
      </c>
      <c r="M23" t="s">
        <v>40</v>
      </c>
      <c r="N23" t="s">
        <v>41</v>
      </c>
      <c r="O23" t="s">
        <v>42</v>
      </c>
      <c r="P23">
        <v>20</v>
      </c>
      <c r="Q23">
        <v>0</v>
      </c>
      <c r="R23">
        <v>0</v>
      </c>
      <c r="S23">
        <v>0</v>
      </c>
      <c r="T23" t="s">
        <v>132</v>
      </c>
      <c r="U23" t="s">
        <v>44</v>
      </c>
      <c r="W23" t="s">
        <v>116</v>
      </c>
      <c r="Y23">
        <v>0</v>
      </c>
      <c r="AA23" t="s">
        <v>40</v>
      </c>
      <c r="AB23" t="s">
        <v>46</v>
      </c>
      <c r="AC23" t="s">
        <v>47</v>
      </c>
      <c r="AF23" t="s">
        <v>133</v>
      </c>
      <c r="AJ23" t="s">
        <v>40</v>
      </c>
      <c r="AK23" t="s">
        <v>49</v>
      </c>
      <c r="AN23">
        <v>259044595</v>
      </c>
      <c r="AO23" s="1">
        <v>45931</v>
      </c>
      <c r="AP23" s="5">
        <v>0.5</v>
      </c>
      <c r="AS23">
        <v>1</v>
      </c>
    </row>
    <row r="24" spans="1:46" x14ac:dyDescent="0.2">
      <c r="A24">
        <f t="shared" si="0"/>
        <v>2025</v>
      </c>
      <c r="B24">
        <f t="shared" si="1"/>
        <v>10</v>
      </c>
      <c r="C24">
        <f t="shared" si="2"/>
        <v>40</v>
      </c>
      <c r="D24" s="2">
        <f t="shared" si="3"/>
        <v>45931</v>
      </c>
      <c r="E24" s="1">
        <v>45931.541666666664</v>
      </c>
      <c r="F24" t="s">
        <v>134</v>
      </c>
      <c r="G24" t="s">
        <v>36</v>
      </c>
      <c r="H24" t="s">
        <v>37</v>
      </c>
      <c r="I24" t="s">
        <v>38</v>
      </c>
      <c r="J24" t="s">
        <v>39</v>
      </c>
      <c r="M24" t="s">
        <v>40</v>
      </c>
      <c r="N24" t="s">
        <v>41</v>
      </c>
      <c r="O24" t="s">
        <v>42</v>
      </c>
      <c r="P24">
        <v>23</v>
      </c>
      <c r="Q24">
        <v>0</v>
      </c>
      <c r="R24">
        <v>0</v>
      </c>
      <c r="S24">
        <v>0</v>
      </c>
      <c r="T24" t="s">
        <v>135</v>
      </c>
      <c r="U24" t="s">
        <v>44</v>
      </c>
      <c r="W24" t="s">
        <v>45</v>
      </c>
      <c r="Y24">
        <v>0</v>
      </c>
      <c r="AA24" t="s">
        <v>40</v>
      </c>
      <c r="AB24" t="s">
        <v>46</v>
      </c>
      <c r="AC24" t="s">
        <v>47</v>
      </c>
      <c r="AF24" t="s">
        <v>48</v>
      </c>
      <c r="AJ24" t="s">
        <v>40</v>
      </c>
      <c r="AK24" t="s">
        <v>49</v>
      </c>
      <c r="AO24" s="1">
        <v>45931</v>
      </c>
      <c r="AP24" s="5">
        <v>0.54166666666666663</v>
      </c>
      <c r="AS24">
        <v>1</v>
      </c>
    </row>
    <row r="25" spans="1:46" x14ac:dyDescent="0.2">
      <c r="A25">
        <f t="shared" si="0"/>
        <v>2025</v>
      </c>
      <c r="B25">
        <f t="shared" si="1"/>
        <v>10</v>
      </c>
      <c r="C25">
        <f t="shared" si="2"/>
        <v>40</v>
      </c>
      <c r="D25" s="2">
        <f t="shared" si="3"/>
        <v>45931</v>
      </c>
      <c r="E25" s="1">
        <v>45931.541666666664</v>
      </c>
      <c r="F25" t="s">
        <v>136</v>
      </c>
      <c r="G25" t="s">
        <v>36</v>
      </c>
      <c r="H25" t="s">
        <v>37</v>
      </c>
      <c r="I25" t="s">
        <v>38</v>
      </c>
      <c r="J25" t="s">
        <v>39</v>
      </c>
      <c r="M25" t="s">
        <v>40</v>
      </c>
      <c r="N25" t="s">
        <v>41</v>
      </c>
      <c r="O25" t="s">
        <v>42</v>
      </c>
      <c r="P25">
        <v>23</v>
      </c>
      <c r="Q25">
        <v>0</v>
      </c>
      <c r="R25">
        <v>0</v>
      </c>
      <c r="S25">
        <v>0</v>
      </c>
      <c r="T25" t="s">
        <v>137</v>
      </c>
      <c r="U25" t="s">
        <v>44</v>
      </c>
      <c r="W25" t="s">
        <v>45</v>
      </c>
      <c r="Y25">
        <v>0</v>
      </c>
      <c r="AA25" t="s">
        <v>40</v>
      </c>
      <c r="AB25" t="s">
        <v>46</v>
      </c>
      <c r="AC25" t="s">
        <v>47</v>
      </c>
      <c r="AF25" t="s">
        <v>48</v>
      </c>
      <c r="AJ25" t="s">
        <v>40</v>
      </c>
      <c r="AK25" t="s">
        <v>49</v>
      </c>
      <c r="AO25" s="1">
        <v>45931</v>
      </c>
      <c r="AP25" s="5">
        <v>0.54166666666666663</v>
      </c>
      <c r="AS25">
        <v>1</v>
      </c>
    </row>
    <row r="26" spans="1:46" x14ac:dyDescent="0.2">
      <c r="A26">
        <f t="shared" si="0"/>
        <v>2025</v>
      </c>
      <c r="B26">
        <f t="shared" si="1"/>
        <v>10</v>
      </c>
      <c r="C26">
        <f t="shared" si="2"/>
        <v>40</v>
      </c>
      <c r="D26" s="2">
        <f t="shared" si="3"/>
        <v>45931</v>
      </c>
      <c r="E26" s="1">
        <v>45931.541666666664</v>
      </c>
      <c r="F26" t="s">
        <v>138</v>
      </c>
      <c r="G26" t="s">
        <v>36</v>
      </c>
      <c r="H26" t="s">
        <v>139</v>
      </c>
      <c r="I26" t="s">
        <v>38</v>
      </c>
      <c r="J26" t="s">
        <v>140</v>
      </c>
      <c r="M26" t="s">
        <v>40</v>
      </c>
      <c r="N26" t="s">
        <v>41</v>
      </c>
      <c r="O26" t="s">
        <v>42</v>
      </c>
      <c r="P26">
        <v>8</v>
      </c>
      <c r="Q26">
        <v>0</v>
      </c>
      <c r="R26">
        <v>0</v>
      </c>
      <c r="S26">
        <v>0</v>
      </c>
      <c r="T26">
        <v>5019075869</v>
      </c>
      <c r="U26" t="s">
        <v>101</v>
      </c>
      <c r="W26" t="s">
        <v>141</v>
      </c>
      <c r="Y26">
        <v>0</v>
      </c>
      <c r="AA26" t="s">
        <v>40</v>
      </c>
      <c r="AB26" t="s">
        <v>46</v>
      </c>
      <c r="AC26" t="s">
        <v>47</v>
      </c>
      <c r="AF26" t="s">
        <v>48</v>
      </c>
      <c r="AJ26" t="s">
        <v>40</v>
      </c>
      <c r="AK26" t="s">
        <v>49</v>
      </c>
      <c r="AO26" s="1">
        <v>45931</v>
      </c>
      <c r="AP26" s="5">
        <v>0.54166666666666663</v>
      </c>
      <c r="AS26">
        <v>1</v>
      </c>
    </row>
    <row r="27" spans="1:46" x14ac:dyDescent="0.2">
      <c r="A27">
        <f t="shared" si="0"/>
        <v>2025</v>
      </c>
      <c r="B27">
        <f t="shared" si="1"/>
        <v>10</v>
      </c>
      <c r="C27">
        <f t="shared" si="2"/>
        <v>40</v>
      </c>
      <c r="D27" s="2">
        <f t="shared" si="3"/>
        <v>45931</v>
      </c>
      <c r="E27" s="1">
        <v>45931.541666666664</v>
      </c>
      <c r="F27" t="s">
        <v>142</v>
      </c>
      <c r="G27" t="s">
        <v>36</v>
      </c>
      <c r="H27" t="s">
        <v>143</v>
      </c>
      <c r="I27" t="s">
        <v>78</v>
      </c>
      <c r="J27" t="s">
        <v>144</v>
      </c>
      <c r="M27" t="s">
        <v>40</v>
      </c>
      <c r="N27" t="s">
        <v>41</v>
      </c>
      <c r="O27" t="s">
        <v>145</v>
      </c>
      <c r="P27">
        <v>66</v>
      </c>
      <c r="Q27">
        <v>0</v>
      </c>
      <c r="R27">
        <v>0</v>
      </c>
      <c r="S27">
        <v>0</v>
      </c>
      <c r="T27" t="s">
        <v>54</v>
      </c>
      <c r="U27" t="s">
        <v>55</v>
      </c>
      <c r="W27" t="s">
        <v>146</v>
      </c>
      <c r="Y27">
        <v>0</v>
      </c>
      <c r="AA27" t="s">
        <v>40</v>
      </c>
      <c r="AB27" t="s">
        <v>46</v>
      </c>
      <c r="AC27" t="s">
        <v>47</v>
      </c>
      <c r="AD27" t="s">
        <v>81</v>
      </c>
      <c r="AE27" t="s">
        <v>81</v>
      </c>
      <c r="AG27" t="s">
        <v>147</v>
      </c>
      <c r="AJ27" t="s">
        <v>40</v>
      </c>
      <c r="AK27" t="s">
        <v>148</v>
      </c>
      <c r="AO27" s="1">
        <v>45931</v>
      </c>
      <c r="AP27" s="5">
        <v>0.54166666666666663</v>
      </c>
      <c r="AS27">
        <v>1</v>
      </c>
    </row>
    <row r="28" spans="1:46" x14ac:dyDescent="0.2">
      <c r="A28">
        <f t="shared" si="0"/>
        <v>2025</v>
      </c>
      <c r="B28">
        <f t="shared" si="1"/>
        <v>10</v>
      </c>
      <c r="C28">
        <f t="shared" si="2"/>
        <v>40</v>
      </c>
      <c r="D28" s="2">
        <f t="shared" si="3"/>
        <v>45931</v>
      </c>
      <c r="E28" s="1">
        <v>45931.541666666664</v>
      </c>
      <c r="F28" t="s">
        <v>149</v>
      </c>
      <c r="G28" t="s">
        <v>36</v>
      </c>
      <c r="H28" t="s">
        <v>111</v>
      </c>
      <c r="I28" t="s">
        <v>38</v>
      </c>
      <c r="J28" t="s">
        <v>112</v>
      </c>
      <c r="M28" t="s">
        <v>40</v>
      </c>
      <c r="N28" t="s">
        <v>41</v>
      </c>
      <c r="O28" t="s">
        <v>42</v>
      </c>
      <c r="P28">
        <v>23</v>
      </c>
      <c r="Q28">
        <v>0</v>
      </c>
      <c r="R28">
        <v>0</v>
      </c>
      <c r="S28">
        <v>0</v>
      </c>
      <c r="T28" t="s">
        <v>150</v>
      </c>
      <c r="U28" t="s">
        <v>44</v>
      </c>
      <c r="W28" t="s">
        <v>45</v>
      </c>
      <c r="Y28">
        <v>0</v>
      </c>
      <c r="AA28" t="s">
        <v>40</v>
      </c>
      <c r="AB28" t="s">
        <v>46</v>
      </c>
      <c r="AC28" t="s">
        <v>47</v>
      </c>
      <c r="AF28" t="s">
        <v>48</v>
      </c>
      <c r="AJ28" t="s">
        <v>40</v>
      </c>
      <c r="AK28" t="s">
        <v>49</v>
      </c>
      <c r="AO28" s="1">
        <v>45931</v>
      </c>
      <c r="AP28" s="5">
        <v>0.54166666666666663</v>
      </c>
      <c r="AS28">
        <v>1</v>
      </c>
    </row>
    <row r="29" spans="1:46" x14ac:dyDescent="0.2">
      <c r="A29">
        <f t="shared" si="0"/>
        <v>2025</v>
      </c>
      <c r="B29">
        <f t="shared" si="1"/>
        <v>10</v>
      </c>
      <c r="C29">
        <f t="shared" si="2"/>
        <v>40</v>
      </c>
      <c r="D29" s="2">
        <f t="shared" si="3"/>
        <v>45931</v>
      </c>
      <c r="E29" s="1">
        <v>45931.583333333336</v>
      </c>
      <c r="F29" t="s">
        <v>151</v>
      </c>
      <c r="G29" t="s">
        <v>36</v>
      </c>
      <c r="H29" t="s">
        <v>111</v>
      </c>
      <c r="I29" t="s">
        <v>38</v>
      </c>
      <c r="J29" t="s">
        <v>112</v>
      </c>
      <c r="M29" t="s">
        <v>40</v>
      </c>
      <c r="N29" t="s">
        <v>41</v>
      </c>
      <c r="O29" t="s">
        <v>42</v>
      </c>
      <c r="P29">
        <v>23</v>
      </c>
      <c r="Q29">
        <v>0</v>
      </c>
      <c r="R29">
        <v>0</v>
      </c>
      <c r="S29">
        <v>0</v>
      </c>
      <c r="T29" t="s">
        <v>152</v>
      </c>
      <c r="U29" t="s">
        <v>44</v>
      </c>
      <c r="W29" t="s">
        <v>45</v>
      </c>
      <c r="Y29">
        <v>0</v>
      </c>
      <c r="AA29" t="s">
        <v>40</v>
      </c>
      <c r="AB29" t="s">
        <v>46</v>
      </c>
      <c r="AC29" t="s">
        <v>47</v>
      </c>
      <c r="AF29" t="s">
        <v>48</v>
      </c>
      <c r="AJ29" t="s">
        <v>40</v>
      </c>
      <c r="AK29" t="s">
        <v>49</v>
      </c>
      <c r="AO29" s="1">
        <v>45931</v>
      </c>
      <c r="AP29" s="5">
        <v>0.58333333333333337</v>
      </c>
      <c r="AS29">
        <v>1</v>
      </c>
    </row>
    <row r="30" spans="1:46" x14ac:dyDescent="0.2">
      <c r="A30">
        <f t="shared" si="0"/>
        <v>2025</v>
      </c>
      <c r="B30">
        <f t="shared" si="1"/>
        <v>10</v>
      </c>
      <c r="C30">
        <f t="shared" si="2"/>
        <v>40</v>
      </c>
      <c r="D30" s="2">
        <f t="shared" si="3"/>
        <v>45931</v>
      </c>
      <c r="E30" s="1">
        <v>45931.583333333336</v>
      </c>
      <c r="F30" t="s">
        <v>153</v>
      </c>
      <c r="G30" t="s">
        <v>36</v>
      </c>
      <c r="H30">
        <v>447428</v>
      </c>
      <c r="I30" t="s">
        <v>51</v>
      </c>
      <c r="J30" t="s">
        <v>154</v>
      </c>
      <c r="M30" t="s">
        <v>40</v>
      </c>
      <c r="N30" t="s">
        <v>41</v>
      </c>
      <c r="O30" t="s">
        <v>155</v>
      </c>
      <c r="P30">
        <v>33</v>
      </c>
      <c r="Q30">
        <v>0</v>
      </c>
      <c r="R30">
        <v>0</v>
      </c>
      <c r="S30">
        <v>0</v>
      </c>
      <c r="T30" t="s">
        <v>54</v>
      </c>
      <c r="U30" t="s">
        <v>55</v>
      </c>
      <c r="W30" t="s">
        <v>156</v>
      </c>
      <c r="Y30">
        <v>0</v>
      </c>
      <c r="AA30" t="s">
        <v>40</v>
      </c>
      <c r="AB30" t="s">
        <v>46</v>
      </c>
      <c r="AC30" t="s">
        <v>47</v>
      </c>
      <c r="AG30" t="s">
        <v>157</v>
      </c>
      <c r="AJ30" t="s">
        <v>40</v>
      </c>
      <c r="AK30">
        <v>5019036478</v>
      </c>
      <c r="AO30" s="1">
        <v>45931</v>
      </c>
      <c r="AP30" s="5">
        <v>0.58333333333333337</v>
      </c>
      <c r="AS30">
        <v>1</v>
      </c>
    </row>
    <row r="31" spans="1:46" x14ac:dyDescent="0.2">
      <c r="A31">
        <f t="shared" si="0"/>
        <v>2025</v>
      </c>
      <c r="B31">
        <f t="shared" si="1"/>
        <v>10</v>
      </c>
      <c r="C31">
        <f t="shared" si="2"/>
        <v>40</v>
      </c>
      <c r="D31" s="2">
        <f t="shared" si="3"/>
        <v>45931</v>
      </c>
      <c r="E31" s="1">
        <v>45931.583333333336</v>
      </c>
      <c r="F31" t="s">
        <v>158</v>
      </c>
      <c r="G31" t="s">
        <v>36</v>
      </c>
      <c r="H31" t="s">
        <v>37</v>
      </c>
      <c r="I31" t="s">
        <v>38</v>
      </c>
      <c r="J31" t="s">
        <v>39</v>
      </c>
      <c r="M31" t="s">
        <v>40</v>
      </c>
      <c r="N31" t="s">
        <v>41</v>
      </c>
      <c r="O31" t="s">
        <v>42</v>
      </c>
      <c r="P31">
        <v>23</v>
      </c>
      <c r="Q31">
        <v>0</v>
      </c>
      <c r="R31">
        <v>0</v>
      </c>
      <c r="S31">
        <v>0</v>
      </c>
      <c r="T31" t="s">
        <v>159</v>
      </c>
      <c r="U31" t="s">
        <v>44</v>
      </c>
      <c r="W31" t="s">
        <v>45</v>
      </c>
      <c r="Y31">
        <v>0</v>
      </c>
      <c r="AA31" t="s">
        <v>40</v>
      </c>
      <c r="AB31" t="s">
        <v>46</v>
      </c>
      <c r="AC31" t="s">
        <v>47</v>
      </c>
      <c r="AF31" t="s">
        <v>48</v>
      </c>
      <c r="AJ31" t="s">
        <v>40</v>
      </c>
      <c r="AK31" t="s">
        <v>49</v>
      </c>
      <c r="AO31" s="1">
        <v>45931</v>
      </c>
      <c r="AP31" s="5">
        <v>0.58333333333333337</v>
      </c>
      <c r="AS31">
        <v>1</v>
      </c>
    </row>
    <row r="32" spans="1:46" x14ac:dyDescent="0.2">
      <c r="A32">
        <f t="shared" si="0"/>
        <v>2025</v>
      </c>
      <c r="B32">
        <f t="shared" si="1"/>
        <v>10</v>
      </c>
      <c r="C32">
        <f t="shared" si="2"/>
        <v>40</v>
      </c>
      <c r="D32" s="2">
        <f t="shared" si="3"/>
        <v>45931</v>
      </c>
      <c r="E32" s="1">
        <v>45931.625</v>
      </c>
      <c r="F32" t="s">
        <v>160</v>
      </c>
      <c r="G32" t="s">
        <v>36</v>
      </c>
      <c r="H32" t="s">
        <v>161</v>
      </c>
      <c r="I32" t="s">
        <v>162</v>
      </c>
      <c r="J32" t="s">
        <v>163</v>
      </c>
      <c r="M32" t="s">
        <v>40</v>
      </c>
      <c r="N32" t="s">
        <v>41</v>
      </c>
      <c r="O32" t="s">
        <v>164</v>
      </c>
      <c r="P32">
        <v>132</v>
      </c>
      <c r="Q32">
        <v>0</v>
      </c>
      <c r="R32">
        <v>0</v>
      </c>
      <c r="S32">
        <v>0</v>
      </c>
      <c r="T32" t="s">
        <v>54</v>
      </c>
      <c r="U32" t="s">
        <v>55</v>
      </c>
      <c r="W32" t="s">
        <v>165</v>
      </c>
      <c r="Y32">
        <v>0</v>
      </c>
      <c r="AA32" t="s">
        <v>40</v>
      </c>
      <c r="AB32" t="s">
        <v>46</v>
      </c>
      <c r="AC32" t="s">
        <v>47</v>
      </c>
      <c r="AD32" t="s">
        <v>166</v>
      </c>
      <c r="AE32" t="s">
        <v>166</v>
      </c>
      <c r="AG32" t="s">
        <v>167</v>
      </c>
      <c r="AJ32" t="s">
        <v>40</v>
      </c>
      <c r="AK32" t="s">
        <v>168</v>
      </c>
      <c r="AO32" s="1">
        <v>45931</v>
      </c>
      <c r="AP32" s="5">
        <v>0.625</v>
      </c>
      <c r="AS32">
        <v>1</v>
      </c>
    </row>
    <row r="33" spans="1:45" x14ac:dyDescent="0.2">
      <c r="A33">
        <f t="shared" si="0"/>
        <v>2025</v>
      </c>
      <c r="B33">
        <f t="shared" si="1"/>
        <v>10</v>
      </c>
      <c r="C33">
        <f t="shared" si="2"/>
        <v>40</v>
      </c>
      <c r="D33" s="2">
        <f t="shared" si="3"/>
        <v>45931</v>
      </c>
      <c r="E33" s="1">
        <v>45931.666666666664</v>
      </c>
      <c r="F33" t="s">
        <v>169</v>
      </c>
      <c r="G33" t="s">
        <v>36</v>
      </c>
      <c r="H33" t="s">
        <v>37</v>
      </c>
      <c r="I33" t="s">
        <v>38</v>
      </c>
      <c r="J33" t="s">
        <v>39</v>
      </c>
      <c r="M33" t="s">
        <v>40</v>
      </c>
      <c r="N33" t="s">
        <v>41</v>
      </c>
      <c r="O33" t="s">
        <v>42</v>
      </c>
      <c r="P33">
        <v>23</v>
      </c>
      <c r="Q33">
        <v>0</v>
      </c>
      <c r="R33">
        <v>0</v>
      </c>
      <c r="S33">
        <v>0</v>
      </c>
      <c r="T33" t="s">
        <v>170</v>
      </c>
      <c r="U33" t="s">
        <v>44</v>
      </c>
      <c r="W33" t="s">
        <v>45</v>
      </c>
      <c r="Y33">
        <v>0</v>
      </c>
      <c r="AA33" t="s">
        <v>40</v>
      </c>
      <c r="AB33" t="s">
        <v>46</v>
      </c>
      <c r="AC33" t="s">
        <v>47</v>
      </c>
      <c r="AF33" t="s">
        <v>48</v>
      </c>
      <c r="AJ33" t="s">
        <v>40</v>
      </c>
      <c r="AK33" t="s">
        <v>49</v>
      </c>
      <c r="AO33" s="1">
        <v>45931</v>
      </c>
      <c r="AP33" s="5">
        <v>0.66666666666666663</v>
      </c>
      <c r="AS33">
        <v>1</v>
      </c>
    </row>
    <row r="34" spans="1:45" x14ac:dyDescent="0.2">
      <c r="A34">
        <f t="shared" si="0"/>
        <v>2025</v>
      </c>
      <c r="B34">
        <f t="shared" si="1"/>
        <v>10</v>
      </c>
      <c r="C34">
        <f t="shared" si="2"/>
        <v>40</v>
      </c>
      <c r="D34" s="2">
        <f t="shared" si="3"/>
        <v>45931</v>
      </c>
      <c r="E34" s="1">
        <v>45931.666666666664</v>
      </c>
      <c r="F34" t="s">
        <v>171</v>
      </c>
      <c r="G34" t="s">
        <v>36</v>
      </c>
      <c r="H34">
        <v>447448</v>
      </c>
      <c r="I34" t="s">
        <v>51</v>
      </c>
      <c r="J34" t="s">
        <v>144</v>
      </c>
      <c r="M34" t="s">
        <v>40</v>
      </c>
      <c r="N34" t="s">
        <v>41</v>
      </c>
      <c r="O34" t="s">
        <v>172</v>
      </c>
      <c r="P34">
        <v>33</v>
      </c>
      <c r="Q34">
        <v>0</v>
      </c>
      <c r="R34">
        <v>0</v>
      </c>
      <c r="S34">
        <v>0</v>
      </c>
      <c r="T34" t="s">
        <v>54</v>
      </c>
      <c r="U34" t="s">
        <v>55</v>
      </c>
      <c r="W34" t="s">
        <v>92</v>
      </c>
      <c r="X34" t="s">
        <v>173</v>
      </c>
      <c r="Y34">
        <v>0</v>
      </c>
      <c r="AA34" t="s">
        <v>40</v>
      </c>
      <c r="AB34" t="s">
        <v>46</v>
      </c>
      <c r="AC34" t="s">
        <v>47</v>
      </c>
      <c r="AG34" t="s">
        <v>174</v>
      </c>
      <c r="AJ34" t="s">
        <v>40</v>
      </c>
      <c r="AK34">
        <v>5019067855</v>
      </c>
      <c r="AL34" t="s">
        <v>175</v>
      </c>
      <c r="AM34" t="s">
        <v>176</v>
      </c>
      <c r="AO34" s="1">
        <v>45931</v>
      </c>
      <c r="AP34" s="5">
        <v>0.66666666666666663</v>
      </c>
      <c r="AS34">
        <v>1</v>
      </c>
    </row>
    <row r="35" spans="1:45" x14ac:dyDescent="0.2">
      <c r="A35">
        <f t="shared" si="0"/>
        <v>2025</v>
      </c>
      <c r="B35">
        <f t="shared" si="1"/>
        <v>10</v>
      </c>
      <c r="C35">
        <f t="shared" si="2"/>
        <v>40</v>
      </c>
      <c r="D35" s="2">
        <f t="shared" si="3"/>
        <v>45931</v>
      </c>
      <c r="E35" s="1">
        <v>45931.666666666664</v>
      </c>
      <c r="F35" t="s">
        <v>177</v>
      </c>
      <c r="G35" t="s">
        <v>36</v>
      </c>
      <c r="H35">
        <v>447447</v>
      </c>
      <c r="I35" t="s">
        <v>51</v>
      </c>
      <c r="J35" t="s">
        <v>154</v>
      </c>
      <c r="M35" t="s">
        <v>40</v>
      </c>
      <c r="N35" t="s">
        <v>41</v>
      </c>
      <c r="O35" t="s">
        <v>155</v>
      </c>
      <c r="P35">
        <v>33</v>
      </c>
      <c r="Q35">
        <v>0</v>
      </c>
      <c r="R35">
        <v>0</v>
      </c>
      <c r="S35">
        <v>0</v>
      </c>
      <c r="T35" t="s">
        <v>54</v>
      </c>
      <c r="U35" t="s">
        <v>55</v>
      </c>
      <c r="W35" t="s">
        <v>45</v>
      </c>
      <c r="Y35">
        <v>0</v>
      </c>
      <c r="AA35" t="s">
        <v>40</v>
      </c>
      <c r="AB35" t="s">
        <v>46</v>
      </c>
      <c r="AC35" t="s">
        <v>47</v>
      </c>
      <c r="AG35" t="s">
        <v>178</v>
      </c>
      <c r="AJ35" t="s">
        <v>40</v>
      </c>
      <c r="AK35">
        <v>5019070847</v>
      </c>
      <c r="AO35" s="1">
        <v>45931</v>
      </c>
      <c r="AP35" s="5">
        <v>0.66666666666666663</v>
      </c>
      <c r="AS35">
        <v>1</v>
      </c>
    </row>
    <row r="36" spans="1:45" x14ac:dyDescent="0.2">
      <c r="A36">
        <f t="shared" si="0"/>
        <v>2025</v>
      </c>
      <c r="B36">
        <f t="shared" si="1"/>
        <v>10</v>
      </c>
      <c r="C36">
        <f t="shared" si="2"/>
        <v>40</v>
      </c>
      <c r="D36" s="2">
        <f t="shared" si="3"/>
        <v>45931</v>
      </c>
      <c r="E36" s="1">
        <v>45931.708333333336</v>
      </c>
      <c r="F36" t="s">
        <v>179</v>
      </c>
      <c r="G36" t="s">
        <v>36</v>
      </c>
      <c r="H36">
        <v>447432</v>
      </c>
      <c r="I36" t="s">
        <v>51</v>
      </c>
      <c r="J36" t="s">
        <v>180</v>
      </c>
      <c r="L36" t="s">
        <v>181</v>
      </c>
      <c r="M36" t="s">
        <v>40</v>
      </c>
      <c r="N36" t="s">
        <v>41</v>
      </c>
      <c r="O36" t="s">
        <v>182</v>
      </c>
      <c r="P36">
        <v>33</v>
      </c>
      <c r="Q36">
        <v>0</v>
      </c>
      <c r="R36">
        <v>0</v>
      </c>
      <c r="S36">
        <v>0</v>
      </c>
      <c r="T36" t="s">
        <v>54</v>
      </c>
      <c r="U36" t="s">
        <v>55</v>
      </c>
      <c r="W36" t="s">
        <v>183</v>
      </c>
      <c r="X36" t="s">
        <v>184</v>
      </c>
      <c r="Y36">
        <v>0</v>
      </c>
      <c r="AA36" t="s">
        <v>40</v>
      </c>
      <c r="AB36" t="s">
        <v>46</v>
      </c>
      <c r="AC36" t="s">
        <v>47</v>
      </c>
      <c r="AG36" t="s">
        <v>185</v>
      </c>
      <c r="AJ36" t="s">
        <v>40</v>
      </c>
      <c r="AK36">
        <v>5019049268</v>
      </c>
      <c r="AL36" t="s">
        <v>186</v>
      </c>
      <c r="AO36" s="1">
        <v>45931</v>
      </c>
      <c r="AP36" s="5">
        <v>0.70833333333333337</v>
      </c>
      <c r="AS36">
        <v>1</v>
      </c>
    </row>
    <row r="37" spans="1:45" x14ac:dyDescent="0.2">
      <c r="A37">
        <f t="shared" si="0"/>
        <v>2025</v>
      </c>
      <c r="B37">
        <f t="shared" si="1"/>
        <v>10</v>
      </c>
      <c r="C37">
        <f t="shared" si="2"/>
        <v>40</v>
      </c>
      <c r="D37" s="2">
        <f t="shared" si="3"/>
        <v>45931</v>
      </c>
      <c r="E37" s="1">
        <v>45931.708333333336</v>
      </c>
      <c r="F37" t="s">
        <v>187</v>
      </c>
      <c r="G37" t="s">
        <v>36</v>
      </c>
      <c r="H37">
        <v>447430</v>
      </c>
      <c r="I37" t="s">
        <v>51</v>
      </c>
      <c r="J37" t="s">
        <v>188</v>
      </c>
      <c r="M37" t="s">
        <v>40</v>
      </c>
      <c r="N37" t="s">
        <v>41</v>
      </c>
      <c r="O37" t="s">
        <v>189</v>
      </c>
      <c r="P37">
        <v>33</v>
      </c>
      <c r="Q37">
        <v>0</v>
      </c>
      <c r="R37">
        <v>0</v>
      </c>
      <c r="S37">
        <v>0</v>
      </c>
      <c r="T37" t="s">
        <v>54</v>
      </c>
      <c r="U37" t="s">
        <v>55</v>
      </c>
      <c r="W37" t="s">
        <v>190</v>
      </c>
      <c r="Y37">
        <v>0</v>
      </c>
      <c r="AA37" t="s">
        <v>40</v>
      </c>
      <c r="AB37" t="s">
        <v>46</v>
      </c>
      <c r="AC37" t="s">
        <v>47</v>
      </c>
      <c r="AG37" t="s">
        <v>191</v>
      </c>
      <c r="AJ37" t="s">
        <v>40</v>
      </c>
      <c r="AK37">
        <v>5019069007</v>
      </c>
      <c r="AO37" s="1">
        <v>45931</v>
      </c>
      <c r="AP37" s="5">
        <v>0.70833333333333337</v>
      </c>
      <c r="AS37">
        <v>1</v>
      </c>
    </row>
    <row r="38" spans="1:45" x14ac:dyDescent="0.2">
      <c r="A38">
        <f t="shared" si="0"/>
        <v>2025</v>
      </c>
      <c r="B38">
        <f t="shared" si="1"/>
        <v>10</v>
      </c>
      <c r="C38">
        <f t="shared" si="2"/>
        <v>40</v>
      </c>
      <c r="D38" s="2">
        <f t="shared" si="3"/>
        <v>45931</v>
      </c>
      <c r="E38" s="1">
        <v>45931.75</v>
      </c>
      <c r="F38" t="s">
        <v>192</v>
      </c>
      <c r="G38" t="s">
        <v>36</v>
      </c>
      <c r="H38" t="s">
        <v>193</v>
      </c>
      <c r="I38" t="s">
        <v>78</v>
      </c>
      <c r="J38" t="s">
        <v>194</v>
      </c>
      <c r="M38" t="s">
        <v>40</v>
      </c>
      <c r="N38" t="s">
        <v>41</v>
      </c>
      <c r="O38" t="s">
        <v>195</v>
      </c>
      <c r="P38">
        <v>66</v>
      </c>
      <c r="Q38">
        <v>0</v>
      </c>
      <c r="R38">
        <v>0</v>
      </c>
      <c r="S38">
        <v>0</v>
      </c>
      <c r="T38" t="s">
        <v>54</v>
      </c>
      <c r="U38" t="s">
        <v>55</v>
      </c>
      <c r="W38" t="s">
        <v>196</v>
      </c>
      <c r="Y38">
        <v>0</v>
      </c>
      <c r="AA38" t="s">
        <v>40</v>
      </c>
      <c r="AB38" t="s">
        <v>46</v>
      </c>
      <c r="AC38" t="s">
        <v>47</v>
      </c>
      <c r="AD38" t="s">
        <v>81</v>
      </c>
      <c r="AE38" t="s">
        <v>81</v>
      </c>
      <c r="AG38" t="s">
        <v>197</v>
      </c>
      <c r="AJ38" t="s">
        <v>40</v>
      </c>
      <c r="AK38" t="s">
        <v>198</v>
      </c>
      <c r="AO38" s="1">
        <v>45931</v>
      </c>
      <c r="AP38" s="5">
        <v>0.75</v>
      </c>
      <c r="AS38">
        <v>1</v>
      </c>
    </row>
    <row r="39" spans="1:45" x14ac:dyDescent="0.2">
      <c r="A39">
        <f t="shared" si="0"/>
        <v>2025</v>
      </c>
      <c r="B39">
        <f t="shared" si="1"/>
        <v>10</v>
      </c>
      <c r="C39">
        <f t="shared" si="2"/>
        <v>40</v>
      </c>
      <c r="D39" s="2">
        <f t="shared" si="3"/>
        <v>45931</v>
      </c>
      <c r="E39" s="1">
        <v>45931.75</v>
      </c>
      <c r="F39" t="s">
        <v>199</v>
      </c>
      <c r="G39" t="s">
        <v>36</v>
      </c>
      <c r="H39">
        <v>447468</v>
      </c>
      <c r="I39" t="s">
        <v>51</v>
      </c>
      <c r="J39" t="s">
        <v>200</v>
      </c>
      <c r="M39" t="s">
        <v>40</v>
      </c>
      <c r="N39" t="s">
        <v>41</v>
      </c>
      <c r="O39" t="s">
        <v>182</v>
      </c>
      <c r="P39">
        <v>33</v>
      </c>
      <c r="Q39">
        <v>0</v>
      </c>
      <c r="R39">
        <v>0</v>
      </c>
      <c r="S39">
        <v>0</v>
      </c>
      <c r="T39" t="s">
        <v>54</v>
      </c>
      <c r="U39" t="s">
        <v>55</v>
      </c>
      <c r="W39" t="s">
        <v>201</v>
      </c>
      <c r="Y39">
        <v>0</v>
      </c>
      <c r="AA39" t="s">
        <v>40</v>
      </c>
      <c r="AB39" t="s">
        <v>46</v>
      </c>
      <c r="AC39" t="s">
        <v>47</v>
      </c>
      <c r="AG39" t="s">
        <v>202</v>
      </c>
      <c r="AJ39" t="s">
        <v>40</v>
      </c>
      <c r="AK39">
        <v>5019053391</v>
      </c>
      <c r="AO39" s="1">
        <v>45931</v>
      </c>
      <c r="AP39" s="5">
        <v>0.75</v>
      </c>
      <c r="AS39">
        <v>1</v>
      </c>
    </row>
    <row r="40" spans="1:45" x14ac:dyDescent="0.2">
      <c r="A40">
        <f t="shared" si="0"/>
        <v>2025</v>
      </c>
      <c r="B40">
        <f t="shared" si="1"/>
        <v>10</v>
      </c>
      <c r="C40">
        <f t="shared" si="2"/>
        <v>40</v>
      </c>
      <c r="D40" s="2">
        <f t="shared" si="3"/>
        <v>45931</v>
      </c>
      <c r="E40" s="1">
        <v>45931.75</v>
      </c>
      <c r="F40" t="s">
        <v>203</v>
      </c>
      <c r="G40" t="s">
        <v>36</v>
      </c>
      <c r="H40">
        <v>447470</v>
      </c>
      <c r="I40" t="s">
        <v>51</v>
      </c>
      <c r="J40" t="s">
        <v>194</v>
      </c>
      <c r="M40" t="s">
        <v>40</v>
      </c>
      <c r="N40" t="s">
        <v>41</v>
      </c>
      <c r="O40" t="s">
        <v>189</v>
      </c>
      <c r="P40">
        <v>33</v>
      </c>
      <c r="Q40">
        <v>0</v>
      </c>
      <c r="R40">
        <v>0</v>
      </c>
      <c r="S40">
        <v>0</v>
      </c>
      <c r="T40" t="s">
        <v>54</v>
      </c>
      <c r="U40" t="s">
        <v>55</v>
      </c>
      <c r="W40" t="s">
        <v>204</v>
      </c>
      <c r="Y40">
        <v>0</v>
      </c>
      <c r="AA40" t="s">
        <v>40</v>
      </c>
      <c r="AB40" t="s">
        <v>46</v>
      </c>
      <c r="AC40" t="s">
        <v>47</v>
      </c>
      <c r="AG40" t="s">
        <v>205</v>
      </c>
      <c r="AJ40" t="s">
        <v>40</v>
      </c>
      <c r="AK40">
        <v>5019056750</v>
      </c>
      <c r="AO40" s="1">
        <v>45931</v>
      </c>
      <c r="AP40" s="5">
        <v>0.75</v>
      </c>
      <c r="AS40">
        <v>1</v>
      </c>
    </row>
    <row r="41" spans="1:45" x14ac:dyDescent="0.2">
      <c r="A41">
        <f t="shared" si="0"/>
        <v>2025</v>
      </c>
      <c r="B41">
        <f t="shared" si="1"/>
        <v>10</v>
      </c>
      <c r="C41">
        <f t="shared" si="2"/>
        <v>40</v>
      </c>
      <c r="D41" s="2">
        <f t="shared" si="3"/>
        <v>45931</v>
      </c>
      <c r="E41" s="1">
        <v>45931.791666666664</v>
      </c>
      <c r="F41" t="s">
        <v>206</v>
      </c>
      <c r="G41" t="s">
        <v>36</v>
      </c>
      <c r="H41">
        <v>447453</v>
      </c>
      <c r="I41" t="s">
        <v>51</v>
      </c>
      <c r="J41" t="s">
        <v>188</v>
      </c>
      <c r="M41" t="s">
        <v>40</v>
      </c>
      <c r="N41" t="s">
        <v>41</v>
      </c>
      <c r="O41" t="s">
        <v>172</v>
      </c>
      <c r="P41">
        <v>33</v>
      </c>
      <c r="Q41">
        <v>0</v>
      </c>
      <c r="R41">
        <v>0</v>
      </c>
      <c r="S41">
        <v>0</v>
      </c>
      <c r="T41" t="s">
        <v>54</v>
      </c>
      <c r="U41" t="s">
        <v>55</v>
      </c>
      <c r="W41" t="s">
        <v>207</v>
      </c>
      <c r="Y41">
        <v>0</v>
      </c>
      <c r="AA41" t="s">
        <v>40</v>
      </c>
      <c r="AB41" t="s">
        <v>46</v>
      </c>
      <c r="AC41" t="s">
        <v>47</v>
      </c>
      <c r="AG41" t="s">
        <v>208</v>
      </c>
      <c r="AJ41" t="s">
        <v>40</v>
      </c>
      <c r="AK41">
        <v>5019057666</v>
      </c>
      <c r="AO41" s="1">
        <v>45931</v>
      </c>
      <c r="AP41" s="5">
        <v>0.79166666666666663</v>
      </c>
      <c r="AS41">
        <v>1</v>
      </c>
    </row>
    <row r="42" spans="1:45" x14ac:dyDescent="0.2">
      <c r="A42">
        <f t="shared" si="0"/>
        <v>2025</v>
      </c>
      <c r="B42">
        <f t="shared" si="1"/>
        <v>10</v>
      </c>
      <c r="C42">
        <f t="shared" si="2"/>
        <v>40</v>
      </c>
      <c r="D42" s="2">
        <f t="shared" si="3"/>
        <v>45931</v>
      </c>
      <c r="E42" s="1">
        <v>45931.791666666664</v>
      </c>
      <c r="F42" t="s">
        <v>209</v>
      </c>
      <c r="G42" t="s">
        <v>36</v>
      </c>
      <c r="H42">
        <v>447473</v>
      </c>
      <c r="I42" t="s">
        <v>51</v>
      </c>
      <c r="J42" t="s">
        <v>194</v>
      </c>
      <c r="M42" t="s">
        <v>40</v>
      </c>
      <c r="N42" t="s">
        <v>41</v>
      </c>
      <c r="O42" t="s">
        <v>210</v>
      </c>
      <c r="P42">
        <v>33</v>
      </c>
      <c r="Q42">
        <v>0</v>
      </c>
      <c r="R42">
        <v>0</v>
      </c>
      <c r="S42">
        <v>0</v>
      </c>
      <c r="T42" t="s">
        <v>54</v>
      </c>
      <c r="U42" t="s">
        <v>55</v>
      </c>
      <c r="W42" t="s">
        <v>211</v>
      </c>
      <c r="X42" t="s">
        <v>212</v>
      </c>
      <c r="Y42">
        <v>0</v>
      </c>
      <c r="AA42" t="s">
        <v>40</v>
      </c>
      <c r="AB42" t="s">
        <v>46</v>
      </c>
      <c r="AC42" t="s">
        <v>47</v>
      </c>
      <c r="AG42" t="s">
        <v>213</v>
      </c>
      <c r="AJ42" t="s">
        <v>40</v>
      </c>
      <c r="AK42">
        <v>5019059743</v>
      </c>
      <c r="AL42" t="s">
        <v>214</v>
      </c>
      <c r="AM42" t="s">
        <v>215</v>
      </c>
      <c r="AO42" s="1">
        <v>45931</v>
      </c>
      <c r="AP42" s="5">
        <v>0.79166666666666663</v>
      </c>
      <c r="AS42">
        <v>1</v>
      </c>
    </row>
    <row r="43" spans="1:45" x14ac:dyDescent="0.2">
      <c r="A43">
        <f t="shared" si="0"/>
        <v>2025</v>
      </c>
      <c r="B43">
        <f t="shared" si="1"/>
        <v>10</v>
      </c>
      <c r="C43">
        <f t="shared" si="2"/>
        <v>40</v>
      </c>
      <c r="D43" s="2">
        <f t="shared" si="3"/>
        <v>45931</v>
      </c>
      <c r="E43" s="1">
        <v>45931.791666666664</v>
      </c>
      <c r="F43" t="s">
        <v>216</v>
      </c>
      <c r="G43" t="s">
        <v>36</v>
      </c>
      <c r="H43" t="s">
        <v>217</v>
      </c>
      <c r="I43" t="s">
        <v>218</v>
      </c>
      <c r="J43" t="s">
        <v>219</v>
      </c>
      <c r="M43" t="s">
        <v>40</v>
      </c>
      <c r="N43" t="s">
        <v>41</v>
      </c>
      <c r="O43" t="s">
        <v>220</v>
      </c>
      <c r="P43">
        <v>99</v>
      </c>
      <c r="Q43">
        <v>0</v>
      </c>
      <c r="R43">
        <v>0</v>
      </c>
      <c r="S43">
        <v>0</v>
      </c>
      <c r="T43" t="s">
        <v>54</v>
      </c>
      <c r="U43" t="s">
        <v>55</v>
      </c>
      <c r="W43" t="s">
        <v>221</v>
      </c>
      <c r="X43" t="s">
        <v>222</v>
      </c>
      <c r="Y43">
        <v>0</v>
      </c>
      <c r="AA43" t="s">
        <v>40</v>
      </c>
      <c r="AB43" t="s">
        <v>46</v>
      </c>
      <c r="AC43" t="s">
        <v>47</v>
      </c>
      <c r="AD43" t="s">
        <v>223</v>
      </c>
      <c r="AE43" t="s">
        <v>223</v>
      </c>
      <c r="AG43" t="s">
        <v>224</v>
      </c>
      <c r="AJ43" t="s">
        <v>40</v>
      </c>
      <c r="AK43" t="s">
        <v>225</v>
      </c>
      <c r="AL43" t="s">
        <v>226</v>
      </c>
      <c r="AM43" t="s">
        <v>227</v>
      </c>
      <c r="AO43" s="1">
        <v>45931</v>
      </c>
      <c r="AP43" s="5">
        <v>0.79166666666666663</v>
      </c>
      <c r="AS43">
        <v>1</v>
      </c>
    </row>
    <row r="44" spans="1:45" x14ac:dyDescent="0.2">
      <c r="A44">
        <f t="shared" si="0"/>
        <v>2025</v>
      </c>
      <c r="B44">
        <f t="shared" si="1"/>
        <v>10</v>
      </c>
      <c r="C44">
        <f t="shared" si="2"/>
        <v>40</v>
      </c>
      <c r="D44" s="2">
        <f t="shared" si="3"/>
        <v>45931</v>
      </c>
      <c r="E44" s="1">
        <v>45931.833333333336</v>
      </c>
      <c r="F44" t="s">
        <v>228</v>
      </c>
      <c r="G44" t="s">
        <v>36</v>
      </c>
      <c r="H44">
        <v>453682</v>
      </c>
      <c r="I44" t="s">
        <v>51</v>
      </c>
      <c r="J44" t="s">
        <v>188</v>
      </c>
      <c r="L44" t="s">
        <v>229</v>
      </c>
      <c r="M44" t="s">
        <v>40</v>
      </c>
      <c r="N44" t="s">
        <v>41</v>
      </c>
      <c r="O44" t="s">
        <v>172</v>
      </c>
      <c r="P44">
        <v>33</v>
      </c>
      <c r="Q44">
        <v>0</v>
      </c>
      <c r="R44">
        <v>0</v>
      </c>
      <c r="S44">
        <v>0</v>
      </c>
      <c r="T44" t="s">
        <v>54</v>
      </c>
      <c r="U44" t="s">
        <v>55</v>
      </c>
      <c r="W44" t="s">
        <v>230</v>
      </c>
      <c r="Y44">
        <v>0</v>
      </c>
      <c r="AA44" t="s">
        <v>40</v>
      </c>
      <c r="AB44" t="s">
        <v>46</v>
      </c>
      <c r="AC44" t="s">
        <v>47</v>
      </c>
      <c r="AG44" t="s">
        <v>231</v>
      </c>
      <c r="AJ44" t="s">
        <v>40</v>
      </c>
      <c r="AK44">
        <v>5019075850</v>
      </c>
      <c r="AO44" s="1">
        <v>45931</v>
      </c>
      <c r="AP44" s="5">
        <v>0.83333333333333337</v>
      </c>
      <c r="AS44">
        <v>1</v>
      </c>
    </row>
    <row r="45" spans="1:45" x14ac:dyDescent="0.2">
      <c r="A45">
        <f t="shared" si="0"/>
        <v>2025</v>
      </c>
      <c r="B45">
        <f t="shared" si="1"/>
        <v>10</v>
      </c>
      <c r="C45">
        <f t="shared" si="2"/>
        <v>40</v>
      </c>
      <c r="D45" s="2">
        <f t="shared" si="3"/>
        <v>45932</v>
      </c>
      <c r="E45" s="1">
        <v>45932.25</v>
      </c>
      <c r="F45" t="s">
        <v>232</v>
      </c>
      <c r="G45" t="s">
        <v>36</v>
      </c>
      <c r="H45" t="s">
        <v>37</v>
      </c>
      <c r="I45" t="s">
        <v>38</v>
      </c>
      <c r="J45" t="s">
        <v>99</v>
      </c>
      <c r="M45" t="s">
        <v>40</v>
      </c>
      <c r="N45" t="s">
        <v>41</v>
      </c>
      <c r="O45" t="s">
        <v>42</v>
      </c>
      <c r="P45">
        <v>9</v>
      </c>
      <c r="Q45">
        <v>0</v>
      </c>
      <c r="R45">
        <v>0</v>
      </c>
      <c r="S45">
        <v>0</v>
      </c>
      <c r="T45" t="s">
        <v>100</v>
      </c>
      <c r="U45" t="s">
        <v>233</v>
      </c>
      <c r="W45" t="s">
        <v>234</v>
      </c>
      <c r="Y45">
        <v>0</v>
      </c>
      <c r="AA45" t="s">
        <v>40</v>
      </c>
      <c r="AB45" t="s">
        <v>46</v>
      </c>
      <c r="AC45" t="s">
        <v>47</v>
      </c>
      <c r="AF45" t="s">
        <v>48</v>
      </c>
      <c r="AJ45" t="s">
        <v>40</v>
      </c>
      <c r="AK45" t="s">
        <v>49</v>
      </c>
      <c r="AO45" s="1">
        <v>45932</v>
      </c>
      <c r="AP45" s="5">
        <v>0.25</v>
      </c>
      <c r="AS45">
        <v>1</v>
      </c>
    </row>
    <row r="46" spans="1:45" x14ac:dyDescent="0.2">
      <c r="A46">
        <f t="shared" si="0"/>
        <v>2025</v>
      </c>
      <c r="B46">
        <f t="shared" si="1"/>
        <v>10</v>
      </c>
      <c r="C46">
        <f t="shared" si="2"/>
        <v>40</v>
      </c>
      <c r="D46" s="2">
        <f t="shared" si="3"/>
        <v>45932</v>
      </c>
      <c r="E46" s="1">
        <v>45932.25</v>
      </c>
      <c r="F46" t="s">
        <v>235</v>
      </c>
      <c r="G46" t="s">
        <v>36</v>
      </c>
      <c r="H46">
        <v>450203</v>
      </c>
      <c r="I46" t="s">
        <v>51</v>
      </c>
      <c r="J46" t="s">
        <v>52</v>
      </c>
      <c r="M46" t="s">
        <v>40</v>
      </c>
      <c r="N46" t="s">
        <v>41</v>
      </c>
      <c r="O46" t="s">
        <v>53</v>
      </c>
      <c r="P46">
        <v>33</v>
      </c>
      <c r="Q46">
        <v>0</v>
      </c>
      <c r="R46">
        <v>0</v>
      </c>
      <c r="S46">
        <v>0</v>
      </c>
      <c r="T46" t="s">
        <v>54</v>
      </c>
      <c r="U46" t="s">
        <v>55</v>
      </c>
      <c r="W46" t="s">
        <v>236</v>
      </c>
      <c r="Y46">
        <v>0</v>
      </c>
      <c r="AA46" t="s">
        <v>40</v>
      </c>
      <c r="AB46" t="s">
        <v>46</v>
      </c>
      <c r="AC46" t="s">
        <v>47</v>
      </c>
      <c r="AG46" t="s">
        <v>237</v>
      </c>
      <c r="AJ46" t="s">
        <v>40</v>
      </c>
      <c r="AK46">
        <v>5019069872</v>
      </c>
      <c r="AO46" s="1">
        <v>45932</v>
      </c>
      <c r="AP46" s="5">
        <v>0.25</v>
      </c>
      <c r="AS46">
        <v>1</v>
      </c>
    </row>
    <row r="47" spans="1:45" x14ac:dyDescent="0.2">
      <c r="A47">
        <f t="shared" si="0"/>
        <v>2025</v>
      </c>
      <c r="B47">
        <f t="shared" si="1"/>
        <v>10</v>
      </c>
      <c r="C47">
        <f t="shared" si="2"/>
        <v>40</v>
      </c>
      <c r="D47" s="2">
        <f t="shared" si="3"/>
        <v>45932</v>
      </c>
      <c r="E47" s="1">
        <v>45932.25</v>
      </c>
      <c r="F47" t="s">
        <v>238</v>
      </c>
      <c r="G47" t="s">
        <v>36</v>
      </c>
      <c r="H47" t="s">
        <v>239</v>
      </c>
      <c r="I47" t="s">
        <v>38</v>
      </c>
      <c r="J47" t="s">
        <v>240</v>
      </c>
      <c r="M47" t="s">
        <v>40</v>
      </c>
      <c r="N47" t="s">
        <v>41</v>
      </c>
      <c r="O47" t="s">
        <v>42</v>
      </c>
      <c r="P47">
        <v>26</v>
      </c>
      <c r="Q47">
        <v>0</v>
      </c>
      <c r="R47">
        <v>0</v>
      </c>
      <c r="S47">
        <v>0</v>
      </c>
      <c r="T47" t="s">
        <v>241</v>
      </c>
      <c r="U47" t="s">
        <v>44</v>
      </c>
      <c r="W47" t="s">
        <v>92</v>
      </c>
      <c r="Y47">
        <v>0</v>
      </c>
      <c r="AA47" t="s">
        <v>40</v>
      </c>
      <c r="AB47" t="s">
        <v>46</v>
      </c>
      <c r="AC47" t="s">
        <v>47</v>
      </c>
      <c r="AF47" t="s">
        <v>242</v>
      </c>
      <c r="AJ47" t="s">
        <v>40</v>
      </c>
      <c r="AK47" t="s">
        <v>49</v>
      </c>
      <c r="AO47" s="1">
        <v>45932</v>
      </c>
      <c r="AP47" s="5">
        <v>0.25</v>
      </c>
      <c r="AS47">
        <v>1</v>
      </c>
    </row>
    <row r="48" spans="1:45" x14ac:dyDescent="0.2">
      <c r="A48">
        <f t="shared" si="0"/>
        <v>2025</v>
      </c>
      <c r="B48">
        <f t="shared" si="1"/>
        <v>10</v>
      </c>
      <c r="C48">
        <f t="shared" si="2"/>
        <v>40</v>
      </c>
      <c r="D48" s="2">
        <f t="shared" si="3"/>
        <v>45932</v>
      </c>
      <c r="E48" s="1">
        <v>45932.291666666664</v>
      </c>
      <c r="F48" t="s">
        <v>243</v>
      </c>
      <c r="G48" t="s">
        <v>36</v>
      </c>
      <c r="H48" t="s">
        <v>244</v>
      </c>
      <c r="I48" t="s">
        <v>218</v>
      </c>
      <c r="J48" t="s">
        <v>52</v>
      </c>
      <c r="M48" t="s">
        <v>40</v>
      </c>
      <c r="N48" t="s">
        <v>41</v>
      </c>
      <c r="O48" t="s">
        <v>245</v>
      </c>
      <c r="P48">
        <v>99</v>
      </c>
      <c r="Q48">
        <v>0</v>
      </c>
      <c r="R48">
        <v>0</v>
      </c>
      <c r="S48">
        <v>0</v>
      </c>
      <c r="T48" t="s">
        <v>54</v>
      </c>
      <c r="U48" t="s">
        <v>55</v>
      </c>
      <c r="W48" t="s">
        <v>246</v>
      </c>
      <c r="Y48">
        <v>0</v>
      </c>
      <c r="AA48" t="s">
        <v>40</v>
      </c>
      <c r="AB48" t="s">
        <v>46</v>
      </c>
      <c r="AC48" t="s">
        <v>47</v>
      </c>
      <c r="AD48" t="s">
        <v>223</v>
      </c>
      <c r="AE48" t="s">
        <v>223</v>
      </c>
      <c r="AG48" t="s">
        <v>247</v>
      </c>
      <c r="AJ48" t="s">
        <v>40</v>
      </c>
      <c r="AK48" t="s">
        <v>248</v>
      </c>
      <c r="AO48" s="1">
        <v>45932</v>
      </c>
      <c r="AP48" s="5">
        <v>0.29166666666666669</v>
      </c>
      <c r="AS48">
        <v>1</v>
      </c>
    </row>
    <row r="49" spans="1:45" x14ac:dyDescent="0.2">
      <c r="A49">
        <f t="shared" si="0"/>
        <v>2025</v>
      </c>
      <c r="B49">
        <f t="shared" si="1"/>
        <v>10</v>
      </c>
      <c r="C49">
        <f t="shared" si="2"/>
        <v>40</v>
      </c>
      <c r="D49" s="2">
        <f t="shared" si="3"/>
        <v>45932</v>
      </c>
      <c r="E49" s="1">
        <v>45932.291666666664</v>
      </c>
      <c r="F49" t="s">
        <v>249</v>
      </c>
      <c r="G49" t="s">
        <v>36</v>
      </c>
      <c r="H49" t="s">
        <v>250</v>
      </c>
      <c r="I49" t="s">
        <v>38</v>
      </c>
      <c r="J49" t="s">
        <v>60</v>
      </c>
      <c r="M49" t="s">
        <v>40</v>
      </c>
      <c r="N49" t="s">
        <v>41</v>
      </c>
      <c r="O49" t="s">
        <v>42</v>
      </c>
      <c r="P49">
        <v>20</v>
      </c>
      <c r="Q49">
        <v>0</v>
      </c>
      <c r="R49">
        <v>0</v>
      </c>
      <c r="S49">
        <v>0</v>
      </c>
      <c r="T49">
        <v>5018990540</v>
      </c>
      <c r="U49" t="s">
        <v>233</v>
      </c>
      <c r="W49" t="s">
        <v>251</v>
      </c>
      <c r="Y49">
        <v>0</v>
      </c>
      <c r="AA49" t="s">
        <v>40</v>
      </c>
      <c r="AB49" t="s">
        <v>46</v>
      </c>
      <c r="AC49" t="s">
        <v>47</v>
      </c>
      <c r="AF49" t="s">
        <v>62</v>
      </c>
      <c r="AJ49" t="s">
        <v>40</v>
      </c>
      <c r="AK49" t="s">
        <v>49</v>
      </c>
      <c r="AN49">
        <v>259324096</v>
      </c>
      <c r="AO49" s="1">
        <v>45932</v>
      </c>
      <c r="AP49" s="5">
        <v>0.29166666666666669</v>
      </c>
      <c r="AS49">
        <v>1</v>
      </c>
    </row>
    <row r="50" spans="1:45" x14ac:dyDescent="0.2">
      <c r="A50">
        <f t="shared" si="0"/>
        <v>2025</v>
      </c>
      <c r="B50">
        <f t="shared" si="1"/>
        <v>10</v>
      </c>
      <c r="C50">
        <f t="shared" si="2"/>
        <v>40</v>
      </c>
      <c r="D50" s="2">
        <f t="shared" si="3"/>
        <v>45932</v>
      </c>
      <c r="E50" s="1">
        <v>45932.291666666664</v>
      </c>
      <c r="F50" t="s">
        <v>252</v>
      </c>
      <c r="G50" t="s">
        <v>36</v>
      </c>
      <c r="H50" t="s">
        <v>253</v>
      </c>
      <c r="I50" t="s">
        <v>38</v>
      </c>
      <c r="J50" t="s">
        <v>254</v>
      </c>
      <c r="M50" t="s">
        <v>40</v>
      </c>
      <c r="N50" t="s">
        <v>41</v>
      </c>
      <c r="O50" t="s">
        <v>42</v>
      </c>
      <c r="P50">
        <v>1</v>
      </c>
      <c r="Q50">
        <v>0</v>
      </c>
      <c r="R50">
        <v>0</v>
      </c>
      <c r="S50">
        <v>0</v>
      </c>
      <c r="T50">
        <v>5019083515</v>
      </c>
      <c r="U50" t="s">
        <v>101</v>
      </c>
      <c r="W50" t="s">
        <v>120</v>
      </c>
      <c r="Y50">
        <v>0</v>
      </c>
      <c r="AA50" t="s">
        <v>40</v>
      </c>
      <c r="AB50" t="s">
        <v>46</v>
      </c>
      <c r="AC50" t="s">
        <v>47</v>
      </c>
      <c r="AF50" t="s">
        <v>48</v>
      </c>
      <c r="AJ50" t="s">
        <v>40</v>
      </c>
      <c r="AK50" t="s">
        <v>49</v>
      </c>
      <c r="AO50" s="1">
        <v>45932</v>
      </c>
      <c r="AP50" s="5">
        <v>0.29166666666666669</v>
      </c>
      <c r="AS50">
        <v>1</v>
      </c>
    </row>
    <row r="51" spans="1:45" x14ac:dyDescent="0.2">
      <c r="A51">
        <f t="shared" si="0"/>
        <v>2025</v>
      </c>
      <c r="B51">
        <f t="shared" si="1"/>
        <v>10</v>
      </c>
      <c r="C51">
        <f t="shared" si="2"/>
        <v>40</v>
      </c>
      <c r="D51" s="2">
        <f t="shared" si="3"/>
        <v>45932</v>
      </c>
      <c r="E51" s="1">
        <v>45932.291666666664</v>
      </c>
      <c r="F51" t="s">
        <v>255</v>
      </c>
      <c r="G51" t="s">
        <v>36</v>
      </c>
      <c r="H51" t="s">
        <v>256</v>
      </c>
      <c r="I51" t="s">
        <v>38</v>
      </c>
      <c r="J51" t="s">
        <v>60</v>
      </c>
      <c r="M51" t="s">
        <v>40</v>
      </c>
      <c r="N51" t="s">
        <v>41</v>
      </c>
      <c r="O51" t="s">
        <v>42</v>
      </c>
      <c r="P51">
        <v>20</v>
      </c>
      <c r="Q51">
        <v>0</v>
      </c>
      <c r="R51">
        <v>0</v>
      </c>
      <c r="S51">
        <v>0</v>
      </c>
      <c r="T51">
        <v>5018990587</v>
      </c>
      <c r="U51" t="s">
        <v>44</v>
      </c>
      <c r="W51" t="s">
        <v>257</v>
      </c>
      <c r="Y51">
        <v>0</v>
      </c>
      <c r="AA51" t="s">
        <v>40</v>
      </c>
      <c r="AB51" t="s">
        <v>46</v>
      </c>
      <c r="AC51" t="s">
        <v>47</v>
      </c>
      <c r="AF51" t="s">
        <v>62</v>
      </c>
      <c r="AJ51" t="s">
        <v>40</v>
      </c>
      <c r="AK51" t="s">
        <v>49</v>
      </c>
      <c r="AN51">
        <v>259595730</v>
      </c>
      <c r="AO51" s="1">
        <v>45932</v>
      </c>
      <c r="AP51" s="5">
        <v>0.29166666666666669</v>
      </c>
      <c r="AS51">
        <v>1</v>
      </c>
    </row>
    <row r="52" spans="1:45" x14ac:dyDescent="0.2">
      <c r="A52">
        <f t="shared" si="0"/>
        <v>2025</v>
      </c>
      <c r="B52">
        <f t="shared" si="1"/>
        <v>10</v>
      </c>
      <c r="C52">
        <f t="shared" si="2"/>
        <v>40</v>
      </c>
      <c r="D52" s="2">
        <f t="shared" si="3"/>
        <v>45932</v>
      </c>
      <c r="E52" s="1">
        <v>45932.333333333336</v>
      </c>
      <c r="F52" t="s">
        <v>258</v>
      </c>
      <c r="G52" t="s">
        <v>36</v>
      </c>
      <c r="H52" t="s">
        <v>37</v>
      </c>
      <c r="I52" t="s">
        <v>38</v>
      </c>
      <c r="J52" t="s">
        <v>39</v>
      </c>
      <c r="M52" t="s">
        <v>40</v>
      </c>
      <c r="N52" t="s">
        <v>41</v>
      </c>
      <c r="O52" t="s">
        <v>42</v>
      </c>
      <c r="P52">
        <v>23</v>
      </c>
      <c r="Q52">
        <v>0</v>
      </c>
      <c r="R52">
        <v>0</v>
      </c>
      <c r="S52">
        <v>0</v>
      </c>
      <c r="T52" t="s">
        <v>259</v>
      </c>
      <c r="U52" t="s">
        <v>44</v>
      </c>
      <c r="W52" t="s">
        <v>234</v>
      </c>
      <c r="Y52">
        <v>0</v>
      </c>
      <c r="AA52" t="s">
        <v>40</v>
      </c>
      <c r="AB52" t="s">
        <v>46</v>
      </c>
      <c r="AC52" t="s">
        <v>47</v>
      </c>
      <c r="AF52" t="s">
        <v>48</v>
      </c>
      <c r="AJ52" t="s">
        <v>40</v>
      </c>
      <c r="AK52" t="s">
        <v>49</v>
      </c>
      <c r="AO52" s="1">
        <v>45932</v>
      </c>
      <c r="AP52" s="5">
        <v>0.33333333333333331</v>
      </c>
      <c r="AS52">
        <v>1</v>
      </c>
    </row>
    <row r="53" spans="1:45" x14ac:dyDescent="0.2">
      <c r="A53">
        <f t="shared" si="0"/>
        <v>2025</v>
      </c>
      <c r="B53">
        <f t="shared" si="1"/>
        <v>10</v>
      </c>
      <c r="C53">
        <f t="shared" si="2"/>
        <v>40</v>
      </c>
      <c r="D53" s="2">
        <f t="shared" si="3"/>
        <v>45932</v>
      </c>
      <c r="E53" s="1">
        <v>45932.333333333336</v>
      </c>
      <c r="F53" t="s">
        <v>260</v>
      </c>
      <c r="G53" t="s">
        <v>36</v>
      </c>
      <c r="H53" t="s">
        <v>261</v>
      </c>
      <c r="I53" t="s">
        <v>38</v>
      </c>
      <c r="J53" t="s">
        <v>60</v>
      </c>
      <c r="M53" t="s">
        <v>40</v>
      </c>
      <c r="N53" t="s">
        <v>41</v>
      </c>
      <c r="O53" t="s">
        <v>42</v>
      </c>
      <c r="P53">
        <v>20</v>
      </c>
      <c r="Q53">
        <v>0</v>
      </c>
      <c r="R53">
        <v>0</v>
      </c>
      <c r="S53">
        <v>0</v>
      </c>
      <c r="T53" t="s">
        <v>262</v>
      </c>
      <c r="U53" t="s">
        <v>44</v>
      </c>
      <c r="W53" t="s">
        <v>257</v>
      </c>
      <c r="Y53">
        <v>0</v>
      </c>
      <c r="AA53" t="s">
        <v>40</v>
      </c>
      <c r="AB53" t="s">
        <v>46</v>
      </c>
      <c r="AC53" t="s">
        <v>47</v>
      </c>
      <c r="AF53" t="s">
        <v>62</v>
      </c>
      <c r="AJ53" t="s">
        <v>40</v>
      </c>
      <c r="AK53" t="s">
        <v>49</v>
      </c>
      <c r="AN53">
        <v>259595733</v>
      </c>
      <c r="AO53" s="1">
        <v>45932</v>
      </c>
      <c r="AP53" s="5">
        <v>0.33333333333333331</v>
      </c>
      <c r="AS53">
        <v>1</v>
      </c>
    </row>
    <row r="54" spans="1:45" x14ac:dyDescent="0.2">
      <c r="A54">
        <f t="shared" si="0"/>
        <v>2025</v>
      </c>
      <c r="B54">
        <f t="shared" si="1"/>
        <v>10</v>
      </c>
      <c r="C54">
        <f t="shared" si="2"/>
        <v>40</v>
      </c>
      <c r="D54" s="2">
        <f t="shared" si="3"/>
        <v>45932</v>
      </c>
      <c r="E54" s="1">
        <v>45932.333333333336</v>
      </c>
      <c r="F54" t="s">
        <v>263</v>
      </c>
      <c r="G54" t="s">
        <v>36</v>
      </c>
      <c r="H54" t="s">
        <v>264</v>
      </c>
      <c r="I54" t="s">
        <v>38</v>
      </c>
      <c r="J54" t="s">
        <v>265</v>
      </c>
      <c r="M54" t="s">
        <v>40</v>
      </c>
      <c r="N54" t="s">
        <v>41</v>
      </c>
      <c r="O54" t="s">
        <v>42</v>
      </c>
      <c r="P54">
        <v>23</v>
      </c>
      <c r="Q54">
        <v>0</v>
      </c>
      <c r="R54">
        <v>0</v>
      </c>
      <c r="S54">
        <v>0</v>
      </c>
      <c r="T54" t="s">
        <v>266</v>
      </c>
      <c r="U54" t="s">
        <v>55</v>
      </c>
      <c r="W54" t="s">
        <v>234</v>
      </c>
      <c r="Y54">
        <v>0</v>
      </c>
      <c r="AA54" t="s">
        <v>40</v>
      </c>
      <c r="AB54" t="s">
        <v>46</v>
      </c>
      <c r="AC54" t="s">
        <v>47</v>
      </c>
      <c r="AF54" t="s">
        <v>48</v>
      </c>
      <c r="AJ54" t="s">
        <v>40</v>
      </c>
      <c r="AK54" t="s">
        <v>49</v>
      </c>
      <c r="AO54" s="1">
        <v>45932</v>
      </c>
      <c r="AP54" s="5">
        <v>0.33333333333333331</v>
      </c>
      <c r="AS54">
        <v>1</v>
      </c>
    </row>
    <row r="55" spans="1:45" x14ac:dyDescent="0.2">
      <c r="A55">
        <f t="shared" si="0"/>
        <v>2025</v>
      </c>
      <c r="B55">
        <f t="shared" si="1"/>
        <v>10</v>
      </c>
      <c r="C55">
        <f t="shared" si="2"/>
        <v>40</v>
      </c>
      <c r="D55" s="2">
        <f t="shared" si="3"/>
        <v>45932</v>
      </c>
      <c r="E55" s="1">
        <v>45932.375</v>
      </c>
      <c r="F55" t="s">
        <v>267</v>
      </c>
      <c r="G55" t="s">
        <v>36</v>
      </c>
      <c r="H55">
        <v>447466</v>
      </c>
      <c r="I55" t="s">
        <v>51</v>
      </c>
      <c r="J55" t="s">
        <v>52</v>
      </c>
      <c r="M55" t="s">
        <v>40</v>
      </c>
      <c r="N55" t="s">
        <v>41</v>
      </c>
      <c r="O55" t="s">
        <v>268</v>
      </c>
      <c r="P55">
        <v>33</v>
      </c>
      <c r="Q55">
        <v>0</v>
      </c>
      <c r="R55">
        <v>0</v>
      </c>
      <c r="S55">
        <v>0</v>
      </c>
      <c r="T55" t="s">
        <v>54</v>
      </c>
      <c r="U55" t="s">
        <v>55</v>
      </c>
      <c r="W55" t="s">
        <v>269</v>
      </c>
      <c r="Y55">
        <v>0</v>
      </c>
      <c r="AA55" t="s">
        <v>40</v>
      </c>
      <c r="AB55" t="s">
        <v>46</v>
      </c>
      <c r="AC55" t="s">
        <v>47</v>
      </c>
      <c r="AG55" t="s">
        <v>270</v>
      </c>
      <c r="AJ55" t="s">
        <v>40</v>
      </c>
      <c r="AK55">
        <v>5019080529</v>
      </c>
      <c r="AO55" s="1">
        <v>45932</v>
      </c>
      <c r="AP55" s="5">
        <v>0.375</v>
      </c>
      <c r="AS55">
        <v>1</v>
      </c>
    </row>
    <row r="56" spans="1:45" x14ac:dyDescent="0.2">
      <c r="A56">
        <f t="shared" si="0"/>
        <v>2025</v>
      </c>
      <c r="B56">
        <f t="shared" si="1"/>
        <v>10</v>
      </c>
      <c r="C56">
        <f t="shared" si="2"/>
        <v>40</v>
      </c>
      <c r="D56" s="2">
        <f t="shared" si="3"/>
        <v>45932</v>
      </c>
      <c r="E56" s="1">
        <v>45932.375</v>
      </c>
      <c r="F56" t="s">
        <v>271</v>
      </c>
      <c r="G56" t="s">
        <v>36</v>
      </c>
      <c r="H56" t="s">
        <v>37</v>
      </c>
      <c r="I56" t="s">
        <v>38</v>
      </c>
      <c r="J56" t="s">
        <v>112</v>
      </c>
      <c r="M56" t="s">
        <v>40</v>
      </c>
      <c r="N56" t="s">
        <v>41</v>
      </c>
      <c r="O56" t="s">
        <v>42</v>
      </c>
      <c r="P56">
        <v>23</v>
      </c>
      <c r="Q56">
        <v>0</v>
      </c>
      <c r="R56">
        <v>0</v>
      </c>
      <c r="S56">
        <v>0</v>
      </c>
      <c r="T56" t="s">
        <v>272</v>
      </c>
      <c r="U56" t="s">
        <v>44</v>
      </c>
      <c r="W56" t="s">
        <v>234</v>
      </c>
      <c r="Y56">
        <v>0</v>
      </c>
      <c r="AA56" t="s">
        <v>40</v>
      </c>
      <c r="AB56" t="s">
        <v>46</v>
      </c>
      <c r="AC56" t="s">
        <v>47</v>
      </c>
      <c r="AF56" t="s">
        <v>48</v>
      </c>
      <c r="AJ56" t="s">
        <v>40</v>
      </c>
      <c r="AK56" t="s">
        <v>49</v>
      </c>
      <c r="AO56" s="1">
        <v>45932</v>
      </c>
      <c r="AP56" s="5">
        <v>0.375</v>
      </c>
      <c r="AS56">
        <v>1</v>
      </c>
    </row>
    <row r="57" spans="1:45" x14ac:dyDescent="0.2">
      <c r="A57">
        <f t="shared" si="0"/>
        <v>2025</v>
      </c>
      <c r="B57">
        <f t="shared" si="1"/>
        <v>10</v>
      </c>
      <c r="C57">
        <f t="shared" si="2"/>
        <v>40</v>
      </c>
      <c r="D57" s="2">
        <f t="shared" si="3"/>
        <v>45932</v>
      </c>
      <c r="E57" s="1">
        <v>45932.375</v>
      </c>
      <c r="F57" t="s">
        <v>273</v>
      </c>
      <c r="G57" t="s">
        <v>36</v>
      </c>
      <c r="H57" t="s">
        <v>274</v>
      </c>
      <c r="I57" t="s">
        <v>38</v>
      </c>
      <c r="J57" t="s">
        <v>60</v>
      </c>
      <c r="M57" t="s">
        <v>40</v>
      </c>
      <c r="N57" t="s">
        <v>41</v>
      </c>
      <c r="O57" t="s">
        <v>42</v>
      </c>
      <c r="P57">
        <v>20</v>
      </c>
      <c r="Q57">
        <v>0</v>
      </c>
      <c r="R57">
        <v>0</v>
      </c>
      <c r="S57">
        <v>0</v>
      </c>
      <c r="T57">
        <v>5018998379</v>
      </c>
      <c r="U57" t="s">
        <v>44</v>
      </c>
      <c r="W57" t="s">
        <v>257</v>
      </c>
      <c r="Y57">
        <v>0</v>
      </c>
      <c r="AA57" t="s">
        <v>40</v>
      </c>
      <c r="AB57" t="s">
        <v>46</v>
      </c>
      <c r="AC57" t="s">
        <v>47</v>
      </c>
      <c r="AF57" t="s">
        <v>62</v>
      </c>
      <c r="AJ57" t="s">
        <v>40</v>
      </c>
      <c r="AK57" t="s">
        <v>49</v>
      </c>
      <c r="AN57">
        <v>259596021</v>
      </c>
      <c r="AO57" s="1">
        <v>45932</v>
      </c>
      <c r="AP57" s="5">
        <v>0.375</v>
      </c>
      <c r="AS57">
        <v>1</v>
      </c>
    </row>
    <row r="58" spans="1:45" x14ac:dyDescent="0.2">
      <c r="A58">
        <f t="shared" si="0"/>
        <v>2025</v>
      </c>
      <c r="B58">
        <f t="shared" si="1"/>
        <v>10</v>
      </c>
      <c r="C58">
        <f t="shared" si="2"/>
        <v>40</v>
      </c>
      <c r="D58" s="2">
        <f t="shared" si="3"/>
        <v>45932</v>
      </c>
      <c r="E58" s="1">
        <v>45932.416666666664</v>
      </c>
      <c r="F58" t="s">
        <v>275</v>
      </c>
      <c r="G58" t="s">
        <v>36</v>
      </c>
      <c r="H58" t="s">
        <v>37</v>
      </c>
      <c r="I58" t="s">
        <v>38</v>
      </c>
      <c r="J58" t="s">
        <v>112</v>
      </c>
      <c r="N58" t="s">
        <v>41</v>
      </c>
      <c r="O58" t="s">
        <v>42</v>
      </c>
      <c r="P58">
        <v>23</v>
      </c>
      <c r="Q58">
        <v>0</v>
      </c>
      <c r="R58">
        <v>0</v>
      </c>
      <c r="S58">
        <v>0</v>
      </c>
      <c r="T58" t="s">
        <v>276</v>
      </c>
      <c r="U58" t="s">
        <v>44</v>
      </c>
      <c r="W58" t="s">
        <v>234</v>
      </c>
      <c r="Y58">
        <v>0</v>
      </c>
      <c r="AA58" t="s">
        <v>40</v>
      </c>
      <c r="AB58" t="s">
        <v>102</v>
      </c>
      <c r="AC58" t="s">
        <v>47</v>
      </c>
      <c r="AF58" t="s">
        <v>48</v>
      </c>
      <c r="AJ58" t="s">
        <v>40</v>
      </c>
      <c r="AK58" t="s">
        <v>49</v>
      </c>
      <c r="AO58" s="1">
        <v>45932</v>
      </c>
      <c r="AP58" s="5">
        <v>0.41666666666666669</v>
      </c>
      <c r="AS58">
        <v>1</v>
      </c>
    </row>
    <row r="59" spans="1:45" x14ac:dyDescent="0.2">
      <c r="A59">
        <f t="shared" si="0"/>
        <v>2025</v>
      </c>
      <c r="B59">
        <f t="shared" si="1"/>
        <v>10</v>
      </c>
      <c r="C59">
        <f t="shared" si="2"/>
        <v>40</v>
      </c>
      <c r="D59" s="2">
        <f t="shared" si="3"/>
        <v>45932</v>
      </c>
      <c r="E59" s="1">
        <v>45932.416666666664</v>
      </c>
      <c r="F59" t="s">
        <v>277</v>
      </c>
      <c r="G59" t="s">
        <v>36</v>
      </c>
      <c r="H59" t="s">
        <v>37</v>
      </c>
      <c r="I59" t="s">
        <v>38</v>
      </c>
      <c r="J59" t="s">
        <v>112</v>
      </c>
      <c r="M59" t="s">
        <v>40</v>
      </c>
      <c r="N59" t="s">
        <v>41</v>
      </c>
      <c r="O59" t="s">
        <v>42</v>
      </c>
      <c r="P59">
        <v>23</v>
      </c>
      <c r="Q59">
        <v>0</v>
      </c>
      <c r="R59">
        <v>0</v>
      </c>
      <c r="S59">
        <v>0</v>
      </c>
      <c r="T59" t="s">
        <v>278</v>
      </c>
      <c r="U59" t="s">
        <v>44</v>
      </c>
      <c r="W59" t="s">
        <v>234</v>
      </c>
      <c r="Y59">
        <v>0</v>
      </c>
      <c r="AA59" t="s">
        <v>40</v>
      </c>
      <c r="AB59" t="s">
        <v>46</v>
      </c>
      <c r="AC59" t="s">
        <v>47</v>
      </c>
      <c r="AF59" t="s">
        <v>48</v>
      </c>
      <c r="AJ59" t="s">
        <v>40</v>
      </c>
      <c r="AK59" t="s">
        <v>49</v>
      </c>
      <c r="AO59" s="1">
        <v>45932</v>
      </c>
      <c r="AP59" s="5">
        <v>0.41666666666666669</v>
      </c>
      <c r="AS59">
        <v>1</v>
      </c>
    </row>
    <row r="60" spans="1:45" x14ac:dyDescent="0.2">
      <c r="A60">
        <f t="shared" si="0"/>
        <v>2025</v>
      </c>
      <c r="B60">
        <f t="shared" si="1"/>
        <v>10</v>
      </c>
      <c r="C60">
        <f t="shared" si="2"/>
        <v>40</v>
      </c>
      <c r="D60" s="2">
        <f t="shared" si="3"/>
        <v>45932</v>
      </c>
      <c r="E60" s="1">
        <v>45932.416666666664</v>
      </c>
      <c r="F60" t="s">
        <v>279</v>
      </c>
      <c r="G60" t="s">
        <v>36</v>
      </c>
      <c r="H60" t="s">
        <v>280</v>
      </c>
      <c r="I60" t="s">
        <v>38</v>
      </c>
      <c r="J60" t="s">
        <v>60</v>
      </c>
      <c r="M60" t="s">
        <v>40</v>
      </c>
      <c r="N60" t="s">
        <v>41</v>
      </c>
      <c r="O60" t="s">
        <v>42</v>
      </c>
      <c r="P60">
        <v>20</v>
      </c>
      <c r="Q60">
        <v>0</v>
      </c>
      <c r="R60">
        <v>0</v>
      </c>
      <c r="S60">
        <v>0</v>
      </c>
      <c r="T60" t="s">
        <v>281</v>
      </c>
      <c r="U60" t="s">
        <v>44</v>
      </c>
      <c r="W60" t="s">
        <v>257</v>
      </c>
      <c r="Y60">
        <v>0</v>
      </c>
      <c r="AA60" t="s">
        <v>40</v>
      </c>
      <c r="AB60" t="s">
        <v>46</v>
      </c>
      <c r="AC60" t="s">
        <v>47</v>
      </c>
      <c r="AF60" t="s">
        <v>62</v>
      </c>
      <c r="AJ60" t="s">
        <v>40</v>
      </c>
      <c r="AK60" t="s">
        <v>49</v>
      </c>
      <c r="AN60">
        <v>259596028</v>
      </c>
      <c r="AO60" s="1">
        <v>45932</v>
      </c>
      <c r="AP60" s="5">
        <v>0.41666666666666669</v>
      </c>
      <c r="AS60">
        <v>1</v>
      </c>
    </row>
    <row r="61" spans="1:45" x14ac:dyDescent="0.2">
      <c r="A61">
        <f t="shared" si="0"/>
        <v>2025</v>
      </c>
      <c r="B61">
        <f t="shared" si="1"/>
        <v>10</v>
      </c>
      <c r="C61">
        <f t="shared" si="2"/>
        <v>40</v>
      </c>
      <c r="D61" s="2">
        <f t="shared" si="3"/>
        <v>45932</v>
      </c>
      <c r="E61" s="1">
        <v>45932.416666666664</v>
      </c>
      <c r="F61" t="s">
        <v>282</v>
      </c>
      <c r="G61" t="s">
        <v>36</v>
      </c>
      <c r="H61">
        <v>450200</v>
      </c>
      <c r="I61" t="s">
        <v>51</v>
      </c>
      <c r="J61" t="s">
        <v>52</v>
      </c>
      <c r="M61" t="s">
        <v>40</v>
      </c>
      <c r="N61" t="s">
        <v>41</v>
      </c>
      <c r="O61" t="s">
        <v>53</v>
      </c>
      <c r="P61">
        <v>33</v>
      </c>
      <c r="Q61">
        <v>0</v>
      </c>
      <c r="R61">
        <v>0</v>
      </c>
      <c r="S61">
        <v>0</v>
      </c>
      <c r="T61" t="s">
        <v>54</v>
      </c>
      <c r="U61" t="s">
        <v>55</v>
      </c>
      <c r="W61" t="s">
        <v>236</v>
      </c>
      <c r="Y61">
        <v>0</v>
      </c>
      <c r="AA61" t="s">
        <v>40</v>
      </c>
      <c r="AB61" t="s">
        <v>46</v>
      </c>
      <c r="AC61" t="s">
        <v>47</v>
      </c>
      <c r="AG61" t="s">
        <v>283</v>
      </c>
      <c r="AJ61" t="s">
        <v>40</v>
      </c>
      <c r="AK61">
        <v>5019080730</v>
      </c>
      <c r="AO61" s="1">
        <v>45932</v>
      </c>
      <c r="AP61" s="5">
        <v>0.41666666666666669</v>
      </c>
      <c r="AS61">
        <v>1</v>
      </c>
    </row>
    <row r="62" spans="1:45" x14ac:dyDescent="0.2">
      <c r="A62">
        <f t="shared" si="0"/>
        <v>2025</v>
      </c>
      <c r="B62">
        <f t="shared" si="1"/>
        <v>10</v>
      </c>
      <c r="C62">
        <f t="shared" si="2"/>
        <v>40</v>
      </c>
      <c r="D62" s="2">
        <f t="shared" si="3"/>
        <v>45932</v>
      </c>
      <c r="E62" s="1">
        <v>45932.458333333336</v>
      </c>
      <c r="F62" t="s">
        <v>284</v>
      </c>
      <c r="G62" t="s">
        <v>36</v>
      </c>
      <c r="H62" t="s">
        <v>285</v>
      </c>
      <c r="I62" t="s">
        <v>78</v>
      </c>
      <c r="J62" t="s">
        <v>286</v>
      </c>
      <c r="M62" t="s">
        <v>40</v>
      </c>
      <c r="N62" t="s">
        <v>41</v>
      </c>
      <c r="O62" t="s">
        <v>287</v>
      </c>
      <c r="P62">
        <v>66</v>
      </c>
      <c r="Q62">
        <v>0</v>
      </c>
      <c r="R62">
        <v>0</v>
      </c>
      <c r="S62">
        <v>0</v>
      </c>
      <c r="T62" t="s">
        <v>91</v>
      </c>
      <c r="U62" t="s">
        <v>55</v>
      </c>
      <c r="W62" t="s">
        <v>288</v>
      </c>
      <c r="Y62">
        <v>0</v>
      </c>
      <c r="AA62" t="s">
        <v>40</v>
      </c>
      <c r="AB62" t="s">
        <v>46</v>
      </c>
      <c r="AC62" t="s">
        <v>47</v>
      </c>
      <c r="AD62" t="s">
        <v>81</v>
      </c>
      <c r="AE62" t="s">
        <v>81</v>
      </c>
      <c r="AG62" t="s">
        <v>289</v>
      </c>
      <c r="AJ62" t="s">
        <v>40</v>
      </c>
      <c r="AK62" t="s">
        <v>290</v>
      </c>
      <c r="AO62" s="1">
        <v>45932</v>
      </c>
      <c r="AP62" s="5">
        <v>0.45833333333333331</v>
      </c>
      <c r="AS62">
        <v>1</v>
      </c>
    </row>
    <row r="63" spans="1:45" x14ac:dyDescent="0.2">
      <c r="A63">
        <f t="shared" si="0"/>
        <v>2025</v>
      </c>
      <c r="B63">
        <f t="shared" si="1"/>
        <v>10</v>
      </c>
      <c r="C63">
        <f t="shared" si="2"/>
        <v>40</v>
      </c>
      <c r="D63" s="2">
        <f t="shared" si="3"/>
        <v>45932</v>
      </c>
      <c r="E63" s="1">
        <v>45932.458333333336</v>
      </c>
      <c r="F63" t="s">
        <v>291</v>
      </c>
      <c r="G63" t="s">
        <v>36</v>
      </c>
      <c r="H63" t="s">
        <v>292</v>
      </c>
      <c r="I63" t="s">
        <v>38</v>
      </c>
      <c r="J63" t="s">
        <v>254</v>
      </c>
      <c r="N63" t="s">
        <v>41</v>
      </c>
      <c r="O63" t="s">
        <v>42</v>
      </c>
      <c r="P63">
        <v>5</v>
      </c>
      <c r="Q63">
        <v>0</v>
      </c>
      <c r="R63">
        <v>0</v>
      </c>
      <c r="S63">
        <v>0</v>
      </c>
      <c r="T63" t="s">
        <v>293</v>
      </c>
      <c r="U63" t="s">
        <v>294</v>
      </c>
      <c r="W63" t="s">
        <v>251</v>
      </c>
      <c r="Y63">
        <v>0</v>
      </c>
      <c r="AA63" t="s">
        <v>40</v>
      </c>
      <c r="AC63" t="s">
        <v>47</v>
      </c>
      <c r="AF63" t="s">
        <v>295</v>
      </c>
      <c r="AJ63" t="s">
        <v>40</v>
      </c>
      <c r="AK63" t="s">
        <v>49</v>
      </c>
      <c r="AO63" s="1">
        <v>45932</v>
      </c>
      <c r="AP63" s="5">
        <v>0.45833333333333331</v>
      </c>
      <c r="AS63">
        <v>1</v>
      </c>
    </row>
    <row r="64" spans="1:45" x14ac:dyDescent="0.2">
      <c r="A64">
        <f t="shared" si="0"/>
        <v>2025</v>
      </c>
      <c r="B64">
        <f t="shared" si="1"/>
        <v>10</v>
      </c>
      <c r="C64">
        <f t="shared" si="2"/>
        <v>40</v>
      </c>
      <c r="D64" s="2">
        <f t="shared" si="3"/>
        <v>45932</v>
      </c>
      <c r="E64" s="1">
        <v>45932.458333333336</v>
      </c>
      <c r="F64" t="s">
        <v>296</v>
      </c>
      <c r="G64" t="s">
        <v>36</v>
      </c>
      <c r="H64" t="s">
        <v>297</v>
      </c>
      <c r="I64" t="s">
        <v>38</v>
      </c>
      <c r="J64" t="s">
        <v>112</v>
      </c>
      <c r="M64" t="s">
        <v>40</v>
      </c>
      <c r="N64" t="s">
        <v>41</v>
      </c>
      <c r="O64" t="s">
        <v>42</v>
      </c>
      <c r="P64">
        <v>2</v>
      </c>
      <c r="Q64">
        <v>0</v>
      </c>
      <c r="R64">
        <v>0</v>
      </c>
      <c r="S64">
        <v>0</v>
      </c>
      <c r="T64" t="s">
        <v>298</v>
      </c>
      <c r="U64" t="s">
        <v>101</v>
      </c>
      <c r="W64" t="s">
        <v>234</v>
      </c>
      <c r="Y64">
        <v>0</v>
      </c>
      <c r="AA64" t="s">
        <v>40</v>
      </c>
      <c r="AB64" t="s">
        <v>46</v>
      </c>
      <c r="AC64" t="s">
        <v>47</v>
      </c>
      <c r="AF64" t="s">
        <v>48</v>
      </c>
      <c r="AJ64" t="s">
        <v>40</v>
      </c>
      <c r="AK64" t="s">
        <v>49</v>
      </c>
      <c r="AO64" s="1">
        <v>45932</v>
      </c>
      <c r="AP64" s="5">
        <v>0.45833333333333331</v>
      </c>
      <c r="AS64">
        <v>1</v>
      </c>
    </row>
    <row r="65" spans="1:45" x14ac:dyDescent="0.2">
      <c r="A65">
        <f t="shared" si="0"/>
        <v>2025</v>
      </c>
      <c r="B65">
        <f t="shared" si="1"/>
        <v>10</v>
      </c>
      <c r="C65">
        <f t="shared" si="2"/>
        <v>40</v>
      </c>
      <c r="D65" s="2">
        <f t="shared" si="3"/>
        <v>45932</v>
      </c>
      <c r="E65" s="1">
        <v>45932.458333333336</v>
      </c>
      <c r="F65" t="s">
        <v>299</v>
      </c>
      <c r="G65" t="s">
        <v>36</v>
      </c>
      <c r="H65" t="s">
        <v>37</v>
      </c>
      <c r="I65" t="s">
        <v>38</v>
      </c>
      <c r="J65" t="s">
        <v>112</v>
      </c>
      <c r="M65" t="s">
        <v>40</v>
      </c>
      <c r="N65" t="s">
        <v>41</v>
      </c>
      <c r="O65" t="s">
        <v>42</v>
      </c>
      <c r="P65">
        <v>23</v>
      </c>
      <c r="Q65">
        <v>0</v>
      </c>
      <c r="R65">
        <v>0</v>
      </c>
      <c r="S65">
        <v>0</v>
      </c>
      <c r="T65" t="s">
        <v>300</v>
      </c>
      <c r="U65" t="s">
        <v>44</v>
      </c>
      <c r="W65" t="s">
        <v>234</v>
      </c>
      <c r="Y65">
        <v>0</v>
      </c>
      <c r="AA65" t="s">
        <v>40</v>
      </c>
      <c r="AB65" t="s">
        <v>46</v>
      </c>
      <c r="AC65" t="s">
        <v>47</v>
      </c>
      <c r="AF65" t="s">
        <v>48</v>
      </c>
      <c r="AJ65" t="s">
        <v>40</v>
      </c>
      <c r="AK65" t="s">
        <v>49</v>
      </c>
      <c r="AO65" s="1">
        <v>45932</v>
      </c>
      <c r="AP65" s="5">
        <v>0.45833333333333331</v>
      </c>
      <c r="AS65">
        <v>1</v>
      </c>
    </row>
    <row r="66" spans="1:45" x14ac:dyDescent="0.2">
      <c r="A66">
        <f t="shared" ref="A66:A129" si="6">YEAR(D66)</f>
        <v>2025</v>
      </c>
      <c r="B66">
        <f t="shared" ref="B66:B129" si="7">MONTH(D66)</f>
        <v>10</v>
      </c>
      <c r="C66">
        <f t="shared" ref="C66:C129" si="8">WEEKNUM(D66)</f>
        <v>40</v>
      </c>
      <c r="D66" s="2">
        <f t="shared" ref="D66:D129" si="9">INT(E66)</f>
        <v>45932</v>
      </c>
      <c r="E66" s="1">
        <v>45932.458333333336</v>
      </c>
      <c r="F66" t="s">
        <v>301</v>
      </c>
      <c r="G66" t="s">
        <v>36</v>
      </c>
      <c r="H66" t="s">
        <v>264</v>
      </c>
      <c r="I66" t="s">
        <v>38</v>
      </c>
      <c r="J66" t="s">
        <v>265</v>
      </c>
      <c r="M66" t="s">
        <v>40</v>
      </c>
      <c r="N66" t="s">
        <v>41</v>
      </c>
      <c r="O66" t="s">
        <v>42</v>
      </c>
      <c r="P66">
        <v>33</v>
      </c>
      <c r="Q66">
        <v>0</v>
      </c>
      <c r="R66">
        <v>0</v>
      </c>
      <c r="S66">
        <v>0</v>
      </c>
      <c r="T66">
        <v>4505775608</v>
      </c>
      <c r="U66" t="s">
        <v>44</v>
      </c>
      <c r="W66" t="s">
        <v>120</v>
      </c>
      <c r="Y66">
        <v>0</v>
      </c>
      <c r="AA66" t="s">
        <v>40</v>
      </c>
      <c r="AB66" t="s">
        <v>46</v>
      </c>
      <c r="AC66" t="s">
        <v>47</v>
      </c>
      <c r="AF66" t="s">
        <v>48</v>
      </c>
      <c r="AJ66" t="s">
        <v>40</v>
      </c>
      <c r="AK66" t="s">
        <v>49</v>
      </c>
      <c r="AO66" s="1">
        <v>45932</v>
      </c>
      <c r="AP66" s="5">
        <v>0.45833333333333331</v>
      </c>
      <c r="AS66">
        <v>1</v>
      </c>
    </row>
    <row r="67" spans="1:45" x14ac:dyDescent="0.2">
      <c r="A67">
        <f t="shared" si="6"/>
        <v>2025</v>
      </c>
      <c r="B67">
        <f t="shared" si="7"/>
        <v>10</v>
      </c>
      <c r="C67">
        <f t="shared" si="8"/>
        <v>40</v>
      </c>
      <c r="D67" s="2">
        <f t="shared" si="9"/>
        <v>45932</v>
      </c>
      <c r="E67" s="1">
        <v>45932.458333333336</v>
      </c>
      <c r="F67" t="s">
        <v>302</v>
      </c>
      <c r="G67" t="s">
        <v>36</v>
      </c>
      <c r="H67">
        <v>450182</v>
      </c>
      <c r="I67" t="s">
        <v>51</v>
      </c>
      <c r="J67" t="s">
        <v>52</v>
      </c>
      <c r="M67" t="s">
        <v>40</v>
      </c>
      <c r="N67" t="s">
        <v>41</v>
      </c>
      <c r="O67" t="s">
        <v>53</v>
      </c>
      <c r="P67">
        <v>33</v>
      </c>
      <c r="Q67">
        <v>0</v>
      </c>
      <c r="R67">
        <v>0</v>
      </c>
      <c r="S67">
        <v>0</v>
      </c>
      <c r="T67" t="s">
        <v>54</v>
      </c>
      <c r="U67" t="s">
        <v>55</v>
      </c>
      <c r="W67" t="s">
        <v>236</v>
      </c>
      <c r="Y67">
        <v>0</v>
      </c>
      <c r="AA67" t="s">
        <v>40</v>
      </c>
      <c r="AB67" t="s">
        <v>46</v>
      </c>
      <c r="AC67" t="s">
        <v>47</v>
      </c>
      <c r="AG67" t="s">
        <v>303</v>
      </c>
      <c r="AJ67" t="s">
        <v>40</v>
      </c>
      <c r="AK67">
        <v>5019069750</v>
      </c>
      <c r="AO67" s="1">
        <v>45932</v>
      </c>
      <c r="AP67" s="5">
        <v>0.45833333333333331</v>
      </c>
      <c r="AS67">
        <v>1</v>
      </c>
    </row>
    <row r="68" spans="1:45" x14ac:dyDescent="0.2">
      <c r="A68">
        <f t="shared" si="6"/>
        <v>2025</v>
      </c>
      <c r="B68">
        <f t="shared" si="7"/>
        <v>10</v>
      </c>
      <c r="C68">
        <f t="shared" si="8"/>
        <v>40</v>
      </c>
      <c r="D68" s="2">
        <f t="shared" si="9"/>
        <v>45932</v>
      </c>
      <c r="E68" s="1">
        <v>45932.458333333336</v>
      </c>
      <c r="F68" t="s">
        <v>304</v>
      </c>
      <c r="G68" t="s">
        <v>36</v>
      </c>
      <c r="H68" t="s">
        <v>37</v>
      </c>
      <c r="I68" t="s">
        <v>38</v>
      </c>
      <c r="J68" t="s">
        <v>112</v>
      </c>
      <c r="M68" t="s">
        <v>40</v>
      </c>
      <c r="N68" t="s">
        <v>41</v>
      </c>
      <c r="O68" t="s">
        <v>42</v>
      </c>
      <c r="P68">
        <v>23</v>
      </c>
      <c r="Q68">
        <v>0</v>
      </c>
      <c r="R68">
        <v>0</v>
      </c>
      <c r="S68">
        <v>0</v>
      </c>
      <c r="T68" t="s">
        <v>305</v>
      </c>
      <c r="U68" t="s">
        <v>44</v>
      </c>
      <c r="W68" t="s">
        <v>234</v>
      </c>
      <c r="Y68">
        <v>0</v>
      </c>
      <c r="AA68" t="s">
        <v>40</v>
      </c>
      <c r="AB68" t="s">
        <v>46</v>
      </c>
      <c r="AC68" t="s">
        <v>47</v>
      </c>
      <c r="AF68" t="s">
        <v>48</v>
      </c>
      <c r="AJ68" t="s">
        <v>40</v>
      </c>
      <c r="AK68" t="s">
        <v>49</v>
      </c>
      <c r="AO68" s="1">
        <v>45932</v>
      </c>
      <c r="AP68" s="5">
        <v>0.45833333333333331</v>
      </c>
      <c r="AS68">
        <v>1</v>
      </c>
    </row>
    <row r="69" spans="1:45" x14ac:dyDescent="0.2">
      <c r="A69">
        <f t="shared" si="6"/>
        <v>2025</v>
      </c>
      <c r="B69">
        <f t="shared" si="7"/>
        <v>10</v>
      </c>
      <c r="C69">
        <f t="shared" si="8"/>
        <v>40</v>
      </c>
      <c r="D69" s="2">
        <f t="shared" si="9"/>
        <v>45932</v>
      </c>
      <c r="E69" s="1">
        <v>45932.5</v>
      </c>
      <c r="F69" t="s">
        <v>306</v>
      </c>
      <c r="G69" t="s">
        <v>36</v>
      </c>
      <c r="H69" t="s">
        <v>239</v>
      </c>
      <c r="I69" t="s">
        <v>38</v>
      </c>
      <c r="J69" t="s">
        <v>240</v>
      </c>
      <c r="M69" t="s">
        <v>40</v>
      </c>
      <c r="N69" t="s">
        <v>41</v>
      </c>
      <c r="O69" t="s">
        <v>42</v>
      </c>
      <c r="P69">
        <v>26</v>
      </c>
      <c r="Q69">
        <v>0</v>
      </c>
      <c r="R69">
        <v>0</v>
      </c>
      <c r="S69">
        <v>0</v>
      </c>
      <c r="T69" t="s">
        <v>307</v>
      </c>
      <c r="U69" t="s">
        <v>44</v>
      </c>
      <c r="W69" t="s">
        <v>92</v>
      </c>
      <c r="Y69">
        <v>0</v>
      </c>
      <c r="AA69" t="s">
        <v>40</v>
      </c>
      <c r="AB69" t="s">
        <v>46</v>
      </c>
      <c r="AC69" t="s">
        <v>47</v>
      </c>
      <c r="AF69" t="s">
        <v>242</v>
      </c>
      <c r="AJ69" t="s">
        <v>40</v>
      </c>
      <c r="AK69" t="s">
        <v>49</v>
      </c>
      <c r="AO69" s="1">
        <v>45932</v>
      </c>
      <c r="AP69" s="5">
        <v>0.5</v>
      </c>
      <c r="AS69">
        <v>1</v>
      </c>
    </row>
    <row r="70" spans="1:45" x14ac:dyDescent="0.2">
      <c r="A70">
        <f t="shared" si="6"/>
        <v>2025</v>
      </c>
      <c r="B70">
        <f t="shared" si="7"/>
        <v>10</v>
      </c>
      <c r="C70">
        <f t="shared" si="8"/>
        <v>40</v>
      </c>
      <c r="D70" s="2">
        <f t="shared" si="9"/>
        <v>45932</v>
      </c>
      <c r="E70" s="1">
        <v>45932.5</v>
      </c>
      <c r="F70" t="s">
        <v>308</v>
      </c>
      <c r="G70" t="s">
        <v>36</v>
      </c>
      <c r="H70" t="s">
        <v>111</v>
      </c>
      <c r="I70" t="s">
        <v>38</v>
      </c>
      <c r="J70" t="s">
        <v>112</v>
      </c>
      <c r="M70" t="s">
        <v>40</v>
      </c>
      <c r="N70" t="s">
        <v>41</v>
      </c>
      <c r="O70" t="s">
        <v>42</v>
      </c>
      <c r="P70">
        <v>23</v>
      </c>
      <c r="Q70">
        <v>0</v>
      </c>
      <c r="R70">
        <v>0</v>
      </c>
      <c r="S70">
        <v>0</v>
      </c>
      <c r="T70" t="s">
        <v>309</v>
      </c>
      <c r="U70" t="s">
        <v>44</v>
      </c>
      <c r="W70" t="s">
        <v>234</v>
      </c>
      <c r="Y70">
        <v>0</v>
      </c>
      <c r="AA70" t="s">
        <v>40</v>
      </c>
      <c r="AB70" t="s">
        <v>46</v>
      </c>
      <c r="AC70" t="s">
        <v>47</v>
      </c>
      <c r="AF70" t="s">
        <v>48</v>
      </c>
      <c r="AJ70" t="s">
        <v>40</v>
      </c>
      <c r="AK70" t="s">
        <v>49</v>
      </c>
      <c r="AO70" s="1">
        <v>45932</v>
      </c>
      <c r="AP70" s="5">
        <v>0.5</v>
      </c>
      <c r="AS70">
        <v>1</v>
      </c>
    </row>
    <row r="71" spans="1:45" x14ac:dyDescent="0.2">
      <c r="A71">
        <f t="shared" si="6"/>
        <v>2025</v>
      </c>
      <c r="B71">
        <f t="shared" si="7"/>
        <v>10</v>
      </c>
      <c r="C71">
        <f t="shared" si="8"/>
        <v>40</v>
      </c>
      <c r="D71" s="2">
        <f t="shared" si="9"/>
        <v>45932</v>
      </c>
      <c r="E71" s="1">
        <v>45932.5</v>
      </c>
      <c r="F71" t="s">
        <v>310</v>
      </c>
      <c r="G71" t="s">
        <v>36</v>
      </c>
      <c r="H71">
        <v>447431</v>
      </c>
      <c r="I71" t="s">
        <v>51</v>
      </c>
      <c r="J71" t="s">
        <v>188</v>
      </c>
      <c r="M71" t="s">
        <v>40</v>
      </c>
      <c r="N71" t="s">
        <v>41</v>
      </c>
      <c r="O71" t="s">
        <v>189</v>
      </c>
      <c r="P71">
        <v>33</v>
      </c>
      <c r="Q71">
        <v>0</v>
      </c>
      <c r="R71">
        <v>0</v>
      </c>
      <c r="S71">
        <v>0</v>
      </c>
      <c r="T71" t="s">
        <v>54</v>
      </c>
      <c r="U71" t="s">
        <v>55</v>
      </c>
      <c r="W71" t="s">
        <v>311</v>
      </c>
      <c r="Y71">
        <v>0</v>
      </c>
      <c r="AA71" t="s">
        <v>40</v>
      </c>
      <c r="AB71" t="s">
        <v>46</v>
      </c>
      <c r="AC71" t="s">
        <v>47</v>
      </c>
      <c r="AG71" t="s">
        <v>312</v>
      </c>
      <c r="AJ71" t="s">
        <v>40</v>
      </c>
      <c r="AK71">
        <v>5019070149</v>
      </c>
      <c r="AO71" s="1">
        <v>45932</v>
      </c>
      <c r="AP71" s="5">
        <v>0.5</v>
      </c>
      <c r="AS71">
        <v>1</v>
      </c>
    </row>
    <row r="72" spans="1:45" x14ac:dyDescent="0.2">
      <c r="A72">
        <f t="shared" si="6"/>
        <v>2025</v>
      </c>
      <c r="B72">
        <f t="shared" si="7"/>
        <v>10</v>
      </c>
      <c r="C72">
        <f t="shared" si="8"/>
        <v>40</v>
      </c>
      <c r="D72" s="2">
        <f t="shared" si="9"/>
        <v>45932</v>
      </c>
      <c r="E72" s="1">
        <v>45932.5</v>
      </c>
      <c r="F72" t="s">
        <v>313</v>
      </c>
      <c r="G72" t="s">
        <v>36</v>
      </c>
      <c r="H72" t="s">
        <v>314</v>
      </c>
      <c r="I72" t="s">
        <v>78</v>
      </c>
      <c r="J72" t="s">
        <v>52</v>
      </c>
      <c r="M72" t="s">
        <v>40</v>
      </c>
      <c r="N72" t="s">
        <v>41</v>
      </c>
      <c r="O72" t="s">
        <v>79</v>
      </c>
      <c r="P72">
        <v>66</v>
      </c>
      <c r="Q72">
        <v>0</v>
      </c>
      <c r="R72">
        <v>0</v>
      </c>
      <c r="S72">
        <v>0</v>
      </c>
      <c r="T72" t="s">
        <v>54</v>
      </c>
      <c r="U72" t="s">
        <v>55</v>
      </c>
      <c r="W72" t="s">
        <v>246</v>
      </c>
      <c r="Y72">
        <v>0</v>
      </c>
      <c r="AA72" t="s">
        <v>40</v>
      </c>
      <c r="AB72" t="s">
        <v>46</v>
      </c>
      <c r="AC72" t="s">
        <v>47</v>
      </c>
      <c r="AD72" t="s">
        <v>81</v>
      </c>
      <c r="AE72" t="s">
        <v>81</v>
      </c>
      <c r="AG72" t="s">
        <v>315</v>
      </c>
      <c r="AJ72" t="s">
        <v>40</v>
      </c>
      <c r="AK72" t="s">
        <v>316</v>
      </c>
      <c r="AO72" s="1">
        <v>45932</v>
      </c>
      <c r="AP72" s="5">
        <v>0.5</v>
      </c>
      <c r="AS72">
        <v>1</v>
      </c>
    </row>
    <row r="73" spans="1:45" x14ac:dyDescent="0.2">
      <c r="A73">
        <f t="shared" si="6"/>
        <v>2025</v>
      </c>
      <c r="B73">
        <f t="shared" si="7"/>
        <v>10</v>
      </c>
      <c r="C73">
        <f t="shared" si="8"/>
        <v>40</v>
      </c>
      <c r="D73" s="2">
        <f t="shared" si="9"/>
        <v>45932</v>
      </c>
      <c r="E73" s="1">
        <v>45932.541666666664</v>
      </c>
      <c r="F73" t="s">
        <v>317</v>
      </c>
      <c r="G73" t="s">
        <v>36</v>
      </c>
      <c r="H73" t="s">
        <v>37</v>
      </c>
      <c r="I73" t="s">
        <v>38</v>
      </c>
      <c r="J73" t="s">
        <v>112</v>
      </c>
      <c r="M73" t="s">
        <v>40</v>
      </c>
      <c r="N73" t="s">
        <v>41</v>
      </c>
      <c r="O73" t="s">
        <v>42</v>
      </c>
      <c r="P73">
        <v>23</v>
      </c>
      <c r="Q73">
        <v>0</v>
      </c>
      <c r="R73">
        <v>0</v>
      </c>
      <c r="S73">
        <v>0</v>
      </c>
      <c r="T73" t="s">
        <v>318</v>
      </c>
      <c r="U73" t="s">
        <v>44</v>
      </c>
      <c r="W73" t="s">
        <v>234</v>
      </c>
      <c r="Y73">
        <v>0</v>
      </c>
      <c r="AA73" t="s">
        <v>40</v>
      </c>
      <c r="AB73" t="s">
        <v>46</v>
      </c>
      <c r="AC73" t="s">
        <v>47</v>
      </c>
      <c r="AF73" t="s">
        <v>48</v>
      </c>
      <c r="AJ73" t="s">
        <v>40</v>
      </c>
      <c r="AK73" t="s">
        <v>49</v>
      </c>
      <c r="AO73" s="1">
        <v>45932</v>
      </c>
      <c r="AP73" s="5">
        <v>0.54166666666666663</v>
      </c>
      <c r="AS73">
        <v>1</v>
      </c>
    </row>
    <row r="74" spans="1:45" x14ac:dyDescent="0.2">
      <c r="A74">
        <f t="shared" si="6"/>
        <v>2025</v>
      </c>
      <c r="B74">
        <f t="shared" si="7"/>
        <v>10</v>
      </c>
      <c r="C74">
        <f t="shared" si="8"/>
        <v>40</v>
      </c>
      <c r="D74" s="2">
        <f t="shared" si="9"/>
        <v>45932</v>
      </c>
      <c r="E74" s="1">
        <v>45932.541666666664</v>
      </c>
      <c r="F74" t="s">
        <v>319</v>
      </c>
      <c r="G74" t="s">
        <v>36</v>
      </c>
      <c r="H74" t="s">
        <v>320</v>
      </c>
      <c r="I74" t="s">
        <v>38</v>
      </c>
      <c r="J74" t="s">
        <v>321</v>
      </c>
      <c r="M74" t="s">
        <v>40</v>
      </c>
      <c r="N74" t="s">
        <v>41</v>
      </c>
      <c r="O74" t="s">
        <v>42</v>
      </c>
      <c r="P74">
        <v>33</v>
      </c>
      <c r="Q74">
        <v>0</v>
      </c>
      <c r="R74">
        <v>0</v>
      </c>
      <c r="S74">
        <v>0</v>
      </c>
      <c r="T74">
        <v>5019021286</v>
      </c>
      <c r="U74" t="s">
        <v>44</v>
      </c>
      <c r="W74" t="s">
        <v>92</v>
      </c>
      <c r="Y74">
        <v>0</v>
      </c>
      <c r="AA74" t="s">
        <v>40</v>
      </c>
      <c r="AB74" t="s">
        <v>46</v>
      </c>
      <c r="AC74" t="s">
        <v>47</v>
      </c>
      <c r="AF74" t="s">
        <v>322</v>
      </c>
      <c r="AJ74" t="s">
        <v>40</v>
      </c>
      <c r="AK74" t="s">
        <v>49</v>
      </c>
      <c r="AO74" s="1">
        <v>45932</v>
      </c>
      <c r="AP74" s="5">
        <v>0.54166666666666663</v>
      </c>
      <c r="AS74">
        <v>1</v>
      </c>
    </row>
    <row r="75" spans="1:45" x14ac:dyDescent="0.2">
      <c r="A75">
        <f t="shared" si="6"/>
        <v>2025</v>
      </c>
      <c r="B75">
        <f t="shared" si="7"/>
        <v>10</v>
      </c>
      <c r="C75">
        <f t="shared" si="8"/>
        <v>40</v>
      </c>
      <c r="D75" s="2">
        <f t="shared" si="9"/>
        <v>45932</v>
      </c>
      <c r="E75" s="1">
        <v>45932.541666666664</v>
      </c>
      <c r="F75" t="s">
        <v>323</v>
      </c>
      <c r="G75" t="s">
        <v>36</v>
      </c>
      <c r="H75">
        <v>450178</v>
      </c>
      <c r="I75" t="s">
        <v>51</v>
      </c>
      <c r="J75" t="s">
        <v>154</v>
      </c>
      <c r="M75" t="s">
        <v>40</v>
      </c>
      <c r="N75" t="s">
        <v>41</v>
      </c>
      <c r="O75" t="s">
        <v>53</v>
      </c>
      <c r="P75">
        <v>33</v>
      </c>
      <c r="Q75">
        <v>0</v>
      </c>
      <c r="R75">
        <v>0</v>
      </c>
      <c r="S75">
        <v>0</v>
      </c>
      <c r="T75" t="s">
        <v>54</v>
      </c>
      <c r="U75" t="s">
        <v>55</v>
      </c>
      <c r="W75" t="s">
        <v>324</v>
      </c>
      <c r="Y75">
        <v>0</v>
      </c>
      <c r="AA75" t="s">
        <v>40</v>
      </c>
      <c r="AB75" t="s">
        <v>46</v>
      </c>
      <c r="AC75" t="s">
        <v>47</v>
      </c>
      <c r="AG75" t="s">
        <v>325</v>
      </c>
      <c r="AJ75" t="s">
        <v>40</v>
      </c>
      <c r="AK75">
        <v>5019070315</v>
      </c>
      <c r="AO75" s="1">
        <v>45932</v>
      </c>
      <c r="AP75" s="5">
        <v>0.54166666666666663</v>
      </c>
      <c r="AS75">
        <v>1</v>
      </c>
    </row>
    <row r="76" spans="1:45" x14ac:dyDescent="0.2">
      <c r="A76">
        <f t="shared" si="6"/>
        <v>2025</v>
      </c>
      <c r="B76">
        <f t="shared" si="7"/>
        <v>10</v>
      </c>
      <c r="C76">
        <f t="shared" si="8"/>
        <v>40</v>
      </c>
      <c r="D76" s="2">
        <f t="shared" si="9"/>
        <v>45932</v>
      </c>
      <c r="E76" s="1">
        <v>45932.541666666664</v>
      </c>
      <c r="F76" t="s">
        <v>326</v>
      </c>
      <c r="G76" t="s">
        <v>36</v>
      </c>
      <c r="H76" t="s">
        <v>111</v>
      </c>
      <c r="I76" t="s">
        <v>38</v>
      </c>
      <c r="J76" t="s">
        <v>112</v>
      </c>
      <c r="M76" t="s">
        <v>40</v>
      </c>
      <c r="N76" t="s">
        <v>41</v>
      </c>
      <c r="O76" t="s">
        <v>42</v>
      </c>
      <c r="P76">
        <v>23</v>
      </c>
      <c r="Q76">
        <v>0</v>
      </c>
      <c r="R76">
        <v>0</v>
      </c>
      <c r="S76">
        <v>0</v>
      </c>
      <c r="T76" t="s">
        <v>327</v>
      </c>
      <c r="U76" t="s">
        <v>44</v>
      </c>
      <c r="W76" t="s">
        <v>234</v>
      </c>
      <c r="Y76">
        <v>0</v>
      </c>
      <c r="AA76" t="s">
        <v>40</v>
      </c>
      <c r="AB76" t="s">
        <v>46</v>
      </c>
      <c r="AC76" t="s">
        <v>47</v>
      </c>
      <c r="AF76" t="s">
        <v>48</v>
      </c>
      <c r="AJ76" t="s">
        <v>40</v>
      </c>
      <c r="AK76" t="s">
        <v>49</v>
      </c>
      <c r="AO76" s="1">
        <v>45932</v>
      </c>
      <c r="AP76" s="5">
        <v>0.54166666666666663</v>
      </c>
      <c r="AS76">
        <v>1</v>
      </c>
    </row>
    <row r="77" spans="1:45" x14ac:dyDescent="0.2">
      <c r="A77">
        <f t="shared" si="6"/>
        <v>2025</v>
      </c>
      <c r="B77">
        <f t="shared" si="7"/>
        <v>10</v>
      </c>
      <c r="C77">
        <f t="shared" si="8"/>
        <v>40</v>
      </c>
      <c r="D77" s="2">
        <f t="shared" si="9"/>
        <v>45932</v>
      </c>
      <c r="E77" s="1">
        <v>45932.583333333336</v>
      </c>
      <c r="F77" t="s">
        <v>328</v>
      </c>
      <c r="G77" t="s">
        <v>36</v>
      </c>
      <c r="H77" t="s">
        <v>111</v>
      </c>
      <c r="I77" t="s">
        <v>38</v>
      </c>
      <c r="J77" t="s">
        <v>112</v>
      </c>
      <c r="M77" t="s">
        <v>40</v>
      </c>
      <c r="N77" t="s">
        <v>41</v>
      </c>
      <c r="O77" t="s">
        <v>42</v>
      </c>
      <c r="P77">
        <v>14</v>
      </c>
      <c r="Q77">
        <v>0</v>
      </c>
      <c r="R77">
        <v>0</v>
      </c>
      <c r="S77">
        <v>0</v>
      </c>
      <c r="T77" t="s">
        <v>329</v>
      </c>
      <c r="U77" t="s">
        <v>44</v>
      </c>
      <c r="W77" t="s">
        <v>234</v>
      </c>
      <c r="Y77">
        <v>0</v>
      </c>
      <c r="AA77" t="s">
        <v>40</v>
      </c>
      <c r="AB77" t="s">
        <v>46</v>
      </c>
      <c r="AC77" t="s">
        <v>47</v>
      </c>
      <c r="AF77" t="s">
        <v>48</v>
      </c>
      <c r="AJ77" t="s">
        <v>40</v>
      </c>
      <c r="AK77" t="s">
        <v>49</v>
      </c>
      <c r="AO77" s="1">
        <v>45932</v>
      </c>
      <c r="AP77" s="5">
        <v>0.58333333333333337</v>
      </c>
      <c r="AS77">
        <v>1</v>
      </c>
    </row>
    <row r="78" spans="1:45" x14ac:dyDescent="0.2">
      <c r="A78">
        <f t="shared" si="6"/>
        <v>2025</v>
      </c>
      <c r="B78">
        <f t="shared" si="7"/>
        <v>10</v>
      </c>
      <c r="C78">
        <f t="shared" si="8"/>
        <v>40</v>
      </c>
      <c r="D78" s="2">
        <f t="shared" si="9"/>
        <v>45932</v>
      </c>
      <c r="E78" s="1">
        <v>45932.583333333336</v>
      </c>
      <c r="F78" t="s">
        <v>330</v>
      </c>
      <c r="G78" t="s">
        <v>36</v>
      </c>
      <c r="H78" t="s">
        <v>37</v>
      </c>
      <c r="I78" t="s">
        <v>38</v>
      </c>
      <c r="J78" t="s">
        <v>112</v>
      </c>
      <c r="M78" t="s">
        <v>40</v>
      </c>
      <c r="N78" t="s">
        <v>41</v>
      </c>
      <c r="O78" t="s">
        <v>42</v>
      </c>
      <c r="P78">
        <v>9</v>
      </c>
      <c r="Q78">
        <v>0</v>
      </c>
      <c r="R78">
        <v>0</v>
      </c>
      <c r="S78">
        <v>0</v>
      </c>
      <c r="T78" t="s">
        <v>331</v>
      </c>
      <c r="U78" t="s">
        <v>101</v>
      </c>
      <c r="W78" t="s">
        <v>234</v>
      </c>
      <c r="Y78">
        <v>0</v>
      </c>
      <c r="AA78" t="s">
        <v>40</v>
      </c>
      <c r="AB78" t="s">
        <v>46</v>
      </c>
      <c r="AC78" t="s">
        <v>47</v>
      </c>
      <c r="AF78" t="s">
        <v>48</v>
      </c>
      <c r="AJ78" t="s">
        <v>40</v>
      </c>
      <c r="AK78" t="s">
        <v>49</v>
      </c>
      <c r="AO78" s="1">
        <v>45932</v>
      </c>
      <c r="AP78" s="5">
        <v>0.58333333333333337</v>
      </c>
      <c r="AS78">
        <v>1</v>
      </c>
    </row>
    <row r="79" spans="1:45" x14ac:dyDescent="0.2">
      <c r="A79">
        <f t="shared" si="6"/>
        <v>2025</v>
      </c>
      <c r="B79">
        <f t="shared" si="7"/>
        <v>10</v>
      </c>
      <c r="C79">
        <f t="shared" si="8"/>
        <v>40</v>
      </c>
      <c r="D79" s="2">
        <f t="shared" si="9"/>
        <v>45932</v>
      </c>
      <c r="E79" s="1">
        <v>45932.583333333336</v>
      </c>
      <c r="F79" t="s">
        <v>332</v>
      </c>
      <c r="G79" t="s">
        <v>36</v>
      </c>
      <c r="H79" t="s">
        <v>333</v>
      </c>
      <c r="I79" t="s">
        <v>38</v>
      </c>
      <c r="J79" t="s">
        <v>60</v>
      </c>
      <c r="M79" t="s">
        <v>40</v>
      </c>
      <c r="N79" t="s">
        <v>41</v>
      </c>
      <c r="O79" t="s">
        <v>42</v>
      </c>
      <c r="P79">
        <v>20</v>
      </c>
      <c r="Q79">
        <v>0</v>
      </c>
      <c r="R79">
        <v>0</v>
      </c>
      <c r="S79">
        <v>0</v>
      </c>
      <c r="T79">
        <v>5019021370</v>
      </c>
      <c r="U79" t="s">
        <v>44</v>
      </c>
      <c r="W79" t="s">
        <v>257</v>
      </c>
      <c r="Y79">
        <v>0</v>
      </c>
      <c r="AA79" t="s">
        <v>40</v>
      </c>
      <c r="AB79" t="s">
        <v>46</v>
      </c>
      <c r="AC79" t="s">
        <v>47</v>
      </c>
      <c r="AF79" t="s">
        <v>62</v>
      </c>
      <c r="AJ79" t="s">
        <v>40</v>
      </c>
      <c r="AK79" t="s">
        <v>49</v>
      </c>
      <c r="AN79">
        <v>259815822</v>
      </c>
      <c r="AO79" s="1">
        <v>45932</v>
      </c>
      <c r="AP79" s="5">
        <v>0.58333333333333337</v>
      </c>
      <c r="AS79">
        <v>1</v>
      </c>
    </row>
    <row r="80" spans="1:45" x14ac:dyDescent="0.2">
      <c r="A80">
        <f t="shared" si="6"/>
        <v>2025</v>
      </c>
      <c r="B80">
        <f t="shared" si="7"/>
        <v>10</v>
      </c>
      <c r="C80">
        <f t="shared" si="8"/>
        <v>40</v>
      </c>
      <c r="D80" s="2">
        <f t="shared" si="9"/>
        <v>45932</v>
      </c>
      <c r="E80" s="1">
        <v>45932.583333333336</v>
      </c>
      <c r="F80" t="s">
        <v>334</v>
      </c>
      <c r="G80" t="s">
        <v>36</v>
      </c>
      <c r="H80">
        <v>447421</v>
      </c>
      <c r="I80" t="s">
        <v>51</v>
      </c>
      <c r="J80" t="s">
        <v>188</v>
      </c>
      <c r="M80" t="s">
        <v>40</v>
      </c>
      <c r="N80" t="s">
        <v>41</v>
      </c>
      <c r="O80" t="s">
        <v>189</v>
      </c>
      <c r="P80">
        <v>33</v>
      </c>
      <c r="Q80">
        <v>0</v>
      </c>
      <c r="R80">
        <v>0</v>
      </c>
      <c r="S80">
        <v>0</v>
      </c>
      <c r="T80" t="s">
        <v>54</v>
      </c>
      <c r="U80" t="s">
        <v>55</v>
      </c>
      <c r="W80" t="s">
        <v>335</v>
      </c>
      <c r="Y80">
        <v>0</v>
      </c>
      <c r="AA80" t="s">
        <v>40</v>
      </c>
      <c r="AB80" t="s">
        <v>46</v>
      </c>
      <c r="AC80" t="s">
        <v>47</v>
      </c>
      <c r="AG80" t="s">
        <v>336</v>
      </c>
      <c r="AJ80" t="s">
        <v>40</v>
      </c>
      <c r="AK80">
        <v>5019068913</v>
      </c>
      <c r="AO80" s="1">
        <v>45932</v>
      </c>
      <c r="AP80" s="5">
        <v>0.58333333333333337</v>
      </c>
      <c r="AS80">
        <v>1</v>
      </c>
    </row>
    <row r="81" spans="1:45" x14ac:dyDescent="0.2">
      <c r="A81">
        <f t="shared" si="6"/>
        <v>2025</v>
      </c>
      <c r="B81">
        <f t="shared" si="7"/>
        <v>10</v>
      </c>
      <c r="C81">
        <f t="shared" si="8"/>
        <v>40</v>
      </c>
      <c r="D81" s="2">
        <f t="shared" si="9"/>
        <v>45932</v>
      </c>
      <c r="E81" s="1">
        <v>45932.625</v>
      </c>
      <c r="F81" t="s">
        <v>337</v>
      </c>
      <c r="G81" t="s">
        <v>36</v>
      </c>
      <c r="H81" t="s">
        <v>37</v>
      </c>
      <c r="I81" t="s">
        <v>38</v>
      </c>
      <c r="J81" t="s">
        <v>112</v>
      </c>
      <c r="M81" t="s">
        <v>40</v>
      </c>
      <c r="N81" t="s">
        <v>41</v>
      </c>
      <c r="O81" t="s">
        <v>42</v>
      </c>
      <c r="P81">
        <v>23</v>
      </c>
      <c r="Q81">
        <v>0</v>
      </c>
      <c r="R81">
        <v>0</v>
      </c>
      <c r="S81">
        <v>0</v>
      </c>
      <c r="T81" t="s">
        <v>338</v>
      </c>
      <c r="U81" t="s">
        <v>44</v>
      </c>
      <c r="W81" t="s">
        <v>234</v>
      </c>
      <c r="Y81">
        <v>0</v>
      </c>
      <c r="AA81" t="s">
        <v>40</v>
      </c>
      <c r="AB81" t="s">
        <v>46</v>
      </c>
      <c r="AC81" t="s">
        <v>47</v>
      </c>
      <c r="AF81" t="s">
        <v>48</v>
      </c>
      <c r="AJ81" t="s">
        <v>40</v>
      </c>
      <c r="AK81" t="s">
        <v>49</v>
      </c>
      <c r="AO81" s="1">
        <v>45932</v>
      </c>
      <c r="AP81" s="5">
        <v>0.625</v>
      </c>
      <c r="AS81">
        <v>1</v>
      </c>
    </row>
    <row r="82" spans="1:45" x14ac:dyDescent="0.2">
      <c r="A82">
        <f t="shared" si="6"/>
        <v>2025</v>
      </c>
      <c r="B82">
        <f t="shared" si="7"/>
        <v>10</v>
      </c>
      <c r="C82">
        <f t="shared" si="8"/>
        <v>40</v>
      </c>
      <c r="D82" s="2">
        <f t="shared" si="9"/>
        <v>45932</v>
      </c>
      <c r="E82" s="1">
        <v>45932.625</v>
      </c>
      <c r="F82" t="s">
        <v>339</v>
      </c>
      <c r="G82" t="s">
        <v>36</v>
      </c>
      <c r="H82" t="s">
        <v>340</v>
      </c>
      <c r="I82" t="s">
        <v>38</v>
      </c>
      <c r="J82" t="s">
        <v>341</v>
      </c>
      <c r="M82" t="s">
        <v>40</v>
      </c>
      <c r="N82" t="s">
        <v>41</v>
      </c>
      <c r="O82" t="s">
        <v>42</v>
      </c>
      <c r="P82">
        <v>20</v>
      </c>
      <c r="Q82">
        <v>0</v>
      </c>
      <c r="R82">
        <v>0</v>
      </c>
      <c r="S82">
        <v>0</v>
      </c>
      <c r="T82">
        <v>5018972323</v>
      </c>
      <c r="U82" t="s">
        <v>55</v>
      </c>
      <c r="W82" t="s">
        <v>92</v>
      </c>
      <c r="Y82">
        <v>0</v>
      </c>
      <c r="AA82" t="s">
        <v>40</v>
      </c>
      <c r="AB82" t="s">
        <v>46</v>
      </c>
      <c r="AC82" t="s">
        <v>47</v>
      </c>
      <c r="AF82" t="s">
        <v>342</v>
      </c>
      <c r="AJ82" t="s">
        <v>40</v>
      </c>
      <c r="AK82" t="s">
        <v>49</v>
      </c>
      <c r="AO82" s="1">
        <v>45932</v>
      </c>
      <c r="AP82" s="5">
        <v>0.625</v>
      </c>
      <c r="AS82">
        <v>1</v>
      </c>
    </row>
    <row r="83" spans="1:45" x14ac:dyDescent="0.2">
      <c r="A83">
        <f t="shared" si="6"/>
        <v>2025</v>
      </c>
      <c r="B83">
        <f t="shared" si="7"/>
        <v>10</v>
      </c>
      <c r="C83">
        <f t="shared" si="8"/>
        <v>40</v>
      </c>
      <c r="D83" s="2">
        <f t="shared" si="9"/>
        <v>45932</v>
      </c>
      <c r="E83" s="1">
        <v>45932.625</v>
      </c>
      <c r="F83" t="s">
        <v>343</v>
      </c>
      <c r="G83" t="s">
        <v>36</v>
      </c>
      <c r="H83" t="s">
        <v>344</v>
      </c>
      <c r="I83" t="s">
        <v>38</v>
      </c>
      <c r="J83" t="s">
        <v>60</v>
      </c>
      <c r="M83" t="s">
        <v>40</v>
      </c>
      <c r="N83" t="s">
        <v>41</v>
      </c>
      <c r="O83" t="s">
        <v>42</v>
      </c>
      <c r="P83">
        <v>20</v>
      </c>
      <c r="Q83">
        <v>0</v>
      </c>
      <c r="R83">
        <v>0</v>
      </c>
      <c r="S83">
        <v>0</v>
      </c>
      <c r="T83" t="s">
        <v>345</v>
      </c>
      <c r="U83" t="s">
        <v>44</v>
      </c>
      <c r="W83" t="s">
        <v>257</v>
      </c>
      <c r="Y83">
        <v>0</v>
      </c>
      <c r="AA83" t="s">
        <v>40</v>
      </c>
      <c r="AB83" t="s">
        <v>46</v>
      </c>
      <c r="AC83" t="s">
        <v>47</v>
      </c>
      <c r="AF83" t="s">
        <v>62</v>
      </c>
      <c r="AJ83" t="s">
        <v>40</v>
      </c>
      <c r="AK83" t="s">
        <v>49</v>
      </c>
      <c r="AN83">
        <v>259816072</v>
      </c>
      <c r="AO83" s="1">
        <v>45932</v>
      </c>
      <c r="AP83" s="5">
        <v>0.625</v>
      </c>
      <c r="AS83">
        <v>1</v>
      </c>
    </row>
    <row r="84" spans="1:45" x14ac:dyDescent="0.2">
      <c r="A84">
        <f t="shared" si="6"/>
        <v>2025</v>
      </c>
      <c r="B84">
        <f t="shared" si="7"/>
        <v>10</v>
      </c>
      <c r="C84">
        <f t="shared" si="8"/>
        <v>40</v>
      </c>
      <c r="D84" s="2">
        <f t="shared" si="9"/>
        <v>45932</v>
      </c>
      <c r="E84" s="1">
        <v>45932.625</v>
      </c>
      <c r="F84" t="s">
        <v>346</v>
      </c>
      <c r="G84" t="s">
        <v>36</v>
      </c>
      <c r="H84" t="s">
        <v>347</v>
      </c>
      <c r="I84" t="s">
        <v>38</v>
      </c>
      <c r="J84" t="s">
        <v>348</v>
      </c>
      <c r="M84" t="s">
        <v>40</v>
      </c>
      <c r="N84" t="s">
        <v>41</v>
      </c>
      <c r="O84" t="s">
        <v>42</v>
      </c>
      <c r="P84">
        <v>4</v>
      </c>
      <c r="Q84">
        <v>0</v>
      </c>
      <c r="R84">
        <v>0</v>
      </c>
      <c r="S84">
        <v>0</v>
      </c>
      <c r="T84" t="s">
        <v>349</v>
      </c>
      <c r="U84" t="s">
        <v>101</v>
      </c>
      <c r="W84" t="s">
        <v>120</v>
      </c>
      <c r="Y84">
        <v>0</v>
      </c>
      <c r="AA84" t="s">
        <v>40</v>
      </c>
      <c r="AB84" t="s">
        <v>46</v>
      </c>
      <c r="AC84" t="s">
        <v>47</v>
      </c>
      <c r="AF84" t="s">
        <v>350</v>
      </c>
      <c r="AJ84" t="s">
        <v>40</v>
      </c>
      <c r="AK84" t="s">
        <v>49</v>
      </c>
      <c r="AO84" s="1">
        <v>45932</v>
      </c>
      <c r="AP84" s="5">
        <v>0.625</v>
      </c>
      <c r="AS84">
        <v>1</v>
      </c>
    </row>
    <row r="85" spans="1:45" x14ac:dyDescent="0.2">
      <c r="A85">
        <f t="shared" si="6"/>
        <v>2025</v>
      </c>
      <c r="B85">
        <f t="shared" si="7"/>
        <v>10</v>
      </c>
      <c r="C85">
        <f t="shared" si="8"/>
        <v>40</v>
      </c>
      <c r="D85" s="2">
        <f t="shared" si="9"/>
        <v>45932</v>
      </c>
      <c r="E85" s="1">
        <v>45932.666666666664</v>
      </c>
      <c r="F85" t="s">
        <v>351</v>
      </c>
      <c r="G85" t="s">
        <v>36</v>
      </c>
      <c r="H85">
        <v>453512</v>
      </c>
      <c r="I85" t="s">
        <v>51</v>
      </c>
      <c r="J85" t="s">
        <v>118</v>
      </c>
      <c r="M85" t="s">
        <v>40</v>
      </c>
      <c r="N85" t="s">
        <v>41</v>
      </c>
      <c r="O85" t="s">
        <v>119</v>
      </c>
      <c r="P85">
        <v>33</v>
      </c>
      <c r="Q85">
        <v>0</v>
      </c>
      <c r="R85">
        <v>0</v>
      </c>
      <c r="S85">
        <v>0</v>
      </c>
      <c r="T85" t="s">
        <v>91</v>
      </c>
      <c r="U85" t="s">
        <v>55</v>
      </c>
      <c r="W85" t="s">
        <v>246</v>
      </c>
      <c r="Y85">
        <v>0</v>
      </c>
      <c r="AA85" t="s">
        <v>40</v>
      </c>
      <c r="AB85" t="s">
        <v>46</v>
      </c>
      <c r="AC85" t="s">
        <v>47</v>
      </c>
      <c r="AG85" t="s">
        <v>352</v>
      </c>
      <c r="AJ85" t="s">
        <v>40</v>
      </c>
      <c r="AK85">
        <v>5019067559</v>
      </c>
      <c r="AO85" s="1">
        <v>45932</v>
      </c>
      <c r="AP85" s="5">
        <v>0.66666666666666663</v>
      </c>
      <c r="AS85">
        <v>1</v>
      </c>
    </row>
    <row r="86" spans="1:45" x14ac:dyDescent="0.2">
      <c r="A86">
        <f t="shared" si="6"/>
        <v>2025</v>
      </c>
      <c r="B86">
        <f t="shared" si="7"/>
        <v>10</v>
      </c>
      <c r="C86">
        <f t="shared" si="8"/>
        <v>40</v>
      </c>
      <c r="D86" s="2">
        <f t="shared" si="9"/>
        <v>45932</v>
      </c>
      <c r="E86" s="1">
        <v>45932.666666666664</v>
      </c>
      <c r="F86" t="s">
        <v>353</v>
      </c>
      <c r="G86" t="s">
        <v>36</v>
      </c>
      <c r="H86" t="s">
        <v>354</v>
      </c>
      <c r="I86" t="s">
        <v>78</v>
      </c>
      <c r="J86" t="s">
        <v>355</v>
      </c>
      <c r="M86" t="s">
        <v>40</v>
      </c>
      <c r="N86" t="s">
        <v>41</v>
      </c>
      <c r="O86" t="s">
        <v>356</v>
      </c>
      <c r="P86">
        <v>66</v>
      </c>
      <c r="Q86">
        <v>0</v>
      </c>
      <c r="R86">
        <v>0</v>
      </c>
      <c r="S86">
        <v>0</v>
      </c>
      <c r="T86" t="s">
        <v>54</v>
      </c>
      <c r="U86" t="s">
        <v>55</v>
      </c>
      <c r="W86" t="s">
        <v>357</v>
      </c>
      <c r="Y86">
        <v>0</v>
      </c>
      <c r="AA86" t="s">
        <v>40</v>
      </c>
      <c r="AB86" t="s">
        <v>46</v>
      </c>
      <c r="AC86" t="s">
        <v>47</v>
      </c>
      <c r="AD86" t="s">
        <v>81</v>
      </c>
      <c r="AE86" t="s">
        <v>81</v>
      </c>
      <c r="AG86" t="s">
        <v>358</v>
      </c>
      <c r="AJ86" t="s">
        <v>40</v>
      </c>
      <c r="AK86" t="s">
        <v>359</v>
      </c>
      <c r="AO86" s="1">
        <v>45932</v>
      </c>
      <c r="AP86" s="5">
        <v>0.66666666666666663</v>
      </c>
      <c r="AS86">
        <v>1</v>
      </c>
    </row>
    <row r="87" spans="1:45" x14ac:dyDescent="0.2">
      <c r="A87">
        <f t="shared" si="6"/>
        <v>2025</v>
      </c>
      <c r="B87">
        <f t="shared" si="7"/>
        <v>10</v>
      </c>
      <c r="C87">
        <f t="shared" si="8"/>
        <v>40</v>
      </c>
      <c r="D87" s="2">
        <f t="shared" si="9"/>
        <v>45932</v>
      </c>
      <c r="E87" s="1">
        <v>45932.666666666664</v>
      </c>
      <c r="F87" t="s">
        <v>360</v>
      </c>
      <c r="G87" t="s">
        <v>36</v>
      </c>
      <c r="H87">
        <v>451469</v>
      </c>
      <c r="I87" t="s">
        <v>51</v>
      </c>
      <c r="J87" t="s">
        <v>118</v>
      </c>
      <c r="M87" t="s">
        <v>40</v>
      </c>
      <c r="N87" t="s">
        <v>41</v>
      </c>
      <c r="O87" t="s">
        <v>119</v>
      </c>
      <c r="P87">
        <v>33</v>
      </c>
      <c r="Q87">
        <v>0</v>
      </c>
      <c r="R87">
        <v>0</v>
      </c>
      <c r="S87">
        <v>0</v>
      </c>
      <c r="T87" t="s">
        <v>54</v>
      </c>
      <c r="U87" t="s">
        <v>55</v>
      </c>
      <c r="W87" t="s">
        <v>361</v>
      </c>
      <c r="Y87">
        <v>0</v>
      </c>
      <c r="AA87" t="s">
        <v>40</v>
      </c>
      <c r="AB87" t="s">
        <v>46</v>
      </c>
      <c r="AC87" t="s">
        <v>47</v>
      </c>
      <c r="AG87" t="s">
        <v>362</v>
      </c>
      <c r="AJ87" t="s">
        <v>40</v>
      </c>
      <c r="AK87">
        <v>5019072903</v>
      </c>
      <c r="AO87" s="1">
        <v>45932</v>
      </c>
      <c r="AP87" s="5">
        <v>0.66666666666666663</v>
      </c>
      <c r="AS87">
        <v>1</v>
      </c>
    </row>
    <row r="88" spans="1:45" x14ac:dyDescent="0.2">
      <c r="A88">
        <f t="shared" si="6"/>
        <v>2025</v>
      </c>
      <c r="B88">
        <f t="shared" si="7"/>
        <v>10</v>
      </c>
      <c r="C88">
        <f t="shared" si="8"/>
        <v>40</v>
      </c>
      <c r="D88" s="2">
        <f t="shared" si="9"/>
        <v>45932</v>
      </c>
      <c r="E88" s="1">
        <v>45932.666666666664</v>
      </c>
      <c r="F88" t="s">
        <v>363</v>
      </c>
      <c r="G88" t="s">
        <v>36</v>
      </c>
      <c r="H88" t="s">
        <v>364</v>
      </c>
      <c r="I88" t="s">
        <v>38</v>
      </c>
      <c r="J88" t="s">
        <v>365</v>
      </c>
      <c r="M88" t="s">
        <v>40</v>
      </c>
      <c r="N88" t="s">
        <v>41</v>
      </c>
      <c r="O88" t="s">
        <v>42</v>
      </c>
      <c r="P88">
        <v>21</v>
      </c>
      <c r="Q88">
        <v>0</v>
      </c>
      <c r="R88">
        <v>0</v>
      </c>
      <c r="S88">
        <v>0</v>
      </c>
      <c r="T88" t="s">
        <v>366</v>
      </c>
      <c r="U88" t="s">
        <v>44</v>
      </c>
      <c r="W88" t="s">
        <v>165</v>
      </c>
      <c r="Y88">
        <v>0</v>
      </c>
      <c r="AA88" t="s">
        <v>40</v>
      </c>
      <c r="AB88" t="s">
        <v>46</v>
      </c>
      <c r="AC88" t="s">
        <v>47</v>
      </c>
      <c r="AF88" t="s">
        <v>367</v>
      </c>
      <c r="AJ88" t="s">
        <v>40</v>
      </c>
      <c r="AK88" t="s">
        <v>49</v>
      </c>
      <c r="AM88" t="s">
        <v>368</v>
      </c>
      <c r="AN88" t="s">
        <v>369</v>
      </c>
      <c r="AO88" s="1">
        <v>45932</v>
      </c>
      <c r="AP88" s="5">
        <v>0.66666666666666663</v>
      </c>
      <c r="AS88">
        <v>1</v>
      </c>
    </row>
    <row r="89" spans="1:45" x14ac:dyDescent="0.2">
      <c r="A89">
        <f t="shared" si="6"/>
        <v>2025</v>
      </c>
      <c r="B89">
        <f t="shared" si="7"/>
        <v>10</v>
      </c>
      <c r="C89">
        <f t="shared" si="8"/>
        <v>40</v>
      </c>
      <c r="D89" s="2">
        <f t="shared" si="9"/>
        <v>45932</v>
      </c>
      <c r="E89" s="1">
        <v>45932.708333333336</v>
      </c>
      <c r="F89" t="s">
        <v>370</v>
      </c>
      <c r="G89" t="s">
        <v>36</v>
      </c>
      <c r="H89">
        <v>454149</v>
      </c>
      <c r="I89" t="s">
        <v>51</v>
      </c>
      <c r="J89" t="s">
        <v>154</v>
      </c>
      <c r="M89" t="s">
        <v>40</v>
      </c>
      <c r="N89" t="s">
        <v>41</v>
      </c>
      <c r="O89" t="s">
        <v>371</v>
      </c>
      <c r="P89">
        <v>33</v>
      </c>
      <c r="Q89">
        <v>0</v>
      </c>
      <c r="R89">
        <v>0</v>
      </c>
      <c r="S89">
        <v>0</v>
      </c>
      <c r="T89" t="s">
        <v>54</v>
      </c>
      <c r="U89" t="s">
        <v>55</v>
      </c>
      <c r="W89" t="s">
        <v>372</v>
      </c>
      <c r="Y89">
        <v>0</v>
      </c>
      <c r="AA89" t="s">
        <v>40</v>
      </c>
      <c r="AB89" t="s">
        <v>46</v>
      </c>
      <c r="AC89" t="s">
        <v>47</v>
      </c>
      <c r="AG89" t="s">
        <v>373</v>
      </c>
      <c r="AJ89" t="s">
        <v>40</v>
      </c>
      <c r="AK89">
        <v>5019085720</v>
      </c>
      <c r="AO89" s="1">
        <v>45932</v>
      </c>
      <c r="AP89" s="5">
        <v>0.70833333333333337</v>
      </c>
      <c r="AS89">
        <v>1</v>
      </c>
    </row>
    <row r="90" spans="1:45" x14ac:dyDescent="0.2">
      <c r="A90">
        <f t="shared" si="6"/>
        <v>2025</v>
      </c>
      <c r="B90">
        <f t="shared" si="7"/>
        <v>10</v>
      </c>
      <c r="C90">
        <f t="shared" si="8"/>
        <v>40</v>
      </c>
      <c r="D90" s="2">
        <f t="shared" si="9"/>
        <v>45932</v>
      </c>
      <c r="E90" s="1">
        <v>45932.708333333336</v>
      </c>
      <c r="F90" t="s">
        <v>374</v>
      </c>
      <c r="G90" t="s">
        <v>36</v>
      </c>
      <c r="H90">
        <v>447429</v>
      </c>
      <c r="I90" t="s">
        <v>51</v>
      </c>
      <c r="J90" t="s">
        <v>375</v>
      </c>
      <c r="M90" t="s">
        <v>40</v>
      </c>
      <c r="N90" t="s">
        <v>41</v>
      </c>
      <c r="O90" t="s">
        <v>182</v>
      </c>
      <c r="P90">
        <v>33</v>
      </c>
      <c r="Q90">
        <v>0</v>
      </c>
      <c r="R90">
        <v>0</v>
      </c>
      <c r="S90">
        <v>0</v>
      </c>
      <c r="T90" t="s">
        <v>54</v>
      </c>
      <c r="U90" t="s">
        <v>55</v>
      </c>
      <c r="W90" t="s">
        <v>324</v>
      </c>
      <c r="X90" t="s">
        <v>376</v>
      </c>
      <c r="Y90">
        <v>0</v>
      </c>
      <c r="AA90" t="s">
        <v>40</v>
      </c>
      <c r="AB90" t="s">
        <v>46</v>
      </c>
      <c r="AC90" t="s">
        <v>47</v>
      </c>
      <c r="AG90" t="s">
        <v>377</v>
      </c>
      <c r="AJ90" t="s">
        <v>40</v>
      </c>
      <c r="AK90">
        <v>5019071795</v>
      </c>
      <c r="AL90" t="s">
        <v>378</v>
      </c>
      <c r="AM90" t="s">
        <v>379</v>
      </c>
      <c r="AO90" s="1">
        <v>45932</v>
      </c>
      <c r="AP90" s="5">
        <v>0.70833333333333337</v>
      </c>
      <c r="AS90">
        <v>1</v>
      </c>
    </row>
    <row r="91" spans="1:45" x14ac:dyDescent="0.2">
      <c r="A91">
        <f t="shared" si="6"/>
        <v>2025</v>
      </c>
      <c r="B91">
        <f t="shared" si="7"/>
        <v>10</v>
      </c>
      <c r="C91">
        <f t="shared" si="8"/>
        <v>40</v>
      </c>
      <c r="D91" s="2">
        <f t="shared" si="9"/>
        <v>45932</v>
      </c>
      <c r="E91" s="1">
        <v>45932.708333333336</v>
      </c>
      <c r="F91" t="s">
        <v>380</v>
      </c>
      <c r="G91" t="s">
        <v>36</v>
      </c>
      <c r="H91" t="s">
        <v>381</v>
      </c>
      <c r="I91" t="s">
        <v>78</v>
      </c>
      <c r="J91" t="s">
        <v>144</v>
      </c>
      <c r="M91" t="s">
        <v>40</v>
      </c>
      <c r="N91" t="s">
        <v>41</v>
      </c>
      <c r="O91" t="s">
        <v>382</v>
      </c>
      <c r="P91">
        <v>66</v>
      </c>
      <c r="Q91">
        <v>0</v>
      </c>
      <c r="R91">
        <v>0</v>
      </c>
      <c r="S91">
        <v>0</v>
      </c>
      <c r="T91" t="s">
        <v>54</v>
      </c>
      <c r="U91" t="s">
        <v>55</v>
      </c>
      <c r="W91" t="s">
        <v>383</v>
      </c>
      <c r="Y91">
        <v>0</v>
      </c>
      <c r="AA91" t="s">
        <v>40</v>
      </c>
      <c r="AB91" t="s">
        <v>46</v>
      </c>
      <c r="AC91" t="s">
        <v>47</v>
      </c>
      <c r="AD91" t="s">
        <v>81</v>
      </c>
      <c r="AE91" t="s">
        <v>81</v>
      </c>
      <c r="AG91" t="s">
        <v>384</v>
      </c>
      <c r="AJ91" t="s">
        <v>40</v>
      </c>
      <c r="AK91" t="s">
        <v>385</v>
      </c>
      <c r="AO91" s="1">
        <v>45932</v>
      </c>
      <c r="AP91" s="5">
        <v>0.70833333333333337</v>
      </c>
      <c r="AS91">
        <v>1</v>
      </c>
    </row>
    <row r="92" spans="1:45" x14ac:dyDescent="0.2">
      <c r="A92">
        <f t="shared" si="6"/>
        <v>2025</v>
      </c>
      <c r="B92">
        <f t="shared" si="7"/>
        <v>10</v>
      </c>
      <c r="C92">
        <f t="shared" si="8"/>
        <v>40</v>
      </c>
      <c r="D92" s="2">
        <f t="shared" si="9"/>
        <v>45932</v>
      </c>
      <c r="E92" s="1">
        <v>45932.75</v>
      </c>
      <c r="F92" t="s">
        <v>386</v>
      </c>
      <c r="G92" t="s">
        <v>36</v>
      </c>
      <c r="H92">
        <v>447465</v>
      </c>
      <c r="I92" t="s">
        <v>51</v>
      </c>
      <c r="J92" t="s">
        <v>194</v>
      </c>
      <c r="M92" t="s">
        <v>40</v>
      </c>
      <c r="N92" t="s">
        <v>41</v>
      </c>
      <c r="O92" t="s">
        <v>189</v>
      </c>
      <c r="P92">
        <v>33</v>
      </c>
      <c r="Q92">
        <v>0</v>
      </c>
      <c r="R92">
        <v>0</v>
      </c>
      <c r="S92">
        <v>0</v>
      </c>
      <c r="T92" t="s">
        <v>54</v>
      </c>
      <c r="U92" t="s">
        <v>55</v>
      </c>
      <c r="W92" t="s">
        <v>387</v>
      </c>
      <c r="Y92">
        <v>0</v>
      </c>
      <c r="AA92" t="s">
        <v>40</v>
      </c>
      <c r="AB92" t="s">
        <v>46</v>
      </c>
      <c r="AC92" t="s">
        <v>47</v>
      </c>
      <c r="AG92" t="s">
        <v>388</v>
      </c>
      <c r="AJ92" t="s">
        <v>40</v>
      </c>
      <c r="AK92">
        <v>5019062916</v>
      </c>
      <c r="AO92" s="1">
        <v>45932</v>
      </c>
      <c r="AP92" s="5">
        <v>0.75</v>
      </c>
      <c r="AS92">
        <v>1</v>
      </c>
    </row>
    <row r="93" spans="1:45" x14ac:dyDescent="0.2">
      <c r="A93">
        <f t="shared" si="6"/>
        <v>2025</v>
      </c>
      <c r="B93">
        <f t="shared" si="7"/>
        <v>10</v>
      </c>
      <c r="C93">
        <f t="shared" si="8"/>
        <v>40</v>
      </c>
      <c r="D93" s="2">
        <f t="shared" si="9"/>
        <v>45932</v>
      </c>
      <c r="E93" s="1">
        <v>45932.75</v>
      </c>
      <c r="F93" t="s">
        <v>389</v>
      </c>
      <c r="G93" t="s">
        <v>36</v>
      </c>
      <c r="H93" t="s">
        <v>390</v>
      </c>
      <c r="I93" t="s">
        <v>38</v>
      </c>
      <c r="J93" t="s">
        <v>391</v>
      </c>
      <c r="M93" t="s">
        <v>40</v>
      </c>
      <c r="N93" t="s">
        <v>41</v>
      </c>
      <c r="O93" t="s">
        <v>42</v>
      </c>
      <c r="P93">
        <v>10</v>
      </c>
      <c r="Q93">
        <v>0</v>
      </c>
      <c r="R93">
        <v>0</v>
      </c>
      <c r="S93">
        <v>0</v>
      </c>
      <c r="U93" t="s">
        <v>392</v>
      </c>
      <c r="W93" t="s">
        <v>120</v>
      </c>
      <c r="Y93">
        <v>0</v>
      </c>
      <c r="AA93" t="s">
        <v>40</v>
      </c>
      <c r="AB93" t="s">
        <v>46</v>
      </c>
      <c r="AC93" t="s">
        <v>47</v>
      </c>
      <c r="AF93" t="s">
        <v>393</v>
      </c>
      <c r="AJ93" t="s">
        <v>40</v>
      </c>
      <c r="AK93" t="s">
        <v>49</v>
      </c>
      <c r="AO93" s="1">
        <v>45932</v>
      </c>
      <c r="AP93" s="5">
        <v>0.75</v>
      </c>
      <c r="AS93">
        <v>1</v>
      </c>
    </row>
    <row r="94" spans="1:45" x14ac:dyDescent="0.2">
      <c r="A94">
        <f t="shared" si="6"/>
        <v>2025</v>
      </c>
      <c r="B94">
        <f t="shared" si="7"/>
        <v>10</v>
      </c>
      <c r="C94">
        <f t="shared" si="8"/>
        <v>40</v>
      </c>
      <c r="D94" s="2">
        <f t="shared" si="9"/>
        <v>45932</v>
      </c>
      <c r="E94" s="1">
        <v>45932.75</v>
      </c>
      <c r="F94" t="s">
        <v>394</v>
      </c>
      <c r="G94" t="s">
        <v>36</v>
      </c>
      <c r="H94">
        <v>447446</v>
      </c>
      <c r="I94" t="s">
        <v>51</v>
      </c>
      <c r="J94" t="s">
        <v>219</v>
      </c>
      <c r="M94" t="s">
        <v>40</v>
      </c>
      <c r="N94" t="s">
        <v>41</v>
      </c>
      <c r="O94" t="s">
        <v>90</v>
      </c>
      <c r="P94">
        <v>33</v>
      </c>
      <c r="Q94">
        <v>0</v>
      </c>
      <c r="R94">
        <v>0</v>
      </c>
      <c r="S94">
        <v>0</v>
      </c>
      <c r="T94" t="s">
        <v>54</v>
      </c>
      <c r="U94" t="s">
        <v>55</v>
      </c>
      <c r="W94" t="s">
        <v>395</v>
      </c>
      <c r="X94" t="s">
        <v>396</v>
      </c>
      <c r="Y94">
        <v>0</v>
      </c>
      <c r="AA94" t="s">
        <v>40</v>
      </c>
      <c r="AB94" t="s">
        <v>46</v>
      </c>
      <c r="AC94" t="s">
        <v>47</v>
      </c>
      <c r="AG94" t="s">
        <v>397</v>
      </c>
      <c r="AJ94" t="s">
        <v>40</v>
      </c>
      <c r="AK94">
        <v>5019070989</v>
      </c>
      <c r="AL94" t="s">
        <v>398</v>
      </c>
      <c r="AM94" t="s">
        <v>399</v>
      </c>
      <c r="AO94" s="1">
        <v>45932</v>
      </c>
      <c r="AP94" s="5">
        <v>0.75</v>
      </c>
      <c r="AS94">
        <v>1</v>
      </c>
    </row>
    <row r="95" spans="1:45" x14ac:dyDescent="0.2">
      <c r="A95">
        <f t="shared" si="6"/>
        <v>2025</v>
      </c>
      <c r="B95">
        <f t="shared" si="7"/>
        <v>10</v>
      </c>
      <c r="C95">
        <f t="shared" si="8"/>
        <v>40</v>
      </c>
      <c r="D95" s="2">
        <f t="shared" si="9"/>
        <v>45932</v>
      </c>
      <c r="E95" s="1">
        <v>45932.75</v>
      </c>
      <c r="F95" t="s">
        <v>400</v>
      </c>
      <c r="G95" t="s">
        <v>36</v>
      </c>
      <c r="H95">
        <v>453576</v>
      </c>
      <c r="I95" t="s">
        <v>51</v>
      </c>
      <c r="J95" t="s">
        <v>144</v>
      </c>
      <c r="M95" t="s">
        <v>40</v>
      </c>
      <c r="N95" t="s">
        <v>41</v>
      </c>
      <c r="O95" t="s">
        <v>172</v>
      </c>
      <c r="P95">
        <v>33</v>
      </c>
      <c r="Q95">
        <v>0</v>
      </c>
      <c r="R95">
        <v>0</v>
      </c>
      <c r="S95">
        <v>0</v>
      </c>
      <c r="T95" t="s">
        <v>54</v>
      </c>
      <c r="U95" t="s">
        <v>55</v>
      </c>
      <c r="W95" t="s">
        <v>401</v>
      </c>
      <c r="X95" t="s">
        <v>402</v>
      </c>
      <c r="Y95">
        <v>0</v>
      </c>
      <c r="AA95" t="s">
        <v>40</v>
      </c>
      <c r="AB95" t="s">
        <v>46</v>
      </c>
      <c r="AC95" t="s">
        <v>47</v>
      </c>
      <c r="AG95" t="s">
        <v>403</v>
      </c>
      <c r="AJ95" t="s">
        <v>40</v>
      </c>
      <c r="AK95">
        <v>5019070709</v>
      </c>
      <c r="AL95" t="s">
        <v>404</v>
      </c>
      <c r="AM95" t="s">
        <v>405</v>
      </c>
      <c r="AO95" s="1">
        <v>45932</v>
      </c>
      <c r="AP95" s="5">
        <v>0.75</v>
      </c>
      <c r="AS95">
        <v>1</v>
      </c>
    </row>
    <row r="96" spans="1:45" x14ac:dyDescent="0.2">
      <c r="A96">
        <f t="shared" si="6"/>
        <v>2025</v>
      </c>
      <c r="B96">
        <f t="shared" si="7"/>
        <v>10</v>
      </c>
      <c r="C96">
        <f t="shared" si="8"/>
        <v>40</v>
      </c>
      <c r="D96" s="2">
        <f t="shared" si="9"/>
        <v>45932</v>
      </c>
      <c r="E96" s="1">
        <v>45932.791666666664</v>
      </c>
      <c r="F96" t="s">
        <v>406</v>
      </c>
      <c r="G96" t="s">
        <v>36</v>
      </c>
      <c r="H96">
        <v>447462</v>
      </c>
      <c r="I96" t="s">
        <v>51</v>
      </c>
      <c r="J96" t="s">
        <v>188</v>
      </c>
      <c r="M96" t="s">
        <v>40</v>
      </c>
      <c r="N96" t="s">
        <v>41</v>
      </c>
      <c r="O96" t="s">
        <v>172</v>
      </c>
      <c r="P96">
        <v>33</v>
      </c>
      <c r="Q96">
        <v>0</v>
      </c>
      <c r="R96">
        <v>0</v>
      </c>
      <c r="S96">
        <v>0</v>
      </c>
      <c r="T96" t="s">
        <v>54</v>
      </c>
      <c r="U96" t="s">
        <v>55</v>
      </c>
      <c r="W96" t="s">
        <v>407</v>
      </c>
      <c r="Y96">
        <v>0</v>
      </c>
      <c r="AA96" t="s">
        <v>40</v>
      </c>
      <c r="AB96" t="s">
        <v>46</v>
      </c>
      <c r="AC96" t="s">
        <v>47</v>
      </c>
      <c r="AG96" t="s">
        <v>408</v>
      </c>
      <c r="AJ96" t="s">
        <v>40</v>
      </c>
      <c r="AK96">
        <v>5019069503</v>
      </c>
      <c r="AO96" s="1">
        <v>45932</v>
      </c>
      <c r="AP96" s="5">
        <v>0.79166666666666663</v>
      </c>
      <c r="AS96">
        <v>1</v>
      </c>
    </row>
    <row r="97" spans="1:45" x14ac:dyDescent="0.2">
      <c r="A97">
        <f t="shared" si="6"/>
        <v>2025</v>
      </c>
      <c r="B97">
        <f t="shared" si="7"/>
        <v>10</v>
      </c>
      <c r="C97">
        <f t="shared" si="8"/>
        <v>40</v>
      </c>
      <c r="D97" s="2">
        <f t="shared" si="9"/>
        <v>45932</v>
      </c>
      <c r="E97" s="1">
        <v>45932.791666666664</v>
      </c>
      <c r="F97" t="s">
        <v>409</v>
      </c>
      <c r="G97" t="s">
        <v>36</v>
      </c>
      <c r="H97">
        <v>453511</v>
      </c>
      <c r="I97" t="s">
        <v>51</v>
      </c>
      <c r="J97" t="s">
        <v>144</v>
      </c>
      <c r="M97" t="s">
        <v>40</v>
      </c>
      <c r="N97" t="s">
        <v>41</v>
      </c>
      <c r="O97" t="s">
        <v>90</v>
      </c>
      <c r="P97">
        <v>33</v>
      </c>
      <c r="Q97">
        <v>0</v>
      </c>
      <c r="R97">
        <v>0</v>
      </c>
      <c r="S97">
        <v>0</v>
      </c>
      <c r="T97" t="s">
        <v>54</v>
      </c>
      <c r="U97" t="s">
        <v>55</v>
      </c>
      <c r="W97" t="s">
        <v>410</v>
      </c>
      <c r="X97" t="s">
        <v>411</v>
      </c>
      <c r="Y97">
        <v>0</v>
      </c>
      <c r="AA97" t="s">
        <v>40</v>
      </c>
      <c r="AB97" t="s">
        <v>46</v>
      </c>
      <c r="AC97" t="s">
        <v>47</v>
      </c>
      <c r="AG97" t="s">
        <v>412</v>
      </c>
      <c r="AJ97" t="s">
        <v>40</v>
      </c>
      <c r="AK97">
        <v>5019076025</v>
      </c>
      <c r="AL97" t="s">
        <v>413</v>
      </c>
      <c r="AM97" t="s">
        <v>414</v>
      </c>
      <c r="AO97" s="1">
        <v>45932</v>
      </c>
      <c r="AP97" s="5">
        <v>0.79166666666666663</v>
      </c>
      <c r="AS97">
        <v>1</v>
      </c>
    </row>
    <row r="98" spans="1:45" x14ac:dyDescent="0.2">
      <c r="A98">
        <f t="shared" si="6"/>
        <v>2025</v>
      </c>
      <c r="B98">
        <f t="shared" si="7"/>
        <v>10</v>
      </c>
      <c r="C98">
        <f t="shared" si="8"/>
        <v>40</v>
      </c>
      <c r="D98" s="2">
        <f t="shared" si="9"/>
        <v>45932</v>
      </c>
      <c r="E98" s="1">
        <v>45932.833333333336</v>
      </c>
      <c r="F98" t="s">
        <v>415</v>
      </c>
      <c r="G98" t="s">
        <v>36</v>
      </c>
      <c r="H98" t="s">
        <v>416</v>
      </c>
      <c r="I98" t="s">
        <v>78</v>
      </c>
      <c r="J98" t="s">
        <v>144</v>
      </c>
      <c r="M98" t="s">
        <v>40</v>
      </c>
      <c r="N98" t="s">
        <v>41</v>
      </c>
      <c r="O98" t="s">
        <v>417</v>
      </c>
      <c r="P98">
        <v>66</v>
      </c>
      <c r="Q98">
        <v>0</v>
      </c>
      <c r="R98">
        <v>0</v>
      </c>
      <c r="S98">
        <v>0</v>
      </c>
      <c r="T98" t="s">
        <v>54</v>
      </c>
      <c r="U98" t="s">
        <v>55</v>
      </c>
      <c r="W98" t="s">
        <v>410</v>
      </c>
      <c r="X98" t="s">
        <v>418</v>
      </c>
      <c r="Y98">
        <v>0</v>
      </c>
      <c r="AA98" t="s">
        <v>40</v>
      </c>
      <c r="AB98" t="s">
        <v>46</v>
      </c>
      <c r="AC98" t="s">
        <v>47</v>
      </c>
      <c r="AD98" t="s">
        <v>81</v>
      </c>
      <c r="AE98" t="s">
        <v>81</v>
      </c>
      <c r="AG98" t="s">
        <v>419</v>
      </c>
      <c r="AJ98" t="s">
        <v>40</v>
      </c>
      <c r="AK98" t="s">
        <v>420</v>
      </c>
      <c r="AL98" t="s">
        <v>421</v>
      </c>
      <c r="AM98" t="s">
        <v>422</v>
      </c>
      <c r="AO98" s="1">
        <v>45932</v>
      </c>
      <c r="AP98" s="5">
        <v>0.83333333333333337</v>
      </c>
      <c r="AS98">
        <v>1</v>
      </c>
    </row>
    <row r="99" spans="1:45" x14ac:dyDescent="0.2">
      <c r="A99">
        <f t="shared" si="6"/>
        <v>2025</v>
      </c>
      <c r="B99">
        <f t="shared" si="7"/>
        <v>10</v>
      </c>
      <c r="C99">
        <f t="shared" si="8"/>
        <v>40</v>
      </c>
      <c r="D99" s="2">
        <f t="shared" si="9"/>
        <v>45933</v>
      </c>
      <c r="E99" s="1">
        <v>45933.25</v>
      </c>
      <c r="F99" t="s">
        <v>423</v>
      </c>
      <c r="G99" t="s">
        <v>36</v>
      </c>
      <c r="H99">
        <v>450210</v>
      </c>
      <c r="I99" t="s">
        <v>51</v>
      </c>
      <c r="J99" t="s">
        <v>52</v>
      </c>
      <c r="M99" t="s">
        <v>40</v>
      </c>
      <c r="N99" t="s">
        <v>41</v>
      </c>
      <c r="O99" t="s">
        <v>53</v>
      </c>
      <c r="P99">
        <v>33</v>
      </c>
      <c r="Q99">
        <v>0</v>
      </c>
      <c r="R99">
        <v>0</v>
      </c>
      <c r="S99">
        <v>0</v>
      </c>
      <c r="T99" t="s">
        <v>54</v>
      </c>
      <c r="U99" t="s">
        <v>55</v>
      </c>
      <c r="W99" t="s">
        <v>424</v>
      </c>
      <c r="Y99">
        <v>0</v>
      </c>
      <c r="AA99" t="s">
        <v>40</v>
      </c>
      <c r="AB99" t="s">
        <v>46</v>
      </c>
      <c r="AC99" t="s">
        <v>47</v>
      </c>
      <c r="AG99" t="s">
        <v>425</v>
      </c>
      <c r="AJ99" t="s">
        <v>40</v>
      </c>
      <c r="AK99">
        <v>5019089534</v>
      </c>
      <c r="AO99" s="1">
        <v>45933</v>
      </c>
      <c r="AP99" s="5">
        <v>0.25</v>
      </c>
      <c r="AS99">
        <v>1</v>
      </c>
    </row>
    <row r="100" spans="1:45" x14ac:dyDescent="0.2">
      <c r="A100">
        <f t="shared" si="6"/>
        <v>2025</v>
      </c>
      <c r="B100">
        <f t="shared" si="7"/>
        <v>10</v>
      </c>
      <c r="C100">
        <f t="shared" si="8"/>
        <v>40</v>
      </c>
      <c r="D100" s="2">
        <f t="shared" si="9"/>
        <v>45933</v>
      </c>
      <c r="E100" s="1">
        <v>45933.25</v>
      </c>
      <c r="F100" t="s">
        <v>426</v>
      </c>
      <c r="G100" t="s">
        <v>36</v>
      </c>
      <c r="H100" t="s">
        <v>427</v>
      </c>
      <c r="I100" t="s">
        <v>38</v>
      </c>
      <c r="J100" t="s">
        <v>60</v>
      </c>
      <c r="M100" t="s">
        <v>40</v>
      </c>
      <c r="N100" t="s">
        <v>41</v>
      </c>
      <c r="O100" t="s">
        <v>42</v>
      </c>
      <c r="P100">
        <v>20</v>
      </c>
      <c r="Q100">
        <v>0</v>
      </c>
      <c r="R100">
        <v>0</v>
      </c>
      <c r="S100">
        <v>0</v>
      </c>
      <c r="T100">
        <v>5019026241</v>
      </c>
      <c r="U100" t="s">
        <v>44</v>
      </c>
      <c r="W100" t="s">
        <v>428</v>
      </c>
      <c r="Y100">
        <v>0</v>
      </c>
      <c r="AA100" t="s">
        <v>40</v>
      </c>
      <c r="AB100" t="s">
        <v>46</v>
      </c>
      <c r="AC100" t="s">
        <v>47</v>
      </c>
      <c r="AF100" t="s">
        <v>62</v>
      </c>
      <c r="AJ100" t="s">
        <v>40</v>
      </c>
      <c r="AK100" t="s">
        <v>49</v>
      </c>
      <c r="AN100">
        <v>259610759</v>
      </c>
      <c r="AO100" s="1">
        <v>45933</v>
      </c>
      <c r="AP100" s="5">
        <v>0.25</v>
      </c>
      <c r="AS100">
        <v>1</v>
      </c>
    </row>
    <row r="101" spans="1:45" x14ac:dyDescent="0.2">
      <c r="A101">
        <f t="shared" si="6"/>
        <v>2025</v>
      </c>
      <c r="B101">
        <f t="shared" si="7"/>
        <v>10</v>
      </c>
      <c r="C101">
        <f t="shared" si="8"/>
        <v>40</v>
      </c>
      <c r="D101" s="2">
        <f t="shared" si="9"/>
        <v>45933</v>
      </c>
      <c r="E101" s="1">
        <v>45933.291666666664</v>
      </c>
      <c r="F101" t="s">
        <v>429</v>
      </c>
      <c r="G101" t="s">
        <v>36</v>
      </c>
      <c r="H101" t="s">
        <v>264</v>
      </c>
      <c r="I101" t="s">
        <v>38</v>
      </c>
      <c r="J101" t="s">
        <v>265</v>
      </c>
      <c r="M101" t="s">
        <v>40</v>
      </c>
      <c r="N101" t="s">
        <v>41</v>
      </c>
      <c r="O101" t="s">
        <v>42</v>
      </c>
      <c r="P101">
        <v>23</v>
      </c>
      <c r="Q101">
        <v>0</v>
      </c>
      <c r="R101">
        <v>0</v>
      </c>
      <c r="S101">
        <v>0</v>
      </c>
      <c r="T101" t="s">
        <v>430</v>
      </c>
      <c r="U101" t="s">
        <v>55</v>
      </c>
      <c r="W101" t="s">
        <v>431</v>
      </c>
      <c r="Y101">
        <v>0</v>
      </c>
      <c r="AA101" t="s">
        <v>40</v>
      </c>
      <c r="AB101" t="s">
        <v>46</v>
      </c>
      <c r="AC101" t="s">
        <v>47</v>
      </c>
      <c r="AF101" t="s">
        <v>48</v>
      </c>
      <c r="AJ101" t="s">
        <v>40</v>
      </c>
      <c r="AK101" t="s">
        <v>49</v>
      </c>
      <c r="AO101" s="1">
        <v>45933</v>
      </c>
      <c r="AP101" s="5">
        <v>0.29166666666666669</v>
      </c>
      <c r="AS101">
        <v>1</v>
      </c>
    </row>
    <row r="102" spans="1:45" x14ac:dyDescent="0.2">
      <c r="A102">
        <f t="shared" si="6"/>
        <v>2025</v>
      </c>
      <c r="B102">
        <f t="shared" si="7"/>
        <v>10</v>
      </c>
      <c r="C102">
        <f t="shared" si="8"/>
        <v>40</v>
      </c>
      <c r="D102" s="2">
        <f t="shared" si="9"/>
        <v>45933</v>
      </c>
      <c r="E102" s="1">
        <v>45933.291666666664</v>
      </c>
      <c r="F102" t="s">
        <v>432</v>
      </c>
      <c r="G102" t="s">
        <v>36</v>
      </c>
      <c r="H102">
        <v>453513</v>
      </c>
      <c r="I102" t="s">
        <v>51</v>
      </c>
      <c r="J102" t="s">
        <v>52</v>
      </c>
      <c r="M102" t="s">
        <v>40</v>
      </c>
      <c r="N102" t="s">
        <v>41</v>
      </c>
      <c r="O102" t="s">
        <v>433</v>
      </c>
      <c r="P102">
        <v>33</v>
      </c>
      <c r="Q102">
        <v>0</v>
      </c>
      <c r="R102">
        <v>0</v>
      </c>
      <c r="S102">
        <v>0</v>
      </c>
      <c r="T102" t="s">
        <v>54</v>
      </c>
      <c r="U102" t="s">
        <v>55</v>
      </c>
      <c r="W102" t="s">
        <v>395</v>
      </c>
      <c r="Y102">
        <v>0</v>
      </c>
      <c r="AA102" t="s">
        <v>40</v>
      </c>
      <c r="AB102" t="s">
        <v>46</v>
      </c>
      <c r="AC102" t="s">
        <v>47</v>
      </c>
      <c r="AG102" t="s">
        <v>434</v>
      </c>
      <c r="AJ102" t="s">
        <v>40</v>
      </c>
      <c r="AK102">
        <v>5019038841</v>
      </c>
      <c r="AO102" s="1">
        <v>45933</v>
      </c>
      <c r="AP102" s="5">
        <v>0.29166666666666669</v>
      </c>
      <c r="AS102">
        <v>1</v>
      </c>
    </row>
    <row r="103" spans="1:45" x14ac:dyDescent="0.2">
      <c r="A103">
        <f t="shared" si="6"/>
        <v>2025</v>
      </c>
      <c r="B103">
        <f t="shared" si="7"/>
        <v>10</v>
      </c>
      <c r="C103">
        <f t="shared" si="8"/>
        <v>40</v>
      </c>
      <c r="D103" s="2">
        <f t="shared" si="9"/>
        <v>45933</v>
      </c>
      <c r="E103" s="1">
        <v>45933.333333333336</v>
      </c>
      <c r="F103" t="s">
        <v>435</v>
      </c>
      <c r="G103" t="s">
        <v>36</v>
      </c>
      <c r="H103">
        <v>454337</v>
      </c>
      <c r="I103" t="s">
        <v>51</v>
      </c>
      <c r="J103" t="s">
        <v>89</v>
      </c>
      <c r="M103" t="s">
        <v>40</v>
      </c>
      <c r="N103" t="s">
        <v>41</v>
      </c>
      <c r="O103" t="s">
        <v>436</v>
      </c>
      <c r="P103">
        <v>16</v>
      </c>
      <c r="Q103">
        <v>0</v>
      </c>
      <c r="R103">
        <v>0</v>
      </c>
      <c r="S103">
        <v>0</v>
      </c>
      <c r="T103" t="s">
        <v>54</v>
      </c>
      <c r="U103" t="s">
        <v>392</v>
      </c>
      <c r="W103" t="s">
        <v>437</v>
      </c>
      <c r="Y103">
        <v>0</v>
      </c>
      <c r="AA103" t="s">
        <v>40</v>
      </c>
      <c r="AB103" t="s">
        <v>46</v>
      </c>
      <c r="AC103" t="s">
        <v>47</v>
      </c>
      <c r="AG103" t="s">
        <v>438</v>
      </c>
      <c r="AJ103" t="s">
        <v>40</v>
      </c>
      <c r="AK103">
        <v>5019082138</v>
      </c>
      <c r="AO103" s="1">
        <v>45933</v>
      </c>
      <c r="AP103" s="5">
        <v>0.33333333333333331</v>
      </c>
      <c r="AS103">
        <v>1</v>
      </c>
    </row>
    <row r="104" spans="1:45" x14ac:dyDescent="0.2">
      <c r="A104">
        <f t="shared" si="6"/>
        <v>2025</v>
      </c>
      <c r="B104">
        <f t="shared" si="7"/>
        <v>10</v>
      </c>
      <c r="C104">
        <f t="shared" si="8"/>
        <v>40</v>
      </c>
      <c r="D104" s="2">
        <f t="shared" si="9"/>
        <v>45933</v>
      </c>
      <c r="E104" s="1">
        <v>45933.333333333336</v>
      </c>
      <c r="F104" t="s">
        <v>439</v>
      </c>
      <c r="G104" t="s">
        <v>36</v>
      </c>
      <c r="H104" t="s">
        <v>239</v>
      </c>
      <c r="I104" t="s">
        <v>38</v>
      </c>
      <c r="J104" t="s">
        <v>240</v>
      </c>
      <c r="M104" t="s">
        <v>40</v>
      </c>
      <c r="N104" t="s">
        <v>41</v>
      </c>
      <c r="O104" t="s">
        <v>42</v>
      </c>
      <c r="P104">
        <v>26</v>
      </c>
      <c r="Q104">
        <v>0</v>
      </c>
      <c r="R104">
        <v>0</v>
      </c>
      <c r="S104">
        <v>0</v>
      </c>
      <c r="T104" t="s">
        <v>440</v>
      </c>
      <c r="U104" t="s">
        <v>44</v>
      </c>
      <c r="W104" t="s">
        <v>441</v>
      </c>
      <c r="Y104">
        <v>0</v>
      </c>
      <c r="AA104" t="s">
        <v>40</v>
      </c>
      <c r="AB104" t="s">
        <v>46</v>
      </c>
      <c r="AC104" t="s">
        <v>47</v>
      </c>
      <c r="AF104" t="s">
        <v>242</v>
      </c>
      <c r="AJ104" t="s">
        <v>40</v>
      </c>
      <c r="AK104" t="s">
        <v>49</v>
      </c>
      <c r="AO104" s="1">
        <v>45933</v>
      </c>
      <c r="AP104" s="5">
        <v>0.33333333333333331</v>
      </c>
      <c r="AS104">
        <v>1</v>
      </c>
    </row>
    <row r="105" spans="1:45" x14ac:dyDescent="0.2">
      <c r="A105">
        <f t="shared" si="6"/>
        <v>2025</v>
      </c>
      <c r="B105">
        <f t="shared" si="7"/>
        <v>10</v>
      </c>
      <c r="C105">
        <f t="shared" si="8"/>
        <v>40</v>
      </c>
      <c r="D105" s="2">
        <f t="shared" si="9"/>
        <v>45933</v>
      </c>
      <c r="E105" s="1">
        <v>45933.333333333336</v>
      </c>
      <c r="F105" t="s">
        <v>442</v>
      </c>
      <c r="G105" t="s">
        <v>36</v>
      </c>
      <c r="H105" t="s">
        <v>443</v>
      </c>
      <c r="I105" t="s">
        <v>162</v>
      </c>
      <c r="J105" t="s">
        <v>52</v>
      </c>
      <c r="M105" t="s">
        <v>40</v>
      </c>
      <c r="N105" t="s">
        <v>41</v>
      </c>
      <c r="O105" t="s">
        <v>444</v>
      </c>
      <c r="P105">
        <v>132</v>
      </c>
      <c r="Q105">
        <v>0</v>
      </c>
      <c r="R105">
        <v>0</v>
      </c>
      <c r="S105">
        <v>0</v>
      </c>
      <c r="T105" t="s">
        <v>54</v>
      </c>
      <c r="U105" t="s">
        <v>55</v>
      </c>
      <c r="W105" t="s">
        <v>445</v>
      </c>
      <c r="Y105">
        <v>0</v>
      </c>
      <c r="AA105" t="s">
        <v>40</v>
      </c>
      <c r="AB105" t="s">
        <v>46</v>
      </c>
      <c r="AC105" t="s">
        <v>47</v>
      </c>
      <c r="AD105" t="s">
        <v>166</v>
      </c>
      <c r="AE105" t="s">
        <v>166</v>
      </c>
      <c r="AG105" t="s">
        <v>446</v>
      </c>
      <c r="AJ105" t="s">
        <v>40</v>
      </c>
      <c r="AK105" t="s">
        <v>447</v>
      </c>
      <c r="AO105" s="1">
        <v>45933</v>
      </c>
      <c r="AP105" s="5">
        <v>0.33333333333333331</v>
      </c>
      <c r="AS105">
        <v>1</v>
      </c>
    </row>
    <row r="106" spans="1:45" x14ac:dyDescent="0.2">
      <c r="A106">
        <f t="shared" si="6"/>
        <v>2025</v>
      </c>
      <c r="B106">
        <f t="shared" si="7"/>
        <v>10</v>
      </c>
      <c r="C106">
        <f t="shared" si="8"/>
        <v>40</v>
      </c>
      <c r="D106" s="2">
        <f t="shared" si="9"/>
        <v>45933</v>
      </c>
      <c r="E106" s="1">
        <v>45933.333333333336</v>
      </c>
      <c r="F106" t="s">
        <v>448</v>
      </c>
      <c r="G106" t="s">
        <v>36</v>
      </c>
      <c r="H106" t="s">
        <v>111</v>
      </c>
      <c r="I106" t="s">
        <v>38</v>
      </c>
      <c r="J106" t="s">
        <v>99</v>
      </c>
      <c r="M106" t="s">
        <v>40</v>
      </c>
      <c r="N106" t="s">
        <v>41</v>
      </c>
      <c r="O106" t="s">
        <v>42</v>
      </c>
      <c r="P106">
        <v>23</v>
      </c>
      <c r="Q106">
        <v>0</v>
      </c>
      <c r="R106">
        <v>0</v>
      </c>
      <c r="S106">
        <v>0</v>
      </c>
      <c r="T106" t="s">
        <v>449</v>
      </c>
      <c r="U106" t="s">
        <v>44</v>
      </c>
      <c r="W106" t="s">
        <v>431</v>
      </c>
      <c r="Y106">
        <v>0</v>
      </c>
      <c r="AA106" t="s">
        <v>40</v>
      </c>
      <c r="AB106" t="s">
        <v>46</v>
      </c>
      <c r="AC106" t="s">
        <v>47</v>
      </c>
      <c r="AF106" t="s">
        <v>48</v>
      </c>
      <c r="AJ106" t="s">
        <v>40</v>
      </c>
      <c r="AK106" t="s">
        <v>49</v>
      </c>
      <c r="AO106" s="1">
        <v>45933</v>
      </c>
      <c r="AP106" s="5">
        <v>0.33333333333333331</v>
      </c>
      <c r="AS106">
        <v>1</v>
      </c>
    </row>
    <row r="107" spans="1:45" x14ac:dyDescent="0.2">
      <c r="A107">
        <f t="shared" si="6"/>
        <v>2025</v>
      </c>
      <c r="B107">
        <f t="shared" si="7"/>
        <v>10</v>
      </c>
      <c r="C107">
        <f t="shared" si="8"/>
        <v>40</v>
      </c>
      <c r="D107" s="2">
        <f t="shared" si="9"/>
        <v>45933</v>
      </c>
      <c r="E107" s="1">
        <v>45933.375</v>
      </c>
      <c r="F107" t="s">
        <v>450</v>
      </c>
      <c r="G107" t="s">
        <v>36</v>
      </c>
      <c r="H107" t="s">
        <v>347</v>
      </c>
      <c r="I107" t="s">
        <v>38</v>
      </c>
      <c r="J107" t="s">
        <v>451</v>
      </c>
      <c r="M107" t="s">
        <v>40</v>
      </c>
      <c r="N107" t="s">
        <v>41</v>
      </c>
      <c r="O107" t="s">
        <v>42</v>
      </c>
      <c r="P107">
        <v>17</v>
      </c>
      <c r="Q107">
        <v>0</v>
      </c>
      <c r="R107">
        <v>0</v>
      </c>
      <c r="S107">
        <v>0</v>
      </c>
      <c r="T107" t="s">
        <v>452</v>
      </c>
      <c r="U107" t="s">
        <v>44</v>
      </c>
      <c r="W107" t="s">
        <v>453</v>
      </c>
      <c r="Y107">
        <v>0</v>
      </c>
      <c r="AA107" t="s">
        <v>40</v>
      </c>
      <c r="AB107" t="s">
        <v>46</v>
      </c>
      <c r="AC107" t="s">
        <v>47</v>
      </c>
      <c r="AF107" t="s">
        <v>454</v>
      </c>
      <c r="AJ107" t="s">
        <v>40</v>
      </c>
      <c r="AK107" t="s">
        <v>49</v>
      </c>
      <c r="AO107" s="1">
        <v>45933</v>
      </c>
      <c r="AP107" s="5">
        <v>0.375</v>
      </c>
      <c r="AS107">
        <v>1</v>
      </c>
    </row>
    <row r="108" spans="1:45" x14ac:dyDescent="0.2">
      <c r="A108">
        <f t="shared" si="6"/>
        <v>2025</v>
      </c>
      <c r="B108">
        <f t="shared" si="7"/>
        <v>10</v>
      </c>
      <c r="C108">
        <f t="shared" si="8"/>
        <v>40</v>
      </c>
      <c r="D108" s="2">
        <f t="shared" si="9"/>
        <v>45933</v>
      </c>
      <c r="E108" s="1">
        <v>45933.375</v>
      </c>
      <c r="F108" t="s">
        <v>455</v>
      </c>
      <c r="G108" t="s">
        <v>36</v>
      </c>
      <c r="H108" t="s">
        <v>456</v>
      </c>
      <c r="I108" t="s">
        <v>78</v>
      </c>
      <c r="J108" t="s">
        <v>144</v>
      </c>
      <c r="M108" t="s">
        <v>40</v>
      </c>
      <c r="N108" t="s">
        <v>41</v>
      </c>
      <c r="O108" t="s">
        <v>382</v>
      </c>
      <c r="P108">
        <v>66</v>
      </c>
      <c r="Q108">
        <v>0</v>
      </c>
      <c r="R108">
        <v>0</v>
      </c>
      <c r="S108">
        <v>0</v>
      </c>
      <c r="T108" t="s">
        <v>54</v>
      </c>
      <c r="U108" t="s">
        <v>55</v>
      </c>
      <c r="W108" t="s">
        <v>457</v>
      </c>
      <c r="Y108">
        <v>0</v>
      </c>
      <c r="AA108" t="s">
        <v>40</v>
      </c>
      <c r="AB108" t="s">
        <v>46</v>
      </c>
      <c r="AC108" t="s">
        <v>47</v>
      </c>
      <c r="AD108" t="s">
        <v>81</v>
      </c>
      <c r="AE108" t="s">
        <v>81</v>
      </c>
      <c r="AG108" t="s">
        <v>458</v>
      </c>
      <c r="AJ108" t="s">
        <v>40</v>
      </c>
      <c r="AK108" t="s">
        <v>459</v>
      </c>
      <c r="AO108" s="1">
        <v>45933</v>
      </c>
      <c r="AP108" s="5">
        <v>0.375</v>
      </c>
      <c r="AS108">
        <v>1</v>
      </c>
    </row>
    <row r="109" spans="1:45" x14ac:dyDescent="0.2">
      <c r="A109">
        <f t="shared" si="6"/>
        <v>2025</v>
      </c>
      <c r="B109">
        <f t="shared" si="7"/>
        <v>10</v>
      </c>
      <c r="C109">
        <f t="shared" si="8"/>
        <v>40</v>
      </c>
      <c r="D109" s="2">
        <f t="shared" si="9"/>
        <v>45933</v>
      </c>
      <c r="E109" s="1">
        <v>45933.375</v>
      </c>
      <c r="F109" t="s">
        <v>460</v>
      </c>
      <c r="G109" t="s">
        <v>36</v>
      </c>
      <c r="H109">
        <v>447487</v>
      </c>
      <c r="I109" t="s">
        <v>51</v>
      </c>
      <c r="J109" t="s">
        <v>144</v>
      </c>
      <c r="M109" t="s">
        <v>40</v>
      </c>
      <c r="N109" t="s">
        <v>41</v>
      </c>
      <c r="O109" t="s">
        <v>172</v>
      </c>
      <c r="P109">
        <v>33</v>
      </c>
      <c r="Q109">
        <v>0</v>
      </c>
      <c r="R109">
        <v>0</v>
      </c>
      <c r="S109">
        <v>0</v>
      </c>
      <c r="T109" t="s">
        <v>54</v>
      </c>
      <c r="U109" t="s">
        <v>55</v>
      </c>
      <c r="W109" t="s">
        <v>410</v>
      </c>
      <c r="X109" t="s">
        <v>461</v>
      </c>
      <c r="Y109">
        <v>0</v>
      </c>
      <c r="AA109" t="s">
        <v>40</v>
      </c>
      <c r="AB109" t="s">
        <v>46</v>
      </c>
      <c r="AC109" t="s">
        <v>47</v>
      </c>
      <c r="AG109" t="s">
        <v>462</v>
      </c>
      <c r="AJ109" t="s">
        <v>40</v>
      </c>
      <c r="AK109">
        <v>5019088092</v>
      </c>
      <c r="AL109" t="s">
        <v>463</v>
      </c>
      <c r="AM109" t="s">
        <v>464</v>
      </c>
      <c r="AO109" s="1">
        <v>45933</v>
      </c>
      <c r="AP109" s="5">
        <v>0.375</v>
      </c>
      <c r="AS109">
        <v>1</v>
      </c>
    </row>
    <row r="110" spans="1:45" x14ac:dyDescent="0.2">
      <c r="A110">
        <f t="shared" si="6"/>
        <v>2025</v>
      </c>
      <c r="B110">
        <f t="shared" si="7"/>
        <v>10</v>
      </c>
      <c r="C110">
        <f t="shared" si="8"/>
        <v>40</v>
      </c>
      <c r="D110" s="2">
        <f t="shared" si="9"/>
        <v>45933</v>
      </c>
      <c r="E110" s="1">
        <v>45933.416666666664</v>
      </c>
      <c r="F110" t="s">
        <v>465</v>
      </c>
      <c r="G110" t="s">
        <v>36</v>
      </c>
      <c r="H110" t="s">
        <v>111</v>
      </c>
      <c r="I110" t="s">
        <v>38</v>
      </c>
      <c r="J110" t="s">
        <v>112</v>
      </c>
      <c r="M110" t="s">
        <v>40</v>
      </c>
      <c r="N110" t="s">
        <v>41</v>
      </c>
      <c r="O110" t="s">
        <v>42</v>
      </c>
      <c r="P110">
        <v>23</v>
      </c>
      <c r="Q110">
        <v>0</v>
      </c>
      <c r="R110">
        <v>0</v>
      </c>
      <c r="S110">
        <v>0</v>
      </c>
      <c r="T110" t="s">
        <v>466</v>
      </c>
      <c r="U110" t="s">
        <v>44</v>
      </c>
      <c r="W110" t="s">
        <v>431</v>
      </c>
      <c r="Y110">
        <v>0</v>
      </c>
      <c r="AA110" t="s">
        <v>40</v>
      </c>
      <c r="AB110" t="s">
        <v>46</v>
      </c>
      <c r="AC110" t="s">
        <v>47</v>
      </c>
      <c r="AF110" t="s">
        <v>48</v>
      </c>
      <c r="AJ110" t="s">
        <v>40</v>
      </c>
      <c r="AK110" t="s">
        <v>49</v>
      </c>
      <c r="AO110" s="1">
        <v>45933</v>
      </c>
      <c r="AP110" s="5">
        <v>0.41666666666666669</v>
      </c>
      <c r="AS110">
        <v>1</v>
      </c>
    </row>
    <row r="111" spans="1:45" x14ac:dyDescent="0.2">
      <c r="A111">
        <f t="shared" si="6"/>
        <v>2025</v>
      </c>
      <c r="B111">
        <f t="shared" si="7"/>
        <v>10</v>
      </c>
      <c r="C111">
        <f t="shared" si="8"/>
        <v>40</v>
      </c>
      <c r="D111" s="2">
        <f t="shared" si="9"/>
        <v>45933</v>
      </c>
      <c r="E111" s="1">
        <v>45933.416666666664</v>
      </c>
      <c r="F111" t="s">
        <v>467</v>
      </c>
      <c r="G111" t="s">
        <v>36</v>
      </c>
      <c r="H111" t="s">
        <v>111</v>
      </c>
      <c r="I111" t="s">
        <v>38</v>
      </c>
      <c r="J111" t="s">
        <v>99</v>
      </c>
      <c r="M111" t="s">
        <v>40</v>
      </c>
      <c r="N111" t="s">
        <v>41</v>
      </c>
      <c r="O111" t="s">
        <v>42</v>
      </c>
      <c r="P111">
        <v>25</v>
      </c>
      <c r="Q111">
        <v>0</v>
      </c>
      <c r="R111">
        <v>0</v>
      </c>
      <c r="S111">
        <v>0</v>
      </c>
      <c r="T111" t="s">
        <v>468</v>
      </c>
      <c r="U111" t="s">
        <v>44</v>
      </c>
      <c r="W111" t="s">
        <v>431</v>
      </c>
      <c r="Y111">
        <v>0</v>
      </c>
      <c r="AA111" t="s">
        <v>40</v>
      </c>
      <c r="AB111" t="s">
        <v>46</v>
      </c>
      <c r="AC111" t="s">
        <v>47</v>
      </c>
      <c r="AF111" t="s">
        <v>48</v>
      </c>
      <c r="AJ111" t="s">
        <v>40</v>
      </c>
      <c r="AK111" t="s">
        <v>49</v>
      </c>
      <c r="AO111" s="1">
        <v>45933</v>
      </c>
      <c r="AP111" s="5">
        <v>0.41666666666666669</v>
      </c>
      <c r="AS111">
        <v>1</v>
      </c>
    </row>
    <row r="112" spans="1:45" x14ac:dyDescent="0.2">
      <c r="A112">
        <f t="shared" si="6"/>
        <v>2025</v>
      </c>
      <c r="B112">
        <f t="shared" si="7"/>
        <v>10</v>
      </c>
      <c r="C112">
        <f t="shared" si="8"/>
        <v>40</v>
      </c>
      <c r="D112" s="2">
        <f t="shared" si="9"/>
        <v>45933</v>
      </c>
      <c r="E112" s="1">
        <v>45933.416666666664</v>
      </c>
      <c r="F112" t="s">
        <v>469</v>
      </c>
      <c r="G112" t="s">
        <v>36</v>
      </c>
      <c r="H112" t="s">
        <v>470</v>
      </c>
      <c r="I112" t="s">
        <v>38</v>
      </c>
      <c r="J112" t="s">
        <v>471</v>
      </c>
      <c r="M112" t="s">
        <v>40</v>
      </c>
      <c r="N112" t="s">
        <v>41</v>
      </c>
      <c r="O112" t="s">
        <v>42</v>
      </c>
      <c r="P112">
        <v>36</v>
      </c>
      <c r="Q112">
        <v>0</v>
      </c>
      <c r="R112">
        <v>0</v>
      </c>
      <c r="S112">
        <v>0</v>
      </c>
      <c r="T112" t="s">
        <v>472</v>
      </c>
      <c r="U112" t="s">
        <v>392</v>
      </c>
      <c r="W112" t="s">
        <v>453</v>
      </c>
      <c r="Y112">
        <v>0</v>
      </c>
      <c r="AA112" t="s">
        <v>40</v>
      </c>
      <c r="AB112" t="s">
        <v>46</v>
      </c>
      <c r="AC112" t="s">
        <v>47</v>
      </c>
      <c r="AF112" t="s">
        <v>393</v>
      </c>
      <c r="AJ112" t="s">
        <v>40</v>
      </c>
      <c r="AK112" t="s">
        <v>49</v>
      </c>
      <c r="AO112" s="1">
        <v>45933</v>
      </c>
      <c r="AP112" s="5">
        <v>0.41666666666666669</v>
      </c>
      <c r="AS112">
        <v>1</v>
      </c>
    </row>
    <row r="113" spans="1:45" x14ac:dyDescent="0.2">
      <c r="A113">
        <f t="shared" si="6"/>
        <v>2025</v>
      </c>
      <c r="B113">
        <f t="shared" si="7"/>
        <v>10</v>
      </c>
      <c r="C113">
        <f t="shared" si="8"/>
        <v>40</v>
      </c>
      <c r="D113" s="2">
        <f t="shared" si="9"/>
        <v>45933</v>
      </c>
      <c r="E113" s="1">
        <v>45933.416666666664</v>
      </c>
      <c r="F113" t="s">
        <v>473</v>
      </c>
      <c r="G113" t="s">
        <v>36</v>
      </c>
      <c r="H113" t="s">
        <v>37</v>
      </c>
      <c r="I113" t="s">
        <v>38</v>
      </c>
      <c r="J113" t="s">
        <v>112</v>
      </c>
      <c r="M113" t="s">
        <v>40</v>
      </c>
      <c r="N113" t="s">
        <v>41</v>
      </c>
      <c r="O113" t="s">
        <v>42</v>
      </c>
      <c r="P113">
        <v>23</v>
      </c>
      <c r="Q113">
        <v>0</v>
      </c>
      <c r="R113">
        <v>0</v>
      </c>
      <c r="S113">
        <v>0</v>
      </c>
      <c r="T113" t="s">
        <v>474</v>
      </c>
      <c r="U113" t="s">
        <v>44</v>
      </c>
      <c r="W113" t="s">
        <v>431</v>
      </c>
      <c r="Y113">
        <v>0</v>
      </c>
      <c r="AA113" t="s">
        <v>40</v>
      </c>
      <c r="AB113" t="s">
        <v>46</v>
      </c>
      <c r="AC113" t="s">
        <v>47</v>
      </c>
      <c r="AF113" t="s">
        <v>48</v>
      </c>
      <c r="AJ113" t="s">
        <v>40</v>
      </c>
      <c r="AK113" t="s">
        <v>49</v>
      </c>
      <c r="AO113" s="1">
        <v>45933</v>
      </c>
      <c r="AP113" s="5">
        <v>0.41666666666666669</v>
      </c>
      <c r="AS113">
        <v>1</v>
      </c>
    </row>
    <row r="114" spans="1:45" x14ac:dyDescent="0.2">
      <c r="A114">
        <f t="shared" si="6"/>
        <v>2025</v>
      </c>
      <c r="B114">
        <f t="shared" si="7"/>
        <v>10</v>
      </c>
      <c r="C114">
        <f t="shared" si="8"/>
        <v>40</v>
      </c>
      <c r="D114" s="2">
        <f t="shared" si="9"/>
        <v>45933</v>
      </c>
      <c r="E114" s="1">
        <v>45933.416666666664</v>
      </c>
      <c r="F114" t="s">
        <v>475</v>
      </c>
      <c r="G114" t="s">
        <v>36</v>
      </c>
      <c r="H114">
        <v>450189</v>
      </c>
      <c r="I114" t="s">
        <v>51</v>
      </c>
      <c r="J114" t="s">
        <v>52</v>
      </c>
      <c r="M114" t="s">
        <v>40</v>
      </c>
      <c r="N114" t="s">
        <v>41</v>
      </c>
      <c r="O114" t="s">
        <v>476</v>
      </c>
      <c r="P114">
        <v>33</v>
      </c>
      <c r="Q114">
        <v>0</v>
      </c>
      <c r="R114">
        <v>0</v>
      </c>
      <c r="S114">
        <v>0</v>
      </c>
      <c r="T114" t="s">
        <v>54</v>
      </c>
      <c r="U114" t="s">
        <v>55</v>
      </c>
      <c r="W114" t="s">
        <v>269</v>
      </c>
      <c r="Y114">
        <v>0</v>
      </c>
      <c r="AA114" t="s">
        <v>40</v>
      </c>
      <c r="AB114" t="s">
        <v>46</v>
      </c>
      <c r="AC114" t="s">
        <v>47</v>
      </c>
      <c r="AG114" t="s">
        <v>477</v>
      </c>
      <c r="AJ114" t="s">
        <v>40</v>
      </c>
      <c r="AK114">
        <v>5019039442</v>
      </c>
      <c r="AO114" s="1">
        <v>45933</v>
      </c>
      <c r="AP114" s="5">
        <v>0.41666666666666669</v>
      </c>
      <c r="AS114">
        <v>1</v>
      </c>
    </row>
    <row r="115" spans="1:45" x14ac:dyDescent="0.2">
      <c r="A115">
        <f t="shared" si="6"/>
        <v>2025</v>
      </c>
      <c r="B115">
        <f t="shared" si="7"/>
        <v>10</v>
      </c>
      <c r="C115">
        <f t="shared" si="8"/>
        <v>40</v>
      </c>
      <c r="D115" s="2">
        <f t="shared" si="9"/>
        <v>45933</v>
      </c>
      <c r="E115" s="1">
        <v>45933.458333333336</v>
      </c>
      <c r="F115" t="s">
        <v>478</v>
      </c>
      <c r="G115" t="s">
        <v>36</v>
      </c>
      <c r="H115" t="s">
        <v>37</v>
      </c>
      <c r="I115" t="s">
        <v>38</v>
      </c>
      <c r="J115" t="s">
        <v>112</v>
      </c>
      <c r="M115" t="s">
        <v>40</v>
      </c>
      <c r="N115" t="s">
        <v>41</v>
      </c>
      <c r="O115" t="s">
        <v>42</v>
      </c>
      <c r="P115">
        <v>23</v>
      </c>
      <c r="Q115">
        <v>0</v>
      </c>
      <c r="R115">
        <v>0</v>
      </c>
      <c r="S115">
        <v>0</v>
      </c>
      <c r="T115" t="s">
        <v>479</v>
      </c>
      <c r="U115" t="s">
        <v>44</v>
      </c>
      <c r="W115" t="s">
        <v>431</v>
      </c>
      <c r="Y115">
        <v>0</v>
      </c>
      <c r="AA115" t="s">
        <v>40</v>
      </c>
      <c r="AB115" t="s">
        <v>46</v>
      </c>
      <c r="AC115" t="s">
        <v>47</v>
      </c>
      <c r="AF115" t="s">
        <v>48</v>
      </c>
      <c r="AJ115" t="s">
        <v>40</v>
      </c>
      <c r="AK115" t="s">
        <v>49</v>
      </c>
      <c r="AO115" s="1">
        <v>45933</v>
      </c>
      <c r="AP115" s="5">
        <v>0.45833333333333331</v>
      </c>
      <c r="AS115">
        <v>1</v>
      </c>
    </row>
    <row r="116" spans="1:45" x14ac:dyDescent="0.2">
      <c r="A116">
        <f t="shared" si="6"/>
        <v>2025</v>
      </c>
      <c r="B116">
        <f t="shared" si="7"/>
        <v>10</v>
      </c>
      <c r="C116">
        <f t="shared" si="8"/>
        <v>40</v>
      </c>
      <c r="D116" s="2">
        <f t="shared" si="9"/>
        <v>45933</v>
      </c>
      <c r="E116" s="1">
        <v>45933.458333333336</v>
      </c>
      <c r="F116" t="s">
        <v>480</v>
      </c>
      <c r="G116" t="s">
        <v>36</v>
      </c>
      <c r="H116">
        <v>454336</v>
      </c>
      <c r="I116" t="s">
        <v>51</v>
      </c>
      <c r="J116" t="s">
        <v>89</v>
      </c>
      <c r="M116" t="s">
        <v>40</v>
      </c>
      <c r="N116" t="s">
        <v>41</v>
      </c>
      <c r="O116" t="s">
        <v>436</v>
      </c>
      <c r="P116">
        <v>15</v>
      </c>
      <c r="Q116">
        <v>0</v>
      </c>
      <c r="R116">
        <v>0</v>
      </c>
      <c r="S116">
        <v>0</v>
      </c>
      <c r="T116" t="s">
        <v>54</v>
      </c>
      <c r="U116" t="s">
        <v>392</v>
      </c>
      <c r="W116" t="s">
        <v>481</v>
      </c>
      <c r="Y116">
        <v>0</v>
      </c>
      <c r="AA116" t="s">
        <v>40</v>
      </c>
      <c r="AB116" t="s">
        <v>46</v>
      </c>
      <c r="AC116" t="s">
        <v>47</v>
      </c>
      <c r="AG116" t="s">
        <v>482</v>
      </c>
      <c r="AJ116" t="s">
        <v>40</v>
      </c>
      <c r="AK116">
        <v>5019070878</v>
      </c>
      <c r="AO116" s="1">
        <v>45933</v>
      </c>
      <c r="AP116" s="5">
        <v>0.45833333333333331</v>
      </c>
      <c r="AS116">
        <v>1</v>
      </c>
    </row>
    <row r="117" spans="1:45" x14ac:dyDescent="0.2">
      <c r="A117">
        <f t="shared" si="6"/>
        <v>2025</v>
      </c>
      <c r="B117">
        <f t="shared" si="7"/>
        <v>10</v>
      </c>
      <c r="C117">
        <f t="shared" si="8"/>
        <v>40</v>
      </c>
      <c r="D117" s="2">
        <f t="shared" si="9"/>
        <v>45933</v>
      </c>
      <c r="E117" s="1">
        <v>45933.458333333336</v>
      </c>
      <c r="F117" t="s">
        <v>483</v>
      </c>
      <c r="G117" t="s">
        <v>36</v>
      </c>
      <c r="H117" t="s">
        <v>37</v>
      </c>
      <c r="I117" t="s">
        <v>38</v>
      </c>
      <c r="J117" t="s">
        <v>112</v>
      </c>
      <c r="N117" t="s">
        <v>41</v>
      </c>
      <c r="O117" t="s">
        <v>42</v>
      </c>
      <c r="P117">
        <v>23</v>
      </c>
      <c r="Q117">
        <v>0</v>
      </c>
      <c r="R117">
        <v>0</v>
      </c>
      <c r="S117">
        <v>0</v>
      </c>
      <c r="T117" t="s">
        <v>484</v>
      </c>
      <c r="U117" t="s">
        <v>44</v>
      </c>
      <c r="W117" t="s">
        <v>431</v>
      </c>
      <c r="Y117">
        <v>0</v>
      </c>
      <c r="AA117" t="s">
        <v>40</v>
      </c>
      <c r="AC117" t="s">
        <v>47</v>
      </c>
      <c r="AF117" t="s">
        <v>48</v>
      </c>
      <c r="AJ117" t="s">
        <v>40</v>
      </c>
      <c r="AK117" t="s">
        <v>49</v>
      </c>
      <c r="AO117" s="1">
        <v>45933</v>
      </c>
      <c r="AP117" s="5">
        <v>0.45833333333333331</v>
      </c>
      <c r="AS117">
        <v>1</v>
      </c>
    </row>
    <row r="118" spans="1:45" x14ac:dyDescent="0.2">
      <c r="A118">
        <f t="shared" si="6"/>
        <v>2025</v>
      </c>
      <c r="B118">
        <f t="shared" si="7"/>
        <v>10</v>
      </c>
      <c r="C118">
        <f t="shared" si="8"/>
        <v>40</v>
      </c>
      <c r="D118" s="2">
        <f t="shared" si="9"/>
        <v>45933</v>
      </c>
      <c r="E118" s="1">
        <v>45933.458333333336</v>
      </c>
      <c r="F118" t="s">
        <v>485</v>
      </c>
      <c r="G118" t="s">
        <v>36</v>
      </c>
      <c r="H118" t="s">
        <v>486</v>
      </c>
      <c r="I118" t="s">
        <v>218</v>
      </c>
      <c r="J118" t="s">
        <v>52</v>
      </c>
      <c r="M118" t="s">
        <v>40</v>
      </c>
      <c r="N118" t="s">
        <v>41</v>
      </c>
      <c r="O118" t="s">
        <v>487</v>
      </c>
      <c r="P118">
        <v>99</v>
      </c>
      <c r="Q118">
        <v>0</v>
      </c>
      <c r="R118">
        <v>0</v>
      </c>
      <c r="S118">
        <v>0</v>
      </c>
      <c r="T118" t="s">
        <v>54</v>
      </c>
      <c r="U118" t="s">
        <v>55</v>
      </c>
      <c r="W118" t="s">
        <v>424</v>
      </c>
      <c r="Y118">
        <v>0</v>
      </c>
      <c r="AA118" t="s">
        <v>40</v>
      </c>
      <c r="AB118" t="s">
        <v>46</v>
      </c>
      <c r="AC118" t="s">
        <v>47</v>
      </c>
      <c r="AD118" t="s">
        <v>223</v>
      </c>
      <c r="AE118" t="s">
        <v>223</v>
      </c>
      <c r="AG118" t="s">
        <v>488</v>
      </c>
      <c r="AJ118" t="s">
        <v>40</v>
      </c>
      <c r="AK118" t="s">
        <v>489</v>
      </c>
      <c r="AO118" s="1">
        <v>45933</v>
      </c>
      <c r="AP118" s="5">
        <v>0.45833333333333331</v>
      </c>
      <c r="AS118">
        <v>1</v>
      </c>
    </row>
    <row r="119" spans="1:45" x14ac:dyDescent="0.2">
      <c r="A119">
        <f t="shared" si="6"/>
        <v>2025</v>
      </c>
      <c r="B119">
        <f t="shared" si="7"/>
        <v>10</v>
      </c>
      <c r="C119">
        <f t="shared" si="8"/>
        <v>40</v>
      </c>
      <c r="D119" s="2">
        <f t="shared" si="9"/>
        <v>45933</v>
      </c>
      <c r="E119" s="1">
        <v>45933.5</v>
      </c>
      <c r="F119" t="s">
        <v>490</v>
      </c>
      <c r="G119" t="s">
        <v>36</v>
      </c>
      <c r="H119">
        <v>450195</v>
      </c>
      <c r="I119" t="s">
        <v>51</v>
      </c>
      <c r="J119" t="s">
        <v>52</v>
      </c>
      <c r="M119" t="s">
        <v>40</v>
      </c>
      <c r="N119" t="s">
        <v>41</v>
      </c>
      <c r="O119" t="s">
        <v>53</v>
      </c>
      <c r="P119">
        <v>33</v>
      </c>
      <c r="Q119">
        <v>0</v>
      </c>
      <c r="R119">
        <v>0</v>
      </c>
      <c r="S119">
        <v>0</v>
      </c>
      <c r="T119" t="s">
        <v>54</v>
      </c>
      <c r="U119" t="s">
        <v>55</v>
      </c>
      <c r="W119" t="s">
        <v>424</v>
      </c>
      <c r="Y119">
        <v>0</v>
      </c>
      <c r="AA119" t="s">
        <v>40</v>
      </c>
      <c r="AB119" t="s">
        <v>46</v>
      </c>
      <c r="AC119" t="s">
        <v>47</v>
      </c>
      <c r="AG119" t="s">
        <v>491</v>
      </c>
      <c r="AJ119" t="s">
        <v>40</v>
      </c>
      <c r="AK119">
        <v>5019083990</v>
      </c>
      <c r="AO119" s="1">
        <v>45933</v>
      </c>
      <c r="AP119" s="5">
        <v>0.5</v>
      </c>
      <c r="AS119">
        <v>1</v>
      </c>
    </row>
    <row r="120" spans="1:45" x14ac:dyDescent="0.2">
      <c r="A120">
        <f t="shared" si="6"/>
        <v>2025</v>
      </c>
      <c r="B120">
        <f t="shared" si="7"/>
        <v>10</v>
      </c>
      <c r="C120">
        <f t="shared" si="8"/>
        <v>40</v>
      </c>
      <c r="D120" s="2">
        <f t="shared" si="9"/>
        <v>45933</v>
      </c>
      <c r="E120" s="1">
        <v>45933.5</v>
      </c>
      <c r="F120" t="s">
        <v>492</v>
      </c>
      <c r="G120" t="s">
        <v>36</v>
      </c>
      <c r="H120" t="s">
        <v>320</v>
      </c>
      <c r="I120" t="s">
        <v>38</v>
      </c>
      <c r="J120" t="s">
        <v>321</v>
      </c>
      <c r="M120" t="s">
        <v>40</v>
      </c>
      <c r="N120" t="s">
        <v>41</v>
      </c>
      <c r="O120" t="s">
        <v>42</v>
      </c>
      <c r="P120">
        <v>33</v>
      </c>
      <c r="Q120">
        <v>0</v>
      </c>
      <c r="R120">
        <v>0</v>
      </c>
      <c r="S120">
        <v>0</v>
      </c>
      <c r="T120">
        <v>5019069870</v>
      </c>
      <c r="U120" t="s">
        <v>44</v>
      </c>
      <c r="W120" t="s">
        <v>441</v>
      </c>
      <c r="Y120">
        <v>0</v>
      </c>
      <c r="AA120" t="s">
        <v>40</v>
      </c>
      <c r="AB120" t="s">
        <v>46</v>
      </c>
      <c r="AC120" t="s">
        <v>47</v>
      </c>
      <c r="AF120" t="s">
        <v>322</v>
      </c>
      <c r="AJ120" t="s">
        <v>40</v>
      </c>
      <c r="AK120" t="s">
        <v>49</v>
      </c>
      <c r="AO120" s="1">
        <v>45933</v>
      </c>
      <c r="AP120" s="5">
        <v>0.5</v>
      </c>
      <c r="AS120">
        <v>1</v>
      </c>
    </row>
    <row r="121" spans="1:45" x14ac:dyDescent="0.2">
      <c r="A121">
        <f t="shared" si="6"/>
        <v>2025</v>
      </c>
      <c r="B121">
        <f t="shared" si="7"/>
        <v>10</v>
      </c>
      <c r="C121">
        <f t="shared" si="8"/>
        <v>40</v>
      </c>
      <c r="D121" s="2">
        <f t="shared" si="9"/>
        <v>45933</v>
      </c>
      <c r="E121" s="1">
        <v>45933.5</v>
      </c>
      <c r="F121" t="s">
        <v>493</v>
      </c>
      <c r="G121" t="s">
        <v>36</v>
      </c>
      <c r="H121" t="s">
        <v>494</v>
      </c>
      <c r="I121" t="s">
        <v>78</v>
      </c>
      <c r="J121" t="s">
        <v>144</v>
      </c>
      <c r="M121" t="s">
        <v>40</v>
      </c>
      <c r="N121" t="s">
        <v>41</v>
      </c>
      <c r="O121" t="s">
        <v>145</v>
      </c>
      <c r="P121">
        <v>66</v>
      </c>
      <c r="Q121">
        <v>0</v>
      </c>
      <c r="R121">
        <v>0</v>
      </c>
      <c r="S121">
        <v>0</v>
      </c>
      <c r="T121" t="s">
        <v>54</v>
      </c>
      <c r="U121" t="s">
        <v>55</v>
      </c>
      <c r="W121" t="s">
        <v>437</v>
      </c>
      <c r="Y121">
        <v>0</v>
      </c>
      <c r="AA121" t="s">
        <v>40</v>
      </c>
      <c r="AB121" t="s">
        <v>46</v>
      </c>
      <c r="AC121" t="s">
        <v>47</v>
      </c>
      <c r="AD121" t="s">
        <v>81</v>
      </c>
      <c r="AE121" t="s">
        <v>81</v>
      </c>
      <c r="AG121" t="s">
        <v>495</v>
      </c>
      <c r="AJ121" t="s">
        <v>40</v>
      </c>
      <c r="AK121" t="s">
        <v>496</v>
      </c>
      <c r="AO121" s="1">
        <v>45933</v>
      </c>
      <c r="AP121" s="5">
        <v>0.5</v>
      </c>
      <c r="AS121">
        <v>1</v>
      </c>
    </row>
    <row r="122" spans="1:45" x14ac:dyDescent="0.2">
      <c r="A122">
        <f t="shared" si="6"/>
        <v>2025</v>
      </c>
      <c r="B122">
        <f t="shared" si="7"/>
        <v>10</v>
      </c>
      <c r="C122">
        <f t="shared" si="8"/>
        <v>40</v>
      </c>
      <c r="D122" s="2">
        <f t="shared" si="9"/>
        <v>45933</v>
      </c>
      <c r="E122" s="1">
        <v>45933.5</v>
      </c>
      <c r="F122" t="s">
        <v>497</v>
      </c>
      <c r="G122" t="s">
        <v>36</v>
      </c>
      <c r="H122" t="s">
        <v>111</v>
      </c>
      <c r="I122" t="s">
        <v>38</v>
      </c>
      <c r="J122" t="s">
        <v>99</v>
      </c>
      <c r="N122" t="s">
        <v>41</v>
      </c>
      <c r="O122" t="s">
        <v>42</v>
      </c>
      <c r="P122">
        <v>23</v>
      </c>
      <c r="Q122">
        <v>0</v>
      </c>
      <c r="R122">
        <v>0</v>
      </c>
      <c r="S122">
        <v>0</v>
      </c>
      <c r="T122" t="s">
        <v>498</v>
      </c>
      <c r="U122" t="s">
        <v>44</v>
      </c>
      <c r="W122" t="s">
        <v>431</v>
      </c>
      <c r="Y122">
        <v>0</v>
      </c>
      <c r="AA122" t="s">
        <v>40</v>
      </c>
      <c r="AC122" t="s">
        <v>47</v>
      </c>
      <c r="AF122" t="s">
        <v>48</v>
      </c>
      <c r="AJ122" t="s">
        <v>40</v>
      </c>
      <c r="AK122" t="s">
        <v>49</v>
      </c>
      <c r="AO122" s="1">
        <v>45933</v>
      </c>
      <c r="AP122" s="5">
        <v>0.5</v>
      </c>
      <c r="AS122">
        <v>1</v>
      </c>
    </row>
    <row r="123" spans="1:45" x14ac:dyDescent="0.2">
      <c r="A123">
        <f t="shared" si="6"/>
        <v>2025</v>
      </c>
      <c r="B123">
        <f t="shared" si="7"/>
        <v>10</v>
      </c>
      <c r="C123">
        <f t="shared" si="8"/>
        <v>40</v>
      </c>
      <c r="D123" s="2">
        <f t="shared" si="9"/>
        <v>45933</v>
      </c>
      <c r="E123" s="1">
        <v>45933.541666666664</v>
      </c>
      <c r="F123" t="s">
        <v>499</v>
      </c>
      <c r="G123" t="s">
        <v>36</v>
      </c>
      <c r="H123" t="s">
        <v>320</v>
      </c>
      <c r="I123" t="s">
        <v>38</v>
      </c>
      <c r="J123" t="s">
        <v>321</v>
      </c>
      <c r="M123" t="s">
        <v>40</v>
      </c>
      <c r="N123" t="s">
        <v>41</v>
      </c>
      <c r="O123" t="s">
        <v>42</v>
      </c>
      <c r="P123">
        <v>33</v>
      </c>
      <c r="Q123">
        <v>0</v>
      </c>
      <c r="R123">
        <v>0</v>
      </c>
      <c r="S123">
        <v>0</v>
      </c>
      <c r="T123" t="s">
        <v>500</v>
      </c>
      <c r="U123" t="s">
        <v>44</v>
      </c>
      <c r="W123" t="s">
        <v>441</v>
      </c>
      <c r="Y123">
        <v>0</v>
      </c>
      <c r="AA123" t="s">
        <v>40</v>
      </c>
      <c r="AB123" t="s">
        <v>46</v>
      </c>
      <c r="AC123" t="s">
        <v>47</v>
      </c>
      <c r="AF123" t="s">
        <v>322</v>
      </c>
      <c r="AJ123" t="s">
        <v>40</v>
      </c>
      <c r="AK123" t="s">
        <v>49</v>
      </c>
      <c r="AO123" s="1">
        <v>45933</v>
      </c>
      <c r="AP123" s="5">
        <v>0.54166666666666663</v>
      </c>
      <c r="AS123">
        <v>1</v>
      </c>
    </row>
    <row r="124" spans="1:45" x14ac:dyDescent="0.2">
      <c r="A124">
        <f t="shared" si="6"/>
        <v>2025</v>
      </c>
      <c r="B124">
        <f t="shared" si="7"/>
        <v>10</v>
      </c>
      <c r="C124">
        <f t="shared" si="8"/>
        <v>40</v>
      </c>
      <c r="D124" s="2">
        <f t="shared" si="9"/>
        <v>45933</v>
      </c>
      <c r="E124" s="1">
        <v>45933.541666666664</v>
      </c>
      <c r="F124" t="s">
        <v>501</v>
      </c>
      <c r="G124" t="s">
        <v>36</v>
      </c>
      <c r="H124" t="s">
        <v>111</v>
      </c>
      <c r="I124" t="s">
        <v>38</v>
      </c>
      <c r="J124" t="s">
        <v>99</v>
      </c>
      <c r="N124" t="s">
        <v>41</v>
      </c>
      <c r="O124" t="s">
        <v>42</v>
      </c>
      <c r="P124">
        <v>23</v>
      </c>
      <c r="Q124">
        <v>0</v>
      </c>
      <c r="R124">
        <v>0</v>
      </c>
      <c r="S124">
        <v>0</v>
      </c>
      <c r="T124" t="s">
        <v>502</v>
      </c>
      <c r="U124" t="s">
        <v>44</v>
      </c>
      <c r="W124" t="s">
        <v>431</v>
      </c>
      <c r="Y124">
        <v>0</v>
      </c>
      <c r="AA124" t="s">
        <v>40</v>
      </c>
      <c r="AC124" t="s">
        <v>47</v>
      </c>
      <c r="AF124" t="s">
        <v>48</v>
      </c>
      <c r="AJ124" t="s">
        <v>40</v>
      </c>
      <c r="AK124" t="s">
        <v>49</v>
      </c>
      <c r="AO124" s="1">
        <v>45933</v>
      </c>
      <c r="AP124" s="5">
        <v>0.54166666666666663</v>
      </c>
      <c r="AS124">
        <v>1</v>
      </c>
    </row>
    <row r="125" spans="1:45" x14ac:dyDescent="0.2">
      <c r="A125">
        <f t="shared" si="6"/>
        <v>2025</v>
      </c>
      <c r="B125">
        <f t="shared" si="7"/>
        <v>10</v>
      </c>
      <c r="C125">
        <f t="shared" si="8"/>
        <v>40</v>
      </c>
      <c r="D125" s="2">
        <f t="shared" si="9"/>
        <v>45933</v>
      </c>
      <c r="E125" s="1">
        <v>45933.541666666664</v>
      </c>
      <c r="F125" t="s">
        <v>503</v>
      </c>
      <c r="G125" t="s">
        <v>36</v>
      </c>
      <c r="H125" t="s">
        <v>37</v>
      </c>
      <c r="I125" t="s">
        <v>38</v>
      </c>
      <c r="J125" t="s">
        <v>112</v>
      </c>
      <c r="M125" t="s">
        <v>40</v>
      </c>
      <c r="N125" t="s">
        <v>41</v>
      </c>
      <c r="O125" t="s">
        <v>42</v>
      </c>
      <c r="P125">
        <v>11</v>
      </c>
      <c r="Q125">
        <v>0</v>
      </c>
      <c r="R125">
        <v>0</v>
      </c>
      <c r="S125">
        <v>0</v>
      </c>
      <c r="T125" t="s">
        <v>504</v>
      </c>
      <c r="U125" t="s">
        <v>44</v>
      </c>
      <c r="W125" t="s">
        <v>431</v>
      </c>
      <c r="Y125">
        <v>0</v>
      </c>
      <c r="AA125" t="s">
        <v>40</v>
      </c>
      <c r="AB125" t="s">
        <v>46</v>
      </c>
      <c r="AC125" t="s">
        <v>47</v>
      </c>
      <c r="AF125" t="s">
        <v>48</v>
      </c>
      <c r="AJ125" t="s">
        <v>40</v>
      </c>
      <c r="AK125" t="s">
        <v>49</v>
      </c>
      <c r="AO125" s="1">
        <v>45933</v>
      </c>
      <c r="AP125" s="5">
        <v>0.54166666666666663</v>
      </c>
      <c r="AS125">
        <v>1</v>
      </c>
    </row>
    <row r="126" spans="1:45" x14ac:dyDescent="0.2">
      <c r="A126">
        <f t="shared" si="6"/>
        <v>2025</v>
      </c>
      <c r="B126">
        <f t="shared" si="7"/>
        <v>10</v>
      </c>
      <c r="C126">
        <f t="shared" si="8"/>
        <v>40</v>
      </c>
      <c r="D126" s="2">
        <f t="shared" si="9"/>
        <v>45933</v>
      </c>
      <c r="E126" s="1">
        <v>45933.541666666664</v>
      </c>
      <c r="F126" t="s">
        <v>505</v>
      </c>
      <c r="G126" t="s">
        <v>36</v>
      </c>
      <c r="H126">
        <v>447467</v>
      </c>
      <c r="I126" t="s">
        <v>51</v>
      </c>
      <c r="J126" t="s">
        <v>154</v>
      </c>
      <c r="M126" t="s">
        <v>40</v>
      </c>
      <c r="N126" t="s">
        <v>41</v>
      </c>
      <c r="O126" t="s">
        <v>155</v>
      </c>
      <c r="P126">
        <v>33</v>
      </c>
      <c r="Q126">
        <v>0</v>
      </c>
      <c r="R126">
        <v>0</v>
      </c>
      <c r="S126">
        <v>0</v>
      </c>
      <c r="T126" t="s">
        <v>54</v>
      </c>
      <c r="U126" t="s">
        <v>55</v>
      </c>
      <c r="W126" t="s">
        <v>506</v>
      </c>
      <c r="Y126">
        <v>0</v>
      </c>
      <c r="AA126" t="s">
        <v>40</v>
      </c>
      <c r="AB126" t="s">
        <v>46</v>
      </c>
      <c r="AC126" t="s">
        <v>47</v>
      </c>
      <c r="AG126" t="s">
        <v>507</v>
      </c>
      <c r="AJ126" t="s">
        <v>40</v>
      </c>
      <c r="AK126">
        <v>5019090094</v>
      </c>
      <c r="AO126" s="1">
        <v>45933</v>
      </c>
      <c r="AP126" s="5">
        <v>0.54166666666666663</v>
      </c>
      <c r="AS126">
        <v>1</v>
      </c>
    </row>
    <row r="127" spans="1:45" x14ac:dyDescent="0.2">
      <c r="A127">
        <f t="shared" si="6"/>
        <v>2025</v>
      </c>
      <c r="B127">
        <f t="shared" si="7"/>
        <v>10</v>
      </c>
      <c r="C127">
        <f t="shared" si="8"/>
        <v>40</v>
      </c>
      <c r="D127" s="2">
        <f t="shared" si="9"/>
        <v>45933</v>
      </c>
      <c r="E127" s="1">
        <v>45933.583333333336</v>
      </c>
      <c r="F127" t="s">
        <v>508</v>
      </c>
      <c r="G127" t="s">
        <v>36</v>
      </c>
      <c r="H127" t="s">
        <v>111</v>
      </c>
      <c r="I127" t="s">
        <v>38</v>
      </c>
      <c r="J127" t="s">
        <v>112</v>
      </c>
      <c r="M127" t="s">
        <v>40</v>
      </c>
      <c r="N127" t="s">
        <v>41</v>
      </c>
      <c r="O127" t="s">
        <v>42</v>
      </c>
      <c r="P127">
        <v>23</v>
      </c>
      <c r="Q127">
        <v>0</v>
      </c>
      <c r="R127">
        <v>0</v>
      </c>
      <c r="S127">
        <v>0</v>
      </c>
      <c r="T127" t="s">
        <v>509</v>
      </c>
      <c r="U127" t="s">
        <v>44</v>
      </c>
      <c r="W127" t="s">
        <v>431</v>
      </c>
      <c r="Y127">
        <v>0</v>
      </c>
      <c r="AA127" t="s">
        <v>40</v>
      </c>
      <c r="AB127" t="s">
        <v>46</v>
      </c>
      <c r="AC127" t="s">
        <v>47</v>
      </c>
      <c r="AF127" t="s">
        <v>48</v>
      </c>
      <c r="AJ127" t="s">
        <v>40</v>
      </c>
      <c r="AK127" t="s">
        <v>49</v>
      </c>
      <c r="AO127" s="1">
        <v>45933</v>
      </c>
      <c r="AP127" s="5">
        <v>0.58333333333333337</v>
      </c>
      <c r="AS127">
        <v>1</v>
      </c>
    </row>
    <row r="128" spans="1:45" x14ac:dyDescent="0.2">
      <c r="A128">
        <f t="shared" si="6"/>
        <v>2025</v>
      </c>
      <c r="B128">
        <f t="shared" si="7"/>
        <v>10</v>
      </c>
      <c r="C128">
        <f t="shared" si="8"/>
        <v>40</v>
      </c>
      <c r="D128" s="2">
        <f t="shared" si="9"/>
        <v>45933</v>
      </c>
      <c r="E128" s="1">
        <v>45933.583333333336</v>
      </c>
      <c r="F128" t="s">
        <v>510</v>
      </c>
      <c r="G128" t="s">
        <v>36</v>
      </c>
      <c r="H128" t="s">
        <v>111</v>
      </c>
      <c r="I128" t="s">
        <v>38</v>
      </c>
      <c r="J128" t="s">
        <v>99</v>
      </c>
      <c r="N128" t="s">
        <v>41</v>
      </c>
      <c r="O128" t="s">
        <v>42</v>
      </c>
      <c r="P128">
        <v>23</v>
      </c>
      <c r="Q128">
        <v>0</v>
      </c>
      <c r="R128">
        <v>0</v>
      </c>
      <c r="S128">
        <v>0</v>
      </c>
      <c r="T128" t="s">
        <v>511</v>
      </c>
      <c r="U128" t="s">
        <v>44</v>
      </c>
      <c r="W128" t="s">
        <v>431</v>
      </c>
      <c r="Y128">
        <v>0</v>
      </c>
      <c r="AA128" t="s">
        <v>40</v>
      </c>
      <c r="AC128" t="s">
        <v>47</v>
      </c>
      <c r="AF128" t="s">
        <v>48</v>
      </c>
      <c r="AJ128" t="s">
        <v>40</v>
      </c>
      <c r="AK128" t="s">
        <v>49</v>
      </c>
      <c r="AO128" s="1">
        <v>45933</v>
      </c>
      <c r="AP128" s="5">
        <v>0.58333333333333337</v>
      </c>
      <c r="AS128">
        <v>1</v>
      </c>
    </row>
    <row r="129" spans="1:45" x14ac:dyDescent="0.2">
      <c r="A129">
        <f t="shared" si="6"/>
        <v>2025</v>
      </c>
      <c r="B129">
        <f t="shared" si="7"/>
        <v>10</v>
      </c>
      <c r="C129">
        <f t="shared" si="8"/>
        <v>40</v>
      </c>
      <c r="D129" s="2">
        <f t="shared" si="9"/>
        <v>45933</v>
      </c>
      <c r="E129" s="1">
        <v>45933.583333333336</v>
      </c>
      <c r="F129" t="s">
        <v>512</v>
      </c>
      <c r="G129" t="s">
        <v>36</v>
      </c>
      <c r="H129">
        <v>447497</v>
      </c>
      <c r="I129" t="s">
        <v>51</v>
      </c>
      <c r="J129" t="s">
        <v>513</v>
      </c>
      <c r="M129" t="s">
        <v>40</v>
      </c>
      <c r="N129" t="s">
        <v>41</v>
      </c>
      <c r="O129" t="s">
        <v>514</v>
      </c>
      <c r="P129">
        <v>33</v>
      </c>
      <c r="Q129">
        <v>0</v>
      </c>
      <c r="R129">
        <v>0</v>
      </c>
      <c r="S129">
        <v>0</v>
      </c>
      <c r="T129" t="s">
        <v>54</v>
      </c>
      <c r="U129" t="s">
        <v>55</v>
      </c>
      <c r="W129" t="s">
        <v>120</v>
      </c>
      <c r="Y129">
        <v>0</v>
      </c>
      <c r="AA129" t="s">
        <v>40</v>
      </c>
      <c r="AB129" t="s">
        <v>46</v>
      </c>
      <c r="AC129" t="s">
        <v>47</v>
      </c>
      <c r="AG129" t="s">
        <v>515</v>
      </c>
      <c r="AJ129" t="s">
        <v>40</v>
      </c>
      <c r="AK129">
        <v>5019036909</v>
      </c>
      <c r="AO129" s="1">
        <v>45933</v>
      </c>
      <c r="AP129" s="5">
        <v>0.58333333333333337</v>
      </c>
      <c r="AS129">
        <v>1</v>
      </c>
    </row>
    <row r="130" spans="1:45" x14ac:dyDescent="0.2">
      <c r="A130">
        <f t="shared" ref="A130:A193" si="10">YEAR(D130)</f>
        <v>2025</v>
      </c>
      <c r="B130">
        <f t="shared" ref="B130:B193" si="11">MONTH(D130)</f>
        <v>10</v>
      </c>
      <c r="C130">
        <f t="shared" ref="C130:C193" si="12">WEEKNUM(D130)</f>
        <v>40</v>
      </c>
      <c r="D130" s="2">
        <f t="shared" ref="D130:D193" si="13">INT(E130)</f>
        <v>45933</v>
      </c>
      <c r="E130" s="1">
        <v>45933.583333333336</v>
      </c>
      <c r="F130" t="s">
        <v>516</v>
      </c>
      <c r="G130" t="s">
        <v>36</v>
      </c>
      <c r="H130" t="s">
        <v>517</v>
      </c>
      <c r="I130" t="s">
        <v>38</v>
      </c>
      <c r="J130" t="s">
        <v>471</v>
      </c>
      <c r="M130" t="s">
        <v>40</v>
      </c>
      <c r="N130" t="s">
        <v>41</v>
      </c>
      <c r="O130" t="s">
        <v>42</v>
      </c>
      <c r="P130">
        <v>36</v>
      </c>
      <c r="Q130">
        <v>0</v>
      </c>
      <c r="R130">
        <v>0</v>
      </c>
      <c r="S130">
        <v>0</v>
      </c>
      <c r="T130" t="s">
        <v>518</v>
      </c>
      <c r="U130" t="s">
        <v>392</v>
      </c>
      <c r="W130" t="s">
        <v>453</v>
      </c>
      <c r="Y130">
        <v>0</v>
      </c>
      <c r="AA130" t="s">
        <v>40</v>
      </c>
      <c r="AB130" t="s">
        <v>46</v>
      </c>
      <c r="AC130" t="s">
        <v>47</v>
      </c>
      <c r="AF130" t="s">
        <v>393</v>
      </c>
      <c r="AJ130" t="s">
        <v>40</v>
      </c>
      <c r="AK130" t="s">
        <v>49</v>
      </c>
      <c r="AO130" s="1">
        <v>45933</v>
      </c>
      <c r="AP130" s="5">
        <v>0.58333333333333337</v>
      </c>
      <c r="AS130">
        <v>1</v>
      </c>
    </row>
    <row r="131" spans="1:45" x14ac:dyDescent="0.2">
      <c r="A131">
        <f t="shared" si="10"/>
        <v>2025</v>
      </c>
      <c r="B131">
        <f t="shared" si="11"/>
        <v>10</v>
      </c>
      <c r="C131">
        <f t="shared" si="12"/>
        <v>40</v>
      </c>
      <c r="D131" s="2">
        <f t="shared" si="13"/>
        <v>45933</v>
      </c>
      <c r="E131" s="1">
        <v>45933.625</v>
      </c>
      <c r="F131" t="s">
        <v>519</v>
      </c>
      <c r="G131" t="s">
        <v>36</v>
      </c>
      <c r="H131" t="s">
        <v>111</v>
      </c>
      <c r="I131" t="s">
        <v>38</v>
      </c>
      <c r="J131" t="s">
        <v>112</v>
      </c>
      <c r="M131" t="s">
        <v>40</v>
      </c>
      <c r="N131" t="s">
        <v>41</v>
      </c>
      <c r="O131" t="s">
        <v>42</v>
      </c>
      <c r="P131">
        <v>23</v>
      </c>
      <c r="Q131">
        <v>0</v>
      </c>
      <c r="R131">
        <v>0</v>
      </c>
      <c r="S131">
        <v>0</v>
      </c>
      <c r="T131" t="s">
        <v>520</v>
      </c>
      <c r="U131" t="s">
        <v>44</v>
      </c>
      <c r="W131" t="s">
        <v>431</v>
      </c>
      <c r="Y131">
        <v>0</v>
      </c>
      <c r="AA131" t="s">
        <v>40</v>
      </c>
      <c r="AB131" t="s">
        <v>46</v>
      </c>
      <c r="AC131" t="s">
        <v>47</v>
      </c>
      <c r="AF131" t="s">
        <v>48</v>
      </c>
      <c r="AJ131" t="s">
        <v>40</v>
      </c>
      <c r="AK131" t="s">
        <v>49</v>
      </c>
      <c r="AO131" s="1">
        <v>45933</v>
      </c>
      <c r="AP131" s="5">
        <v>0.625</v>
      </c>
      <c r="AS131">
        <v>1</v>
      </c>
    </row>
    <row r="132" spans="1:45" x14ac:dyDescent="0.2">
      <c r="A132">
        <f t="shared" si="10"/>
        <v>2025</v>
      </c>
      <c r="B132">
        <f t="shared" si="11"/>
        <v>10</v>
      </c>
      <c r="C132">
        <f t="shared" si="12"/>
        <v>40</v>
      </c>
      <c r="D132" s="2">
        <f t="shared" si="13"/>
        <v>45933</v>
      </c>
      <c r="E132" s="1">
        <v>45933.625</v>
      </c>
      <c r="F132" t="s">
        <v>521</v>
      </c>
      <c r="G132" t="s">
        <v>36</v>
      </c>
      <c r="H132" t="s">
        <v>111</v>
      </c>
      <c r="I132" t="s">
        <v>38</v>
      </c>
      <c r="J132" t="s">
        <v>99</v>
      </c>
      <c r="N132" t="s">
        <v>41</v>
      </c>
      <c r="O132" t="s">
        <v>42</v>
      </c>
      <c r="P132">
        <v>23</v>
      </c>
      <c r="Q132">
        <v>0</v>
      </c>
      <c r="R132">
        <v>0</v>
      </c>
      <c r="S132">
        <v>0</v>
      </c>
      <c r="T132" t="s">
        <v>522</v>
      </c>
      <c r="U132" t="s">
        <v>44</v>
      </c>
      <c r="W132" t="s">
        <v>431</v>
      </c>
      <c r="Y132">
        <v>0</v>
      </c>
      <c r="AA132" t="s">
        <v>40</v>
      </c>
      <c r="AC132" t="s">
        <v>47</v>
      </c>
      <c r="AF132" t="s">
        <v>48</v>
      </c>
      <c r="AJ132" t="s">
        <v>40</v>
      </c>
      <c r="AK132" t="s">
        <v>49</v>
      </c>
      <c r="AO132" s="1">
        <v>45933</v>
      </c>
      <c r="AP132" s="5">
        <v>0.625</v>
      </c>
      <c r="AS132">
        <v>1</v>
      </c>
    </row>
    <row r="133" spans="1:45" x14ac:dyDescent="0.2">
      <c r="A133">
        <f t="shared" si="10"/>
        <v>2025</v>
      </c>
      <c r="B133">
        <f t="shared" si="11"/>
        <v>10</v>
      </c>
      <c r="C133">
        <f t="shared" si="12"/>
        <v>40</v>
      </c>
      <c r="D133" s="2">
        <f t="shared" si="13"/>
        <v>45933</v>
      </c>
      <c r="E133" s="1">
        <v>45933.625</v>
      </c>
      <c r="F133" t="s">
        <v>523</v>
      </c>
      <c r="G133" t="s">
        <v>36</v>
      </c>
      <c r="H133" t="s">
        <v>524</v>
      </c>
      <c r="I133" t="s">
        <v>78</v>
      </c>
      <c r="J133" t="s">
        <v>200</v>
      </c>
      <c r="M133" t="s">
        <v>40</v>
      </c>
      <c r="N133" t="s">
        <v>41</v>
      </c>
      <c r="O133" t="s">
        <v>525</v>
      </c>
      <c r="P133">
        <v>66</v>
      </c>
      <c r="Q133">
        <v>0</v>
      </c>
      <c r="R133">
        <v>0</v>
      </c>
      <c r="S133">
        <v>0</v>
      </c>
      <c r="T133" t="s">
        <v>54</v>
      </c>
      <c r="U133" t="s">
        <v>55</v>
      </c>
      <c r="W133" t="s">
        <v>526</v>
      </c>
      <c r="Y133">
        <v>0</v>
      </c>
      <c r="AA133" t="s">
        <v>40</v>
      </c>
      <c r="AB133" t="s">
        <v>46</v>
      </c>
      <c r="AC133" t="s">
        <v>47</v>
      </c>
      <c r="AD133" t="s">
        <v>81</v>
      </c>
      <c r="AE133" t="s">
        <v>81</v>
      </c>
      <c r="AG133" t="s">
        <v>527</v>
      </c>
      <c r="AJ133" t="s">
        <v>40</v>
      </c>
      <c r="AK133" t="s">
        <v>528</v>
      </c>
      <c r="AO133" s="1">
        <v>45933</v>
      </c>
      <c r="AP133" s="5">
        <v>0.625</v>
      </c>
      <c r="AS133">
        <v>1</v>
      </c>
    </row>
    <row r="134" spans="1:45" x14ac:dyDescent="0.2">
      <c r="A134">
        <f t="shared" si="10"/>
        <v>2025</v>
      </c>
      <c r="B134">
        <f t="shared" si="11"/>
        <v>10</v>
      </c>
      <c r="C134">
        <f t="shared" si="12"/>
        <v>40</v>
      </c>
      <c r="D134" s="2">
        <f t="shared" si="13"/>
        <v>45933</v>
      </c>
      <c r="E134" s="1">
        <v>45933.666666666664</v>
      </c>
      <c r="F134" t="s">
        <v>529</v>
      </c>
      <c r="G134" t="s">
        <v>36</v>
      </c>
      <c r="H134">
        <v>447495</v>
      </c>
      <c r="I134" t="s">
        <v>51</v>
      </c>
      <c r="J134" t="s">
        <v>355</v>
      </c>
      <c r="M134" t="s">
        <v>40</v>
      </c>
      <c r="N134" t="s">
        <v>41</v>
      </c>
      <c r="O134" t="s">
        <v>530</v>
      </c>
      <c r="P134">
        <v>33</v>
      </c>
      <c r="Q134">
        <v>0</v>
      </c>
      <c r="R134">
        <v>0</v>
      </c>
      <c r="S134">
        <v>0</v>
      </c>
      <c r="T134" t="s">
        <v>54</v>
      </c>
      <c r="U134" t="s">
        <v>55</v>
      </c>
      <c r="W134" t="s">
        <v>531</v>
      </c>
      <c r="Y134">
        <v>0</v>
      </c>
      <c r="AA134" t="s">
        <v>40</v>
      </c>
      <c r="AB134" t="s">
        <v>46</v>
      </c>
      <c r="AC134" t="s">
        <v>47</v>
      </c>
      <c r="AG134" t="s">
        <v>532</v>
      </c>
      <c r="AJ134" t="s">
        <v>40</v>
      </c>
      <c r="AK134">
        <v>5019071915</v>
      </c>
      <c r="AO134" s="1">
        <v>45933</v>
      </c>
      <c r="AP134" s="5">
        <v>0.66666666666666663</v>
      </c>
      <c r="AS134">
        <v>1</v>
      </c>
    </row>
    <row r="135" spans="1:45" x14ac:dyDescent="0.2">
      <c r="A135">
        <f t="shared" si="10"/>
        <v>2025</v>
      </c>
      <c r="B135">
        <f t="shared" si="11"/>
        <v>10</v>
      </c>
      <c r="C135">
        <f t="shared" si="12"/>
        <v>40</v>
      </c>
      <c r="D135" s="2">
        <f t="shared" si="13"/>
        <v>45933</v>
      </c>
      <c r="E135" s="1">
        <v>45933.666666666664</v>
      </c>
      <c r="F135" t="s">
        <v>533</v>
      </c>
      <c r="G135" t="s">
        <v>36</v>
      </c>
      <c r="H135" t="s">
        <v>320</v>
      </c>
      <c r="I135" t="s">
        <v>38</v>
      </c>
      <c r="J135" t="s">
        <v>321</v>
      </c>
      <c r="M135" t="s">
        <v>40</v>
      </c>
      <c r="N135" t="s">
        <v>41</v>
      </c>
      <c r="O135" t="s">
        <v>42</v>
      </c>
      <c r="P135">
        <v>33</v>
      </c>
      <c r="Q135">
        <v>0</v>
      </c>
      <c r="R135">
        <v>0</v>
      </c>
      <c r="S135">
        <v>0</v>
      </c>
      <c r="T135">
        <v>5019022008</v>
      </c>
      <c r="U135" t="s">
        <v>44</v>
      </c>
      <c r="W135" t="s">
        <v>441</v>
      </c>
      <c r="Y135">
        <v>0</v>
      </c>
      <c r="AA135" t="s">
        <v>40</v>
      </c>
      <c r="AB135" t="s">
        <v>46</v>
      </c>
      <c r="AC135" t="s">
        <v>47</v>
      </c>
      <c r="AF135" t="s">
        <v>322</v>
      </c>
      <c r="AJ135" t="s">
        <v>40</v>
      </c>
      <c r="AK135" t="s">
        <v>49</v>
      </c>
      <c r="AO135" s="1">
        <v>45933</v>
      </c>
      <c r="AP135" s="5">
        <v>0.66666666666666663</v>
      </c>
      <c r="AS135">
        <v>1</v>
      </c>
    </row>
    <row r="136" spans="1:45" x14ac:dyDescent="0.2">
      <c r="A136">
        <f t="shared" si="10"/>
        <v>2025</v>
      </c>
      <c r="B136">
        <f t="shared" si="11"/>
        <v>10</v>
      </c>
      <c r="C136">
        <f t="shared" si="12"/>
        <v>40</v>
      </c>
      <c r="D136" s="2">
        <f t="shared" si="13"/>
        <v>45933</v>
      </c>
      <c r="E136" s="1">
        <v>45933.666666666664</v>
      </c>
      <c r="F136" t="s">
        <v>534</v>
      </c>
      <c r="G136" t="s">
        <v>36</v>
      </c>
      <c r="H136">
        <v>447441</v>
      </c>
      <c r="I136" t="s">
        <v>51</v>
      </c>
      <c r="J136" t="s">
        <v>154</v>
      </c>
      <c r="M136" t="s">
        <v>40</v>
      </c>
      <c r="N136" t="s">
        <v>41</v>
      </c>
      <c r="O136" t="s">
        <v>155</v>
      </c>
      <c r="P136">
        <v>33</v>
      </c>
      <c r="Q136">
        <v>0</v>
      </c>
      <c r="R136">
        <v>0</v>
      </c>
      <c r="S136">
        <v>0</v>
      </c>
      <c r="T136" t="s">
        <v>54</v>
      </c>
      <c r="U136" t="s">
        <v>55</v>
      </c>
      <c r="W136" t="s">
        <v>506</v>
      </c>
      <c r="Y136">
        <v>0</v>
      </c>
      <c r="AA136" t="s">
        <v>40</v>
      </c>
      <c r="AB136" t="s">
        <v>46</v>
      </c>
      <c r="AC136" t="s">
        <v>47</v>
      </c>
      <c r="AG136" t="s">
        <v>535</v>
      </c>
      <c r="AJ136" t="s">
        <v>40</v>
      </c>
      <c r="AK136">
        <v>5019090093</v>
      </c>
      <c r="AO136" s="1">
        <v>45933</v>
      </c>
      <c r="AP136" s="5">
        <v>0.66666666666666663</v>
      </c>
      <c r="AS136">
        <v>1</v>
      </c>
    </row>
    <row r="137" spans="1:45" x14ac:dyDescent="0.2">
      <c r="A137">
        <f t="shared" si="10"/>
        <v>2025</v>
      </c>
      <c r="B137">
        <f t="shared" si="11"/>
        <v>10</v>
      </c>
      <c r="C137">
        <f t="shared" si="12"/>
        <v>40</v>
      </c>
      <c r="D137" s="2">
        <f t="shared" si="13"/>
        <v>45933</v>
      </c>
      <c r="E137" s="1">
        <v>45933.666666666664</v>
      </c>
      <c r="F137" t="s">
        <v>536</v>
      </c>
      <c r="G137" t="s">
        <v>36</v>
      </c>
      <c r="H137" t="s">
        <v>320</v>
      </c>
      <c r="I137" t="s">
        <v>38</v>
      </c>
      <c r="J137" t="s">
        <v>321</v>
      </c>
      <c r="M137" t="s">
        <v>40</v>
      </c>
      <c r="N137" t="s">
        <v>41</v>
      </c>
      <c r="O137" t="s">
        <v>42</v>
      </c>
      <c r="P137">
        <v>33</v>
      </c>
      <c r="Q137">
        <v>0</v>
      </c>
      <c r="R137">
        <v>0</v>
      </c>
      <c r="S137">
        <v>0</v>
      </c>
      <c r="T137" t="s">
        <v>537</v>
      </c>
      <c r="U137" t="s">
        <v>44</v>
      </c>
      <c r="W137" t="s">
        <v>441</v>
      </c>
      <c r="Y137">
        <v>0</v>
      </c>
      <c r="AA137" t="s">
        <v>40</v>
      </c>
      <c r="AB137" t="s">
        <v>46</v>
      </c>
      <c r="AC137" t="s">
        <v>47</v>
      </c>
      <c r="AF137" t="s">
        <v>322</v>
      </c>
      <c r="AJ137" t="s">
        <v>40</v>
      </c>
      <c r="AK137" t="s">
        <v>49</v>
      </c>
      <c r="AO137" s="1">
        <v>45933</v>
      </c>
      <c r="AP137" s="5">
        <v>0.66666666666666663</v>
      </c>
      <c r="AS137">
        <v>1</v>
      </c>
    </row>
    <row r="138" spans="1:45" x14ac:dyDescent="0.2">
      <c r="A138">
        <f t="shared" si="10"/>
        <v>2025</v>
      </c>
      <c r="B138">
        <f t="shared" si="11"/>
        <v>10</v>
      </c>
      <c r="C138">
        <f t="shared" si="12"/>
        <v>40</v>
      </c>
      <c r="D138" s="2">
        <f t="shared" si="13"/>
        <v>45933</v>
      </c>
      <c r="E138" s="1">
        <v>45933.666666666664</v>
      </c>
      <c r="F138" t="s">
        <v>538</v>
      </c>
      <c r="G138" t="s">
        <v>36</v>
      </c>
      <c r="H138" t="s">
        <v>539</v>
      </c>
      <c r="I138" t="s">
        <v>38</v>
      </c>
      <c r="J138" t="s">
        <v>471</v>
      </c>
      <c r="M138" t="s">
        <v>40</v>
      </c>
      <c r="N138" t="s">
        <v>41</v>
      </c>
      <c r="O138" t="s">
        <v>42</v>
      </c>
      <c r="P138">
        <v>36</v>
      </c>
      <c r="Q138">
        <v>0</v>
      </c>
      <c r="R138">
        <v>0</v>
      </c>
      <c r="S138">
        <v>0</v>
      </c>
      <c r="T138" t="s">
        <v>540</v>
      </c>
      <c r="U138" t="s">
        <v>392</v>
      </c>
      <c r="W138" t="s">
        <v>453</v>
      </c>
      <c r="Y138">
        <v>0</v>
      </c>
      <c r="AA138" t="s">
        <v>40</v>
      </c>
      <c r="AB138" t="s">
        <v>46</v>
      </c>
      <c r="AC138" t="s">
        <v>47</v>
      </c>
      <c r="AF138" t="s">
        <v>393</v>
      </c>
      <c r="AJ138" t="s">
        <v>40</v>
      </c>
      <c r="AK138" t="s">
        <v>49</v>
      </c>
      <c r="AO138" s="1">
        <v>45933</v>
      </c>
      <c r="AP138" s="5">
        <v>0.66666666666666663</v>
      </c>
      <c r="AS138">
        <v>1</v>
      </c>
    </row>
    <row r="139" spans="1:45" x14ac:dyDescent="0.2">
      <c r="A139">
        <f t="shared" si="10"/>
        <v>2025</v>
      </c>
      <c r="B139">
        <f t="shared" si="11"/>
        <v>10</v>
      </c>
      <c r="C139">
        <f t="shared" si="12"/>
        <v>40</v>
      </c>
      <c r="D139" s="2">
        <f t="shared" si="13"/>
        <v>45933</v>
      </c>
      <c r="E139" s="1">
        <v>45933.708333333336</v>
      </c>
      <c r="F139" t="s">
        <v>541</v>
      </c>
      <c r="G139" t="s">
        <v>36</v>
      </c>
      <c r="H139">
        <v>447425</v>
      </c>
      <c r="I139" t="s">
        <v>51</v>
      </c>
      <c r="J139" t="s">
        <v>144</v>
      </c>
      <c r="M139" t="s">
        <v>40</v>
      </c>
      <c r="N139" t="s">
        <v>41</v>
      </c>
      <c r="O139" t="s">
        <v>127</v>
      </c>
      <c r="P139">
        <v>33</v>
      </c>
      <c r="Q139">
        <v>0</v>
      </c>
      <c r="R139">
        <v>0</v>
      </c>
      <c r="S139">
        <v>0</v>
      </c>
      <c r="T139" t="s">
        <v>54</v>
      </c>
      <c r="U139" t="s">
        <v>55</v>
      </c>
      <c r="W139" t="s">
        <v>410</v>
      </c>
      <c r="X139" t="s">
        <v>542</v>
      </c>
      <c r="Y139">
        <v>0</v>
      </c>
      <c r="AA139" t="s">
        <v>40</v>
      </c>
      <c r="AB139" t="s">
        <v>46</v>
      </c>
      <c r="AC139" t="s">
        <v>47</v>
      </c>
      <c r="AG139" t="s">
        <v>543</v>
      </c>
      <c r="AJ139" t="s">
        <v>40</v>
      </c>
      <c r="AK139">
        <v>5019081500</v>
      </c>
      <c r="AL139" t="s">
        <v>544</v>
      </c>
      <c r="AM139" t="s">
        <v>545</v>
      </c>
      <c r="AO139" s="1">
        <v>45933</v>
      </c>
      <c r="AP139" s="5">
        <v>0.70833333333333337</v>
      </c>
      <c r="AS139">
        <v>1</v>
      </c>
    </row>
    <row r="140" spans="1:45" x14ac:dyDescent="0.2">
      <c r="A140">
        <f t="shared" si="10"/>
        <v>2025</v>
      </c>
      <c r="B140">
        <f t="shared" si="11"/>
        <v>10</v>
      </c>
      <c r="C140">
        <f t="shared" si="12"/>
        <v>40</v>
      </c>
      <c r="D140" s="2">
        <f t="shared" si="13"/>
        <v>45933</v>
      </c>
      <c r="E140" s="1">
        <v>45933.708333333336</v>
      </c>
      <c r="F140" t="s">
        <v>546</v>
      </c>
      <c r="G140" t="s">
        <v>36</v>
      </c>
      <c r="H140">
        <v>451471</v>
      </c>
      <c r="I140" t="s">
        <v>51</v>
      </c>
      <c r="J140" t="s">
        <v>144</v>
      </c>
      <c r="M140" t="s">
        <v>40</v>
      </c>
      <c r="N140" t="s">
        <v>41</v>
      </c>
      <c r="O140" t="s">
        <v>127</v>
      </c>
      <c r="P140">
        <v>33</v>
      </c>
      <c r="Q140">
        <v>0</v>
      </c>
      <c r="R140">
        <v>0</v>
      </c>
      <c r="S140">
        <v>0</v>
      </c>
      <c r="T140" t="s">
        <v>54</v>
      </c>
      <c r="U140" t="s">
        <v>55</v>
      </c>
      <c r="W140" t="s">
        <v>547</v>
      </c>
      <c r="X140" t="s">
        <v>548</v>
      </c>
      <c r="Y140">
        <v>0</v>
      </c>
      <c r="AA140" t="s">
        <v>40</v>
      </c>
      <c r="AB140" t="s">
        <v>46</v>
      </c>
      <c r="AC140" t="s">
        <v>47</v>
      </c>
      <c r="AG140" t="s">
        <v>549</v>
      </c>
      <c r="AJ140" t="s">
        <v>40</v>
      </c>
      <c r="AK140">
        <v>5019082234</v>
      </c>
      <c r="AL140" t="s">
        <v>550</v>
      </c>
      <c r="AM140" t="s">
        <v>551</v>
      </c>
      <c r="AO140" s="1">
        <v>45933</v>
      </c>
      <c r="AP140" s="5">
        <v>0.70833333333333337</v>
      </c>
      <c r="AS140">
        <v>1</v>
      </c>
    </row>
    <row r="141" spans="1:45" x14ac:dyDescent="0.2">
      <c r="A141">
        <f t="shared" si="10"/>
        <v>2025</v>
      </c>
      <c r="B141">
        <f t="shared" si="11"/>
        <v>10</v>
      </c>
      <c r="C141">
        <f t="shared" si="12"/>
        <v>40</v>
      </c>
      <c r="D141" s="2">
        <f t="shared" si="13"/>
        <v>45933</v>
      </c>
      <c r="E141" s="1">
        <v>45933.708333333336</v>
      </c>
      <c r="F141" t="s">
        <v>552</v>
      </c>
      <c r="G141" t="s">
        <v>36</v>
      </c>
      <c r="H141" t="s">
        <v>553</v>
      </c>
      <c r="I141" t="s">
        <v>78</v>
      </c>
      <c r="J141" t="s">
        <v>200</v>
      </c>
      <c r="M141" t="s">
        <v>40</v>
      </c>
      <c r="N141" t="s">
        <v>41</v>
      </c>
      <c r="O141" t="s">
        <v>554</v>
      </c>
      <c r="P141">
        <v>66</v>
      </c>
      <c r="Q141">
        <v>0</v>
      </c>
      <c r="R141">
        <v>0</v>
      </c>
      <c r="S141">
        <v>0</v>
      </c>
      <c r="T141" t="s">
        <v>54</v>
      </c>
      <c r="U141" t="s">
        <v>55</v>
      </c>
      <c r="W141" t="s">
        <v>437</v>
      </c>
      <c r="Y141">
        <v>0</v>
      </c>
      <c r="AA141" t="s">
        <v>40</v>
      </c>
      <c r="AB141" t="s">
        <v>46</v>
      </c>
      <c r="AC141" t="s">
        <v>47</v>
      </c>
      <c r="AD141" t="s">
        <v>81</v>
      </c>
      <c r="AE141" t="s">
        <v>81</v>
      </c>
      <c r="AG141" t="s">
        <v>555</v>
      </c>
      <c r="AJ141" t="s">
        <v>40</v>
      </c>
      <c r="AK141" t="s">
        <v>556</v>
      </c>
      <c r="AO141" s="1">
        <v>45933</v>
      </c>
      <c r="AP141" s="5">
        <v>0.70833333333333337</v>
      </c>
      <c r="AS141">
        <v>1</v>
      </c>
    </row>
    <row r="142" spans="1:45" x14ac:dyDescent="0.2">
      <c r="A142">
        <f t="shared" si="10"/>
        <v>2025</v>
      </c>
      <c r="B142">
        <f t="shared" si="11"/>
        <v>10</v>
      </c>
      <c r="C142">
        <f t="shared" si="12"/>
        <v>40</v>
      </c>
      <c r="D142" s="2">
        <f t="shared" si="13"/>
        <v>45933</v>
      </c>
      <c r="E142" s="1">
        <v>45933.75</v>
      </c>
      <c r="F142" t="s">
        <v>557</v>
      </c>
      <c r="G142" t="s">
        <v>36</v>
      </c>
      <c r="H142" t="s">
        <v>558</v>
      </c>
      <c r="I142" t="s">
        <v>218</v>
      </c>
      <c r="J142" t="s">
        <v>144</v>
      </c>
      <c r="M142" t="s">
        <v>40</v>
      </c>
      <c r="N142" t="s">
        <v>41</v>
      </c>
      <c r="O142" t="s">
        <v>220</v>
      </c>
      <c r="P142">
        <v>99</v>
      </c>
      <c r="Q142">
        <v>0</v>
      </c>
      <c r="R142">
        <v>0</v>
      </c>
      <c r="S142">
        <v>0</v>
      </c>
      <c r="T142" t="s">
        <v>54</v>
      </c>
      <c r="U142" t="s">
        <v>55</v>
      </c>
      <c r="W142" t="s">
        <v>410</v>
      </c>
      <c r="X142" t="s">
        <v>559</v>
      </c>
      <c r="Y142">
        <v>0</v>
      </c>
      <c r="AA142" t="s">
        <v>40</v>
      </c>
      <c r="AB142" t="s">
        <v>46</v>
      </c>
      <c r="AC142" t="s">
        <v>47</v>
      </c>
      <c r="AD142" t="s">
        <v>223</v>
      </c>
      <c r="AE142" t="s">
        <v>223</v>
      </c>
      <c r="AG142" t="s">
        <v>560</v>
      </c>
      <c r="AJ142" t="s">
        <v>40</v>
      </c>
      <c r="AK142" t="s">
        <v>561</v>
      </c>
      <c r="AL142" t="s">
        <v>562</v>
      </c>
      <c r="AM142" t="s">
        <v>563</v>
      </c>
      <c r="AO142" s="1">
        <v>45933</v>
      </c>
      <c r="AP142" s="5">
        <v>0.75</v>
      </c>
      <c r="AS142">
        <v>1</v>
      </c>
    </row>
    <row r="143" spans="1:45" x14ac:dyDescent="0.2">
      <c r="A143">
        <f t="shared" si="10"/>
        <v>2025</v>
      </c>
      <c r="B143">
        <f t="shared" si="11"/>
        <v>10</v>
      </c>
      <c r="C143">
        <f t="shared" si="12"/>
        <v>40</v>
      </c>
      <c r="D143" s="2">
        <f t="shared" si="13"/>
        <v>45933</v>
      </c>
      <c r="E143" s="1">
        <v>45933.75</v>
      </c>
      <c r="F143" t="s">
        <v>564</v>
      </c>
      <c r="G143" t="s">
        <v>36</v>
      </c>
      <c r="H143">
        <v>447485</v>
      </c>
      <c r="I143" t="s">
        <v>51</v>
      </c>
      <c r="J143" t="s">
        <v>180</v>
      </c>
      <c r="M143" t="s">
        <v>40</v>
      </c>
      <c r="N143" t="s">
        <v>41</v>
      </c>
      <c r="O143" t="s">
        <v>182</v>
      </c>
      <c r="P143">
        <v>33</v>
      </c>
      <c r="Q143">
        <v>0</v>
      </c>
      <c r="R143">
        <v>0</v>
      </c>
      <c r="S143">
        <v>0</v>
      </c>
      <c r="T143" t="s">
        <v>54</v>
      </c>
      <c r="U143" t="s">
        <v>55</v>
      </c>
      <c r="W143" t="s">
        <v>565</v>
      </c>
      <c r="X143" t="s">
        <v>566</v>
      </c>
      <c r="Y143">
        <v>0</v>
      </c>
      <c r="AA143" t="s">
        <v>40</v>
      </c>
      <c r="AB143" t="s">
        <v>46</v>
      </c>
      <c r="AC143" t="s">
        <v>47</v>
      </c>
      <c r="AG143" t="s">
        <v>567</v>
      </c>
      <c r="AJ143" t="s">
        <v>40</v>
      </c>
      <c r="AK143">
        <v>5019081223</v>
      </c>
      <c r="AL143" t="s">
        <v>568</v>
      </c>
      <c r="AO143" s="1">
        <v>45933</v>
      </c>
      <c r="AP143" s="5">
        <v>0.75</v>
      </c>
      <c r="AS143">
        <v>1</v>
      </c>
    </row>
    <row r="144" spans="1:45" x14ac:dyDescent="0.2">
      <c r="A144">
        <f t="shared" si="10"/>
        <v>2025</v>
      </c>
      <c r="B144">
        <f t="shared" si="11"/>
        <v>10</v>
      </c>
      <c r="C144">
        <f t="shared" si="12"/>
        <v>40</v>
      </c>
      <c r="D144" s="2">
        <f t="shared" si="13"/>
        <v>45933</v>
      </c>
      <c r="E144" s="1">
        <v>45933.791666666664</v>
      </c>
      <c r="F144" t="s">
        <v>569</v>
      </c>
      <c r="G144" t="s">
        <v>36</v>
      </c>
      <c r="H144" t="s">
        <v>570</v>
      </c>
      <c r="I144" t="s">
        <v>78</v>
      </c>
      <c r="J144" t="s">
        <v>144</v>
      </c>
      <c r="M144" t="s">
        <v>40</v>
      </c>
      <c r="N144" t="s">
        <v>41</v>
      </c>
      <c r="O144" t="s">
        <v>417</v>
      </c>
      <c r="P144">
        <v>66</v>
      </c>
      <c r="Q144">
        <v>0</v>
      </c>
      <c r="R144">
        <v>0</v>
      </c>
      <c r="S144">
        <v>0</v>
      </c>
      <c r="T144" t="s">
        <v>54</v>
      </c>
      <c r="U144" t="s">
        <v>55</v>
      </c>
      <c r="W144" t="s">
        <v>565</v>
      </c>
      <c r="X144" t="s">
        <v>571</v>
      </c>
      <c r="Y144">
        <v>0</v>
      </c>
      <c r="AA144" t="s">
        <v>40</v>
      </c>
      <c r="AB144" t="s">
        <v>46</v>
      </c>
      <c r="AC144" t="s">
        <v>47</v>
      </c>
      <c r="AD144" t="s">
        <v>81</v>
      </c>
      <c r="AE144" t="s">
        <v>81</v>
      </c>
      <c r="AG144" t="s">
        <v>572</v>
      </c>
      <c r="AJ144" t="s">
        <v>40</v>
      </c>
      <c r="AK144" t="s">
        <v>573</v>
      </c>
      <c r="AL144" t="s">
        <v>574</v>
      </c>
      <c r="AM144" t="s">
        <v>575</v>
      </c>
      <c r="AO144" s="1">
        <v>45933</v>
      </c>
      <c r="AP144" s="5">
        <v>0.79166666666666663</v>
      </c>
      <c r="AS144">
        <v>1</v>
      </c>
    </row>
    <row r="145" spans="1:45" x14ac:dyDescent="0.2">
      <c r="A145">
        <f t="shared" si="10"/>
        <v>2025</v>
      </c>
      <c r="B145">
        <f t="shared" si="11"/>
        <v>10</v>
      </c>
      <c r="C145">
        <f t="shared" si="12"/>
        <v>40</v>
      </c>
      <c r="D145" s="2">
        <f t="shared" si="13"/>
        <v>45933</v>
      </c>
      <c r="E145" s="1">
        <v>45933.791666666664</v>
      </c>
      <c r="F145" t="s">
        <v>576</v>
      </c>
      <c r="G145" t="s">
        <v>36</v>
      </c>
      <c r="H145">
        <v>447458</v>
      </c>
      <c r="I145" t="s">
        <v>51</v>
      </c>
      <c r="J145" t="s">
        <v>144</v>
      </c>
      <c r="M145" t="s">
        <v>40</v>
      </c>
      <c r="N145" t="s">
        <v>41</v>
      </c>
      <c r="O145" t="s">
        <v>155</v>
      </c>
      <c r="P145">
        <v>33</v>
      </c>
      <c r="Q145">
        <v>0</v>
      </c>
      <c r="R145">
        <v>0</v>
      </c>
      <c r="S145">
        <v>0</v>
      </c>
      <c r="T145" t="s">
        <v>54</v>
      </c>
      <c r="U145" t="s">
        <v>55</v>
      </c>
      <c r="W145" t="s">
        <v>577</v>
      </c>
      <c r="Y145">
        <v>0</v>
      </c>
      <c r="AA145" t="s">
        <v>40</v>
      </c>
      <c r="AB145" t="s">
        <v>46</v>
      </c>
      <c r="AC145" t="s">
        <v>47</v>
      </c>
      <c r="AG145" t="s">
        <v>578</v>
      </c>
      <c r="AJ145" t="s">
        <v>40</v>
      </c>
      <c r="AK145">
        <v>5019091681</v>
      </c>
      <c r="AO145" s="1">
        <v>45933</v>
      </c>
      <c r="AP145" s="5">
        <v>0.79166666666666663</v>
      </c>
      <c r="AS145">
        <v>1</v>
      </c>
    </row>
    <row r="146" spans="1:45" x14ac:dyDescent="0.2">
      <c r="A146">
        <f t="shared" si="10"/>
        <v>2025</v>
      </c>
      <c r="B146">
        <f t="shared" si="11"/>
        <v>10</v>
      </c>
      <c r="C146">
        <f t="shared" si="12"/>
        <v>40</v>
      </c>
      <c r="D146" s="2">
        <f t="shared" si="13"/>
        <v>45933</v>
      </c>
      <c r="E146" s="1">
        <v>45933.791666666664</v>
      </c>
      <c r="F146" t="s">
        <v>579</v>
      </c>
      <c r="G146" t="s">
        <v>36</v>
      </c>
      <c r="H146">
        <v>447493</v>
      </c>
      <c r="I146" t="s">
        <v>51</v>
      </c>
      <c r="J146" t="s">
        <v>188</v>
      </c>
      <c r="M146" t="s">
        <v>40</v>
      </c>
      <c r="N146" t="s">
        <v>41</v>
      </c>
      <c r="O146" t="s">
        <v>172</v>
      </c>
      <c r="P146">
        <v>33</v>
      </c>
      <c r="Q146">
        <v>0</v>
      </c>
      <c r="R146">
        <v>0</v>
      </c>
      <c r="S146">
        <v>0</v>
      </c>
      <c r="T146" t="s">
        <v>54</v>
      </c>
      <c r="U146" t="s">
        <v>55</v>
      </c>
      <c r="W146" t="s">
        <v>580</v>
      </c>
      <c r="Y146">
        <v>0</v>
      </c>
      <c r="AA146" t="s">
        <v>40</v>
      </c>
      <c r="AB146" t="s">
        <v>46</v>
      </c>
      <c r="AC146" t="s">
        <v>47</v>
      </c>
      <c r="AG146" t="s">
        <v>581</v>
      </c>
      <c r="AJ146" t="s">
        <v>40</v>
      </c>
      <c r="AK146">
        <v>5019087408</v>
      </c>
      <c r="AO146" s="1">
        <v>45933</v>
      </c>
      <c r="AP146" s="5">
        <v>0.79166666666666663</v>
      </c>
      <c r="AS146">
        <v>1</v>
      </c>
    </row>
    <row r="147" spans="1:45" x14ac:dyDescent="0.2">
      <c r="A147">
        <f t="shared" si="10"/>
        <v>2025</v>
      </c>
      <c r="B147">
        <f t="shared" si="11"/>
        <v>10</v>
      </c>
      <c r="C147">
        <f t="shared" si="12"/>
        <v>40</v>
      </c>
      <c r="D147" s="2">
        <f t="shared" si="13"/>
        <v>45933</v>
      </c>
      <c r="E147" s="1">
        <v>45933.833333333336</v>
      </c>
      <c r="F147" t="s">
        <v>582</v>
      </c>
      <c r="G147" t="s">
        <v>36</v>
      </c>
      <c r="H147">
        <v>447484</v>
      </c>
      <c r="I147" t="s">
        <v>51</v>
      </c>
      <c r="J147" t="s">
        <v>144</v>
      </c>
      <c r="M147" t="s">
        <v>40</v>
      </c>
      <c r="N147" t="s">
        <v>41</v>
      </c>
      <c r="O147" t="s">
        <v>90</v>
      </c>
      <c r="P147">
        <v>33</v>
      </c>
      <c r="Q147">
        <v>0</v>
      </c>
      <c r="R147">
        <v>0</v>
      </c>
      <c r="S147">
        <v>0</v>
      </c>
      <c r="T147" t="s">
        <v>54</v>
      </c>
      <c r="U147" t="s">
        <v>55</v>
      </c>
      <c r="W147" t="s">
        <v>410</v>
      </c>
      <c r="X147" t="s">
        <v>583</v>
      </c>
      <c r="Y147">
        <v>0</v>
      </c>
      <c r="AA147" t="s">
        <v>40</v>
      </c>
      <c r="AB147" t="s">
        <v>46</v>
      </c>
      <c r="AC147" t="s">
        <v>47</v>
      </c>
      <c r="AG147" t="s">
        <v>584</v>
      </c>
      <c r="AJ147" t="s">
        <v>40</v>
      </c>
      <c r="AK147">
        <v>5019082493</v>
      </c>
      <c r="AL147" t="s">
        <v>585</v>
      </c>
      <c r="AM147" t="s">
        <v>586</v>
      </c>
      <c r="AO147" s="1">
        <v>45933</v>
      </c>
      <c r="AP147" s="5">
        <v>0.83333333333333337</v>
      </c>
      <c r="AS147">
        <v>1</v>
      </c>
    </row>
    <row r="148" spans="1:45" x14ac:dyDescent="0.2">
      <c r="A148">
        <f t="shared" si="10"/>
        <v>2025</v>
      </c>
      <c r="B148">
        <f t="shared" si="11"/>
        <v>10</v>
      </c>
      <c r="C148">
        <f t="shared" si="12"/>
        <v>40</v>
      </c>
      <c r="D148" s="2">
        <f t="shared" si="13"/>
        <v>45933</v>
      </c>
      <c r="E148" s="1">
        <v>45933.916666666664</v>
      </c>
      <c r="F148" t="s">
        <v>587</v>
      </c>
      <c r="G148" t="s">
        <v>36</v>
      </c>
      <c r="H148" t="s">
        <v>253</v>
      </c>
      <c r="I148" t="s">
        <v>38</v>
      </c>
      <c r="J148" t="s">
        <v>254</v>
      </c>
      <c r="M148" t="s">
        <v>40</v>
      </c>
      <c r="N148" t="s">
        <v>41</v>
      </c>
      <c r="O148" t="s">
        <v>42</v>
      </c>
      <c r="P148">
        <v>1</v>
      </c>
      <c r="Q148">
        <v>0</v>
      </c>
      <c r="R148">
        <v>0</v>
      </c>
      <c r="S148">
        <v>0</v>
      </c>
      <c r="T148">
        <v>5019112802</v>
      </c>
      <c r="U148" t="s">
        <v>101</v>
      </c>
      <c r="W148" t="s">
        <v>588</v>
      </c>
      <c r="Y148">
        <v>0</v>
      </c>
      <c r="AA148" t="s">
        <v>40</v>
      </c>
      <c r="AB148" t="s">
        <v>46</v>
      </c>
      <c r="AC148" t="s">
        <v>47</v>
      </c>
      <c r="AF148" t="s">
        <v>48</v>
      </c>
      <c r="AJ148" t="s">
        <v>40</v>
      </c>
      <c r="AK148" t="s">
        <v>49</v>
      </c>
      <c r="AO148" s="1">
        <v>45933</v>
      </c>
      <c r="AP148" s="5">
        <v>0.91666666666666663</v>
      </c>
      <c r="AS148">
        <v>1</v>
      </c>
    </row>
    <row r="149" spans="1:45" x14ac:dyDescent="0.2">
      <c r="A149">
        <f t="shared" si="10"/>
        <v>2025</v>
      </c>
      <c r="B149">
        <f t="shared" si="11"/>
        <v>10</v>
      </c>
      <c r="C149">
        <f t="shared" si="12"/>
        <v>41</v>
      </c>
      <c r="D149" s="2">
        <f t="shared" si="13"/>
        <v>45936</v>
      </c>
      <c r="E149" s="1">
        <v>45936.25</v>
      </c>
      <c r="F149" t="s">
        <v>589</v>
      </c>
      <c r="G149" t="s">
        <v>36</v>
      </c>
      <c r="H149">
        <v>450188</v>
      </c>
      <c r="I149" t="s">
        <v>51</v>
      </c>
      <c r="J149" t="s">
        <v>52</v>
      </c>
      <c r="M149" t="s">
        <v>40</v>
      </c>
      <c r="N149" t="s">
        <v>41</v>
      </c>
      <c r="O149" t="s">
        <v>53</v>
      </c>
      <c r="P149">
        <v>33</v>
      </c>
      <c r="Q149">
        <v>0</v>
      </c>
      <c r="R149">
        <v>0</v>
      </c>
      <c r="S149">
        <v>0</v>
      </c>
      <c r="T149" t="s">
        <v>54</v>
      </c>
      <c r="U149" t="s">
        <v>233</v>
      </c>
      <c r="W149" t="s">
        <v>424</v>
      </c>
      <c r="Y149">
        <v>0</v>
      </c>
      <c r="AA149" t="s">
        <v>40</v>
      </c>
      <c r="AB149" t="s">
        <v>46</v>
      </c>
      <c r="AC149" t="s">
        <v>47</v>
      </c>
      <c r="AG149" t="s">
        <v>590</v>
      </c>
      <c r="AJ149" t="s">
        <v>40</v>
      </c>
      <c r="AK149">
        <v>5019090732</v>
      </c>
      <c r="AO149" s="1">
        <v>45936</v>
      </c>
      <c r="AP149" s="5">
        <v>0.25</v>
      </c>
      <c r="AS149">
        <v>1</v>
      </c>
    </row>
    <row r="150" spans="1:45" x14ac:dyDescent="0.2">
      <c r="A150">
        <f t="shared" si="10"/>
        <v>2025</v>
      </c>
      <c r="B150">
        <f t="shared" si="11"/>
        <v>10</v>
      </c>
      <c r="C150">
        <f t="shared" si="12"/>
        <v>41</v>
      </c>
      <c r="D150" s="2">
        <f t="shared" si="13"/>
        <v>45936</v>
      </c>
      <c r="E150" s="1">
        <v>45936.25</v>
      </c>
      <c r="F150" t="s">
        <v>591</v>
      </c>
      <c r="G150" t="s">
        <v>36</v>
      </c>
      <c r="H150">
        <v>454251</v>
      </c>
      <c r="I150" t="s">
        <v>51</v>
      </c>
      <c r="J150" t="s">
        <v>144</v>
      </c>
      <c r="M150" t="s">
        <v>40</v>
      </c>
      <c r="N150" t="s">
        <v>41</v>
      </c>
      <c r="O150" t="s">
        <v>53</v>
      </c>
      <c r="P150">
        <v>33</v>
      </c>
      <c r="Q150">
        <v>0</v>
      </c>
      <c r="R150">
        <v>0</v>
      </c>
      <c r="S150">
        <v>0</v>
      </c>
      <c r="T150" t="s">
        <v>54</v>
      </c>
      <c r="U150" t="s">
        <v>55</v>
      </c>
      <c r="W150" t="s">
        <v>592</v>
      </c>
      <c r="X150" t="s">
        <v>593</v>
      </c>
      <c r="Y150">
        <v>0</v>
      </c>
      <c r="AA150" t="s">
        <v>40</v>
      </c>
      <c r="AB150" t="s">
        <v>46</v>
      </c>
      <c r="AC150" t="s">
        <v>47</v>
      </c>
      <c r="AG150" t="s">
        <v>594</v>
      </c>
      <c r="AJ150" t="s">
        <v>40</v>
      </c>
      <c r="AK150">
        <v>5019101567</v>
      </c>
      <c r="AL150" t="s">
        <v>595</v>
      </c>
      <c r="AM150" t="s">
        <v>596</v>
      </c>
      <c r="AO150" s="1">
        <v>45936</v>
      </c>
      <c r="AP150" s="5">
        <v>0.25</v>
      </c>
      <c r="AS150">
        <v>1</v>
      </c>
    </row>
    <row r="151" spans="1:45" x14ac:dyDescent="0.2">
      <c r="A151">
        <f t="shared" si="10"/>
        <v>2025</v>
      </c>
      <c r="B151">
        <f t="shared" si="11"/>
        <v>10</v>
      </c>
      <c r="C151">
        <f t="shared" si="12"/>
        <v>41</v>
      </c>
      <c r="D151" s="2">
        <f t="shared" si="13"/>
        <v>45936</v>
      </c>
      <c r="E151" s="1">
        <v>45936.25</v>
      </c>
      <c r="F151" t="s">
        <v>597</v>
      </c>
      <c r="G151" t="s">
        <v>36</v>
      </c>
      <c r="H151">
        <v>455589</v>
      </c>
      <c r="I151" t="s">
        <v>51</v>
      </c>
      <c r="J151" t="s">
        <v>52</v>
      </c>
      <c r="M151" t="s">
        <v>40</v>
      </c>
      <c r="N151" t="s">
        <v>41</v>
      </c>
      <c r="O151" t="s">
        <v>53</v>
      </c>
      <c r="P151">
        <v>33</v>
      </c>
      <c r="Q151">
        <v>0</v>
      </c>
      <c r="R151">
        <v>0</v>
      </c>
      <c r="S151">
        <v>0</v>
      </c>
      <c r="T151" t="s">
        <v>54</v>
      </c>
      <c r="U151" t="s">
        <v>55</v>
      </c>
      <c r="W151" t="s">
        <v>598</v>
      </c>
      <c r="Y151">
        <v>0</v>
      </c>
      <c r="AA151" t="s">
        <v>40</v>
      </c>
      <c r="AB151" t="s">
        <v>46</v>
      </c>
      <c r="AC151" t="s">
        <v>47</v>
      </c>
      <c r="AG151" t="s">
        <v>599</v>
      </c>
      <c r="AJ151" t="s">
        <v>40</v>
      </c>
      <c r="AK151">
        <v>5018985823</v>
      </c>
      <c r="AO151" s="1">
        <v>45936</v>
      </c>
      <c r="AP151" s="5">
        <v>0.25</v>
      </c>
      <c r="AS151">
        <v>1</v>
      </c>
    </row>
    <row r="152" spans="1:45" x14ac:dyDescent="0.2">
      <c r="A152">
        <f t="shared" si="10"/>
        <v>2025</v>
      </c>
      <c r="B152">
        <f t="shared" si="11"/>
        <v>10</v>
      </c>
      <c r="C152">
        <f t="shared" si="12"/>
        <v>41</v>
      </c>
      <c r="D152" s="2">
        <f t="shared" si="13"/>
        <v>45936</v>
      </c>
      <c r="E152" s="1">
        <v>45936.291666666664</v>
      </c>
      <c r="F152" t="s">
        <v>600</v>
      </c>
      <c r="G152" t="s">
        <v>36</v>
      </c>
      <c r="H152">
        <v>454249</v>
      </c>
      <c r="I152" t="s">
        <v>51</v>
      </c>
      <c r="J152" t="s">
        <v>52</v>
      </c>
      <c r="M152" t="s">
        <v>40</v>
      </c>
      <c r="N152" t="s">
        <v>41</v>
      </c>
      <c r="O152" t="s">
        <v>476</v>
      </c>
      <c r="P152">
        <v>33</v>
      </c>
      <c r="Q152">
        <v>0</v>
      </c>
      <c r="R152">
        <v>0</v>
      </c>
      <c r="S152">
        <v>0</v>
      </c>
      <c r="T152" t="s">
        <v>54</v>
      </c>
      <c r="U152" t="s">
        <v>55</v>
      </c>
      <c r="W152" t="s">
        <v>601</v>
      </c>
      <c r="Y152">
        <v>0</v>
      </c>
      <c r="AA152" t="s">
        <v>40</v>
      </c>
      <c r="AB152" t="s">
        <v>46</v>
      </c>
      <c r="AC152" t="s">
        <v>47</v>
      </c>
      <c r="AG152" t="s">
        <v>602</v>
      </c>
      <c r="AJ152" t="s">
        <v>40</v>
      </c>
      <c r="AK152">
        <v>5019046165</v>
      </c>
      <c r="AO152" s="1">
        <v>45936</v>
      </c>
      <c r="AP152" s="5">
        <v>0.29166666666666669</v>
      </c>
      <c r="AS152">
        <v>1</v>
      </c>
    </row>
    <row r="153" spans="1:45" x14ac:dyDescent="0.2">
      <c r="A153">
        <f t="shared" si="10"/>
        <v>2025</v>
      </c>
      <c r="B153">
        <f t="shared" si="11"/>
        <v>10</v>
      </c>
      <c r="C153">
        <f t="shared" si="12"/>
        <v>41</v>
      </c>
      <c r="D153" s="2">
        <f t="shared" si="13"/>
        <v>45936</v>
      </c>
      <c r="E153" s="1">
        <v>45936.291666666664</v>
      </c>
      <c r="F153" t="s">
        <v>603</v>
      </c>
      <c r="G153" t="s">
        <v>36</v>
      </c>
      <c r="H153">
        <v>452200</v>
      </c>
      <c r="I153" t="s">
        <v>51</v>
      </c>
      <c r="J153" t="s">
        <v>194</v>
      </c>
      <c r="M153" t="s">
        <v>40</v>
      </c>
      <c r="N153" t="s">
        <v>41</v>
      </c>
      <c r="O153" t="s">
        <v>189</v>
      </c>
      <c r="P153">
        <v>33</v>
      </c>
      <c r="Q153">
        <v>0</v>
      </c>
      <c r="R153">
        <v>0</v>
      </c>
      <c r="S153">
        <v>0</v>
      </c>
      <c r="T153" t="s">
        <v>54</v>
      </c>
      <c r="U153" t="s">
        <v>55</v>
      </c>
      <c r="W153" t="s">
        <v>604</v>
      </c>
      <c r="Y153">
        <v>0</v>
      </c>
      <c r="AA153" t="s">
        <v>40</v>
      </c>
      <c r="AB153" t="s">
        <v>46</v>
      </c>
      <c r="AC153" t="s">
        <v>47</v>
      </c>
      <c r="AG153" t="s">
        <v>605</v>
      </c>
      <c r="AJ153" t="s">
        <v>40</v>
      </c>
      <c r="AK153">
        <v>5019104240</v>
      </c>
      <c r="AO153" s="1">
        <v>45936</v>
      </c>
      <c r="AP153" s="5">
        <v>0.29166666666666669</v>
      </c>
      <c r="AS153">
        <v>1</v>
      </c>
    </row>
    <row r="154" spans="1:45" x14ac:dyDescent="0.2">
      <c r="A154">
        <f t="shared" si="10"/>
        <v>2025</v>
      </c>
      <c r="B154">
        <f t="shared" si="11"/>
        <v>10</v>
      </c>
      <c r="C154">
        <f t="shared" si="12"/>
        <v>41</v>
      </c>
      <c r="D154" s="2">
        <f t="shared" si="13"/>
        <v>45936</v>
      </c>
      <c r="E154" s="1">
        <v>45936.291666666664</v>
      </c>
      <c r="F154" t="s">
        <v>606</v>
      </c>
      <c r="G154" t="s">
        <v>36</v>
      </c>
      <c r="H154">
        <v>455138</v>
      </c>
      <c r="I154" t="s">
        <v>51</v>
      </c>
      <c r="J154" t="s">
        <v>219</v>
      </c>
      <c r="M154" t="s">
        <v>40</v>
      </c>
      <c r="N154" t="s">
        <v>41</v>
      </c>
      <c r="O154" t="s">
        <v>436</v>
      </c>
      <c r="P154">
        <v>22</v>
      </c>
      <c r="Q154">
        <v>0</v>
      </c>
      <c r="R154">
        <v>0</v>
      </c>
      <c r="S154">
        <v>0</v>
      </c>
      <c r="T154" t="s">
        <v>54</v>
      </c>
      <c r="U154" t="s">
        <v>392</v>
      </c>
      <c r="W154" t="s">
        <v>607</v>
      </c>
      <c r="X154" t="s">
        <v>608</v>
      </c>
      <c r="Y154">
        <v>0</v>
      </c>
      <c r="AA154" t="s">
        <v>40</v>
      </c>
      <c r="AB154" t="s">
        <v>46</v>
      </c>
      <c r="AC154" t="s">
        <v>47</v>
      </c>
      <c r="AG154" t="s">
        <v>609</v>
      </c>
      <c r="AJ154" t="s">
        <v>40</v>
      </c>
      <c r="AK154">
        <v>5019101724</v>
      </c>
      <c r="AL154" t="s">
        <v>610</v>
      </c>
      <c r="AM154" t="s">
        <v>611</v>
      </c>
      <c r="AO154" s="1">
        <v>45936</v>
      </c>
      <c r="AP154" s="5">
        <v>0.29166666666666669</v>
      </c>
      <c r="AS154">
        <v>1</v>
      </c>
    </row>
    <row r="155" spans="1:45" x14ac:dyDescent="0.2">
      <c r="A155">
        <f t="shared" si="10"/>
        <v>2025</v>
      </c>
      <c r="B155">
        <f t="shared" si="11"/>
        <v>10</v>
      </c>
      <c r="C155">
        <f t="shared" si="12"/>
        <v>41</v>
      </c>
      <c r="D155" s="2">
        <f t="shared" si="13"/>
        <v>45936</v>
      </c>
      <c r="E155" s="1">
        <v>45936.291666666664</v>
      </c>
      <c r="F155" t="s">
        <v>612</v>
      </c>
      <c r="G155" t="s">
        <v>36</v>
      </c>
      <c r="H155" t="s">
        <v>111</v>
      </c>
      <c r="I155" t="s">
        <v>38</v>
      </c>
      <c r="J155" t="s">
        <v>99</v>
      </c>
      <c r="M155" t="s">
        <v>40</v>
      </c>
      <c r="N155" t="s">
        <v>41</v>
      </c>
      <c r="O155" t="s">
        <v>42</v>
      </c>
      <c r="P155">
        <v>23</v>
      </c>
      <c r="Q155">
        <v>0</v>
      </c>
      <c r="R155">
        <v>0</v>
      </c>
      <c r="S155">
        <v>0</v>
      </c>
      <c r="T155" t="s">
        <v>502</v>
      </c>
      <c r="U155" t="s">
        <v>233</v>
      </c>
      <c r="W155" t="s">
        <v>613</v>
      </c>
      <c r="Y155">
        <v>0</v>
      </c>
      <c r="AA155" t="s">
        <v>40</v>
      </c>
      <c r="AB155" t="s">
        <v>46</v>
      </c>
      <c r="AC155" t="s">
        <v>47</v>
      </c>
      <c r="AF155" t="s">
        <v>48</v>
      </c>
      <c r="AJ155" t="s">
        <v>40</v>
      </c>
      <c r="AK155" t="s">
        <v>49</v>
      </c>
      <c r="AO155" s="1">
        <v>45936</v>
      </c>
      <c r="AP155" s="5">
        <v>0.29166666666666669</v>
      </c>
      <c r="AS155">
        <v>1</v>
      </c>
    </row>
    <row r="156" spans="1:45" x14ac:dyDescent="0.2">
      <c r="A156">
        <f t="shared" si="10"/>
        <v>2025</v>
      </c>
      <c r="B156">
        <f t="shared" si="11"/>
        <v>10</v>
      </c>
      <c r="C156">
        <f t="shared" si="12"/>
        <v>41</v>
      </c>
      <c r="D156" s="2">
        <f t="shared" si="13"/>
        <v>45936</v>
      </c>
      <c r="E156" s="1">
        <v>45936.333333333336</v>
      </c>
      <c r="F156" t="s">
        <v>614</v>
      </c>
      <c r="G156" t="s">
        <v>36</v>
      </c>
      <c r="H156" t="s">
        <v>37</v>
      </c>
      <c r="I156" t="s">
        <v>38</v>
      </c>
      <c r="J156" t="s">
        <v>39</v>
      </c>
      <c r="M156" t="s">
        <v>40</v>
      </c>
      <c r="N156" t="s">
        <v>41</v>
      </c>
      <c r="O156" t="s">
        <v>42</v>
      </c>
      <c r="P156">
        <v>12</v>
      </c>
      <c r="Q156">
        <v>0</v>
      </c>
      <c r="R156">
        <v>0</v>
      </c>
      <c r="S156">
        <v>0</v>
      </c>
      <c r="T156" t="s">
        <v>615</v>
      </c>
      <c r="U156" t="s">
        <v>44</v>
      </c>
      <c r="W156" t="s">
        <v>613</v>
      </c>
      <c r="Y156">
        <v>0</v>
      </c>
      <c r="AA156" t="s">
        <v>40</v>
      </c>
      <c r="AB156" t="s">
        <v>46</v>
      </c>
      <c r="AC156" t="s">
        <v>47</v>
      </c>
      <c r="AF156" t="s">
        <v>48</v>
      </c>
      <c r="AJ156" t="s">
        <v>40</v>
      </c>
      <c r="AK156" t="s">
        <v>49</v>
      </c>
      <c r="AO156" s="1">
        <v>45936</v>
      </c>
      <c r="AP156" s="5">
        <v>0.33333333333333331</v>
      </c>
      <c r="AS156">
        <v>1</v>
      </c>
    </row>
    <row r="157" spans="1:45" x14ac:dyDescent="0.2">
      <c r="A157">
        <f t="shared" si="10"/>
        <v>2025</v>
      </c>
      <c r="B157">
        <f t="shared" si="11"/>
        <v>10</v>
      </c>
      <c r="C157">
        <f t="shared" si="12"/>
        <v>41</v>
      </c>
      <c r="D157" s="2">
        <f t="shared" si="13"/>
        <v>45936</v>
      </c>
      <c r="E157" s="1">
        <v>45936.333333333336</v>
      </c>
      <c r="F157" t="s">
        <v>616</v>
      </c>
      <c r="G157" t="s">
        <v>36</v>
      </c>
      <c r="H157">
        <v>452212</v>
      </c>
      <c r="I157" t="s">
        <v>51</v>
      </c>
      <c r="J157" t="s">
        <v>52</v>
      </c>
      <c r="M157" t="s">
        <v>40</v>
      </c>
      <c r="N157" t="s">
        <v>41</v>
      </c>
      <c r="O157" t="s">
        <v>433</v>
      </c>
      <c r="P157">
        <v>33</v>
      </c>
      <c r="Q157">
        <v>0</v>
      </c>
      <c r="R157">
        <v>0</v>
      </c>
      <c r="S157">
        <v>0</v>
      </c>
      <c r="T157" t="s">
        <v>54</v>
      </c>
      <c r="U157" t="s">
        <v>55</v>
      </c>
      <c r="W157" t="s">
        <v>617</v>
      </c>
      <c r="Y157">
        <v>0</v>
      </c>
      <c r="AA157" t="s">
        <v>40</v>
      </c>
      <c r="AB157" t="s">
        <v>46</v>
      </c>
      <c r="AC157" t="s">
        <v>47</v>
      </c>
      <c r="AG157" t="s">
        <v>618</v>
      </c>
      <c r="AJ157" t="s">
        <v>40</v>
      </c>
      <c r="AK157">
        <v>5019083116</v>
      </c>
      <c r="AO157" s="1">
        <v>45936</v>
      </c>
      <c r="AP157" s="5">
        <v>0.33333333333333331</v>
      </c>
      <c r="AS157">
        <v>1</v>
      </c>
    </row>
    <row r="158" spans="1:45" x14ac:dyDescent="0.2">
      <c r="A158">
        <f t="shared" si="10"/>
        <v>2025</v>
      </c>
      <c r="B158">
        <f t="shared" si="11"/>
        <v>10</v>
      </c>
      <c r="C158">
        <f t="shared" si="12"/>
        <v>41</v>
      </c>
      <c r="D158" s="2">
        <f t="shared" si="13"/>
        <v>45936</v>
      </c>
      <c r="E158" s="1">
        <v>45936.333333333336</v>
      </c>
      <c r="F158" t="s">
        <v>619</v>
      </c>
      <c r="G158" t="s">
        <v>36</v>
      </c>
      <c r="H158">
        <v>455129</v>
      </c>
      <c r="I158" t="s">
        <v>51</v>
      </c>
      <c r="J158" t="s">
        <v>219</v>
      </c>
      <c r="M158" t="s">
        <v>40</v>
      </c>
      <c r="N158" t="s">
        <v>41</v>
      </c>
      <c r="O158" t="s">
        <v>436</v>
      </c>
      <c r="P158">
        <v>19</v>
      </c>
      <c r="Q158">
        <v>0</v>
      </c>
      <c r="R158">
        <v>0</v>
      </c>
      <c r="S158">
        <v>0</v>
      </c>
      <c r="T158" t="s">
        <v>54</v>
      </c>
      <c r="U158" t="s">
        <v>392</v>
      </c>
      <c r="W158" t="s">
        <v>620</v>
      </c>
      <c r="X158" t="s">
        <v>621</v>
      </c>
      <c r="Y158">
        <v>0</v>
      </c>
      <c r="AA158" t="s">
        <v>40</v>
      </c>
      <c r="AB158" t="s">
        <v>46</v>
      </c>
      <c r="AC158" t="s">
        <v>47</v>
      </c>
      <c r="AG158" t="s">
        <v>622</v>
      </c>
      <c r="AJ158" t="s">
        <v>40</v>
      </c>
      <c r="AK158">
        <v>5019102570</v>
      </c>
      <c r="AL158" t="s">
        <v>623</v>
      </c>
      <c r="AM158" t="s">
        <v>624</v>
      </c>
      <c r="AO158" s="1">
        <v>45936</v>
      </c>
      <c r="AP158" s="5">
        <v>0.33333333333333331</v>
      </c>
      <c r="AS158">
        <v>1</v>
      </c>
    </row>
    <row r="159" spans="1:45" x14ac:dyDescent="0.2">
      <c r="A159">
        <f t="shared" si="10"/>
        <v>2025</v>
      </c>
      <c r="B159">
        <f t="shared" si="11"/>
        <v>10</v>
      </c>
      <c r="C159">
        <f t="shared" si="12"/>
        <v>41</v>
      </c>
      <c r="D159" s="2">
        <f t="shared" si="13"/>
        <v>45936</v>
      </c>
      <c r="E159" s="1">
        <v>45936.333333333336</v>
      </c>
      <c r="F159" t="s">
        <v>625</v>
      </c>
      <c r="G159" t="s">
        <v>36</v>
      </c>
      <c r="H159" t="s">
        <v>626</v>
      </c>
      <c r="I159" t="s">
        <v>38</v>
      </c>
      <c r="J159" t="s">
        <v>451</v>
      </c>
      <c r="M159" t="s">
        <v>40</v>
      </c>
      <c r="N159" t="s">
        <v>41</v>
      </c>
      <c r="O159" t="s">
        <v>42</v>
      </c>
      <c r="P159">
        <v>23</v>
      </c>
      <c r="Q159">
        <v>0</v>
      </c>
      <c r="R159">
        <v>0</v>
      </c>
      <c r="S159">
        <v>0</v>
      </c>
      <c r="T159" t="s">
        <v>627</v>
      </c>
      <c r="U159" t="s">
        <v>44</v>
      </c>
      <c r="W159" t="s">
        <v>613</v>
      </c>
      <c r="Y159">
        <v>0</v>
      </c>
      <c r="AA159" t="s">
        <v>40</v>
      </c>
      <c r="AB159" t="s">
        <v>46</v>
      </c>
      <c r="AC159" t="s">
        <v>47</v>
      </c>
      <c r="AF159" t="s">
        <v>48</v>
      </c>
      <c r="AJ159" t="s">
        <v>40</v>
      </c>
      <c r="AK159" t="s">
        <v>49</v>
      </c>
      <c r="AO159" s="1">
        <v>45936</v>
      </c>
      <c r="AP159" s="5">
        <v>0.33333333333333331</v>
      </c>
      <c r="AS159">
        <v>1</v>
      </c>
    </row>
    <row r="160" spans="1:45" x14ac:dyDescent="0.2">
      <c r="A160">
        <f t="shared" si="10"/>
        <v>2025</v>
      </c>
      <c r="B160">
        <f t="shared" si="11"/>
        <v>10</v>
      </c>
      <c r="C160">
        <f t="shared" si="12"/>
        <v>41</v>
      </c>
      <c r="D160" s="2">
        <f t="shared" si="13"/>
        <v>45936</v>
      </c>
      <c r="E160" s="1">
        <v>45936.375</v>
      </c>
      <c r="F160" t="s">
        <v>628</v>
      </c>
      <c r="G160" t="s">
        <v>36</v>
      </c>
      <c r="H160" t="s">
        <v>264</v>
      </c>
      <c r="I160" t="s">
        <v>38</v>
      </c>
      <c r="J160" t="s">
        <v>265</v>
      </c>
      <c r="M160" t="s">
        <v>40</v>
      </c>
      <c r="N160" t="s">
        <v>41</v>
      </c>
      <c r="O160" t="s">
        <v>42</v>
      </c>
      <c r="P160">
        <v>23</v>
      </c>
      <c r="Q160">
        <v>0</v>
      </c>
      <c r="R160">
        <v>0</v>
      </c>
      <c r="S160">
        <v>0</v>
      </c>
      <c r="T160" t="s">
        <v>629</v>
      </c>
      <c r="U160" t="s">
        <v>55</v>
      </c>
      <c r="W160" t="s">
        <v>613</v>
      </c>
      <c r="Y160">
        <v>0</v>
      </c>
      <c r="AA160" t="s">
        <v>40</v>
      </c>
      <c r="AB160" t="s">
        <v>46</v>
      </c>
      <c r="AC160" t="s">
        <v>47</v>
      </c>
      <c r="AF160" t="s">
        <v>48</v>
      </c>
      <c r="AJ160" t="s">
        <v>40</v>
      </c>
      <c r="AK160" t="s">
        <v>49</v>
      </c>
      <c r="AO160" s="1">
        <v>45936</v>
      </c>
      <c r="AP160" s="5">
        <v>0.375</v>
      </c>
      <c r="AS160">
        <v>1</v>
      </c>
    </row>
    <row r="161" spans="1:45" x14ac:dyDescent="0.2">
      <c r="A161">
        <f t="shared" si="10"/>
        <v>2025</v>
      </c>
      <c r="B161">
        <f t="shared" si="11"/>
        <v>10</v>
      </c>
      <c r="C161">
        <f t="shared" si="12"/>
        <v>41</v>
      </c>
      <c r="D161" s="2">
        <f t="shared" si="13"/>
        <v>45936</v>
      </c>
      <c r="E161" s="1">
        <v>45936.375</v>
      </c>
      <c r="F161" t="s">
        <v>630</v>
      </c>
      <c r="G161" t="s">
        <v>36</v>
      </c>
      <c r="H161" t="s">
        <v>347</v>
      </c>
      <c r="I161" t="s">
        <v>38</v>
      </c>
      <c r="J161" t="s">
        <v>348</v>
      </c>
      <c r="M161" t="s">
        <v>40</v>
      </c>
      <c r="N161" t="s">
        <v>41</v>
      </c>
      <c r="O161" t="s">
        <v>42</v>
      </c>
      <c r="P161">
        <v>17</v>
      </c>
      <c r="Q161">
        <v>0</v>
      </c>
      <c r="R161">
        <v>0</v>
      </c>
      <c r="S161">
        <v>0</v>
      </c>
      <c r="T161" t="s">
        <v>631</v>
      </c>
      <c r="U161" t="s">
        <v>44</v>
      </c>
      <c r="W161" t="s">
        <v>604</v>
      </c>
      <c r="Y161">
        <v>0</v>
      </c>
      <c r="AA161" t="s">
        <v>40</v>
      </c>
      <c r="AB161" t="s">
        <v>46</v>
      </c>
      <c r="AC161" t="s">
        <v>47</v>
      </c>
      <c r="AF161" t="s">
        <v>350</v>
      </c>
      <c r="AJ161" t="s">
        <v>40</v>
      </c>
      <c r="AK161" t="s">
        <v>49</v>
      </c>
      <c r="AO161" s="1">
        <v>45936</v>
      </c>
      <c r="AP161" s="5">
        <v>0.375</v>
      </c>
      <c r="AS161">
        <v>1</v>
      </c>
    </row>
    <row r="162" spans="1:45" x14ac:dyDescent="0.2">
      <c r="A162">
        <f t="shared" si="10"/>
        <v>2025</v>
      </c>
      <c r="B162">
        <f t="shared" si="11"/>
        <v>10</v>
      </c>
      <c r="C162">
        <f t="shared" si="12"/>
        <v>41</v>
      </c>
      <c r="D162" s="2">
        <f t="shared" si="13"/>
        <v>45936</v>
      </c>
      <c r="E162" s="1">
        <v>45936.375</v>
      </c>
      <c r="F162" t="s">
        <v>632</v>
      </c>
      <c r="G162" t="s">
        <v>36</v>
      </c>
      <c r="H162" t="s">
        <v>37</v>
      </c>
      <c r="I162" t="s">
        <v>38</v>
      </c>
      <c r="J162" t="s">
        <v>99</v>
      </c>
      <c r="M162" t="s">
        <v>40</v>
      </c>
      <c r="N162" t="s">
        <v>41</v>
      </c>
      <c r="O162" t="s">
        <v>42</v>
      </c>
      <c r="P162">
        <v>23</v>
      </c>
      <c r="Q162">
        <v>0</v>
      </c>
      <c r="R162">
        <v>0</v>
      </c>
      <c r="S162">
        <v>0</v>
      </c>
      <c r="T162" t="s">
        <v>633</v>
      </c>
      <c r="U162" t="s">
        <v>44</v>
      </c>
      <c r="W162" t="s">
        <v>613</v>
      </c>
      <c r="Y162">
        <v>0</v>
      </c>
      <c r="AA162" t="s">
        <v>40</v>
      </c>
      <c r="AB162" t="s">
        <v>46</v>
      </c>
      <c r="AC162" t="s">
        <v>47</v>
      </c>
      <c r="AF162" t="s">
        <v>48</v>
      </c>
      <c r="AJ162" t="s">
        <v>40</v>
      </c>
      <c r="AK162" t="s">
        <v>49</v>
      </c>
      <c r="AO162" s="1">
        <v>45936</v>
      </c>
      <c r="AP162" s="5">
        <v>0.375</v>
      </c>
      <c r="AS162">
        <v>1</v>
      </c>
    </row>
    <row r="163" spans="1:45" x14ac:dyDescent="0.2">
      <c r="A163">
        <f t="shared" si="10"/>
        <v>2025</v>
      </c>
      <c r="B163">
        <f t="shared" si="11"/>
        <v>10</v>
      </c>
      <c r="C163">
        <f t="shared" si="12"/>
        <v>41</v>
      </c>
      <c r="D163" s="2">
        <f t="shared" si="13"/>
        <v>45936</v>
      </c>
      <c r="E163" s="1">
        <v>45936.416666666664</v>
      </c>
      <c r="F163" t="s">
        <v>634</v>
      </c>
      <c r="G163" t="s">
        <v>36</v>
      </c>
      <c r="H163" t="s">
        <v>635</v>
      </c>
      <c r="I163" t="s">
        <v>38</v>
      </c>
      <c r="J163" t="s">
        <v>60</v>
      </c>
      <c r="M163" t="s">
        <v>40</v>
      </c>
      <c r="N163" t="s">
        <v>41</v>
      </c>
      <c r="O163" t="s">
        <v>42</v>
      </c>
      <c r="P163">
        <v>20</v>
      </c>
      <c r="Q163">
        <v>0</v>
      </c>
      <c r="R163">
        <v>0</v>
      </c>
      <c r="S163">
        <v>0</v>
      </c>
      <c r="T163">
        <v>5019000093</v>
      </c>
      <c r="U163" t="s">
        <v>44</v>
      </c>
      <c r="W163" t="s">
        <v>636</v>
      </c>
      <c r="Y163">
        <v>0</v>
      </c>
      <c r="AA163" t="s">
        <v>40</v>
      </c>
      <c r="AB163" t="s">
        <v>46</v>
      </c>
      <c r="AC163" t="s">
        <v>47</v>
      </c>
      <c r="AF163" t="s">
        <v>62</v>
      </c>
      <c r="AJ163" t="s">
        <v>40</v>
      </c>
      <c r="AK163" t="s">
        <v>49</v>
      </c>
      <c r="AN163">
        <v>20816665</v>
      </c>
      <c r="AO163" s="1">
        <v>45936</v>
      </c>
      <c r="AP163" s="5">
        <v>0.41666666666666669</v>
      </c>
      <c r="AS163">
        <v>1</v>
      </c>
    </row>
    <row r="164" spans="1:45" x14ac:dyDescent="0.2">
      <c r="A164">
        <f t="shared" si="10"/>
        <v>2025</v>
      </c>
      <c r="B164">
        <f t="shared" si="11"/>
        <v>10</v>
      </c>
      <c r="C164">
        <f t="shared" si="12"/>
        <v>41</v>
      </c>
      <c r="D164" s="2">
        <f t="shared" si="13"/>
        <v>45936</v>
      </c>
      <c r="E164" s="1">
        <v>45936.416666666664</v>
      </c>
      <c r="F164" t="s">
        <v>637</v>
      </c>
      <c r="G164" t="s">
        <v>36</v>
      </c>
      <c r="H164" t="s">
        <v>638</v>
      </c>
      <c r="I164" t="s">
        <v>38</v>
      </c>
      <c r="J164" t="s">
        <v>60</v>
      </c>
      <c r="M164" t="s">
        <v>40</v>
      </c>
      <c r="N164" t="s">
        <v>41</v>
      </c>
      <c r="O164" t="s">
        <v>42</v>
      </c>
      <c r="P164">
        <v>20</v>
      </c>
      <c r="Q164">
        <v>0</v>
      </c>
      <c r="R164">
        <v>0</v>
      </c>
      <c r="S164">
        <v>0</v>
      </c>
      <c r="T164" t="s">
        <v>639</v>
      </c>
      <c r="U164" t="s">
        <v>44</v>
      </c>
      <c r="W164" t="s">
        <v>640</v>
      </c>
      <c r="Y164">
        <v>0</v>
      </c>
      <c r="AA164" t="s">
        <v>40</v>
      </c>
      <c r="AB164" t="s">
        <v>46</v>
      </c>
      <c r="AC164" t="s">
        <v>47</v>
      </c>
      <c r="AF164" t="s">
        <v>133</v>
      </c>
      <c r="AJ164" t="s">
        <v>40</v>
      </c>
      <c r="AK164" t="s">
        <v>49</v>
      </c>
      <c r="AN164">
        <v>259822699</v>
      </c>
      <c r="AO164" s="1">
        <v>45936</v>
      </c>
      <c r="AP164" s="5">
        <v>0.41666666666666669</v>
      </c>
      <c r="AS164">
        <v>1</v>
      </c>
    </row>
    <row r="165" spans="1:45" x14ac:dyDescent="0.2">
      <c r="A165">
        <f t="shared" si="10"/>
        <v>2025</v>
      </c>
      <c r="B165">
        <f t="shared" si="11"/>
        <v>10</v>
      </c>
      <c r="C165">
        <f t="shared" si="12"/>
        <v>41</v>
      </c>
      <c r="D165" s="2">
        <f t="shared" si="13"/>
        <v>45936</v>
      </c>
      <c r="E165" s="1">
        <v>45936.416666666664</v>
      </c>
      <c r="F165" t="s">
        <v>641</v>
      </c>
      <c r="G165" t="s">
        <v>36</v>
      </c>
      <c r="H165">
        <v>454259</v>
      </c>
      <c r="I165" t="s">
        <v>51</v>
      </c>
      <c r="J165" t="s">
        <v>52</v>
      </c>
      <c r="M165" t="s">
        <v>40</v>
      </c>
      <c r="N165" t="s">
        <v>41</v>
      </c>
      <c r="O165" t="s">
        <v>53</v>
      </c>
      <c r="P165">
        <v>33</v>
      </c>
      <c r="Q165">
        <v>0</v>
      </c>
      <c r="R165">
        <v>0</v>
      </c>
      <c r="S165">
        <v>0</v>
      </c>
      <c r="T165" t="s">
        <v>54</v>
      </c>
      <c r="U165" t="s">
        <v>55</v>
      </c>
      <c r="W165" t="s">
        <v>598</v>
      </c>
      <c r="Y165">
        <v>0</v>
      </c>
      <c r="AA165" t="s">
        <v>40</v>
      </c>
      <c r="AB165" t="s">
        <v>46</v>
      </c>
      <c r="AC165" t="s">
        <v>47</v>
      </c>
      <c r="AG165" t="s">
        <v>642</v>
      </c>
      <c r="AJ165" t="s">
        <v>40</v>
      </c>
      <c r="AK165">
        <v>5019081062</v>
      </c>
      <c r="AO165" s="1">
        <v>45936</v>
      </c>
      <c r="AP165" s="5">
        <v>0.41666666666666669</v>
      </c>
      <c r="AS165">
        <v>1</v>
      </c>
    </row>
    <row r="166" spans="1:45" x14ac:dyDescent="0.2">
      <c r="A166">
        <f t="shared" si="10"/>
        <v>2025</v>
      </c>
      <c r="B166">
        <f t="shared" si="11"/>
        <v>10</v>
      </c>
      <c r="C166">
        <f t="shared" si="12"/>
        <v>41</v>
      </c>
      <c r="D166" s="2">
        <f t="shared" si="13"/>
        <v>45936</v>
      </c>
      <c r="E166" s="1">
        <v>45936.416666666664</v>
      </c>
      <c r="F166" t="s">
        <v>643</v>
      </c>
      <c r="G166" t="s">
        <v>36</v>
      </c>
      <c r="H166" t="s">
        <v>644</v>
      </c>
      <c r="I166" t="s">
        <v>38</v>
      </c>
      <c r="J166" t="s">
        <v>645</v>
      </c>
      <c r="M166" t="s">
        <v>40</v>
      </c>
      <c r="N166" t="s">
        <v>41</v>
      </c>
      <c r="O166" t="s">
        <v>42</v>
      </c>
      <c r="P166">
        <v>20</v>
      </c>
      <c r="Q166">
        <v>0</v>
      </c>
      <c r="R166">
        <v>0</v>
      </c>
      <c r="S166">
        <v>0</v>
      </c>
      <c r="T166" t="s">
        <v>646</v>
      </c>
      <c r="U166" t="s">
        <v>44</v>
      </c>
      <c r="W166" t="s">
        <v>636</v>
      </c>
      <c r="Y166">
        <v>0</v>
      </c>
      <c r="AA166" t="s">
        <v>40</v>
      </c>
      <c r="AB166" t="s">
        <v>46</v>
      </c>
      <c r="AC166" t="s">
        <v>47</v>
      </c>
      <c r="AF166" t="s">
        <v>62</v>
      </c>
      <c r="AJ166" t="s">
        <v>40</v>
      </c>
      <c r="AK166" t="s">
        <v>49</v>
      </c>
      <c r="AN166">
        <v>260177491</v>
      </c>
      <c r="AO166" s="1">
        <v>45936</v>
      </c>
      <c r="AP166" s="5">
        <v>0.41666666666666669</v>
      </c>
      <c r="AS166">
        <v>1</v>
      </c>
    </row>
    <row r="167" spans="1:45" x14ac:dyDescent="0.2">
      <c r="A167">
        <f t="shared" si="10"/>
        <v>2025</v>
      </c>
      <c r="B167">
        <f t="shared" si="11"/>
        <v>10</v>
      </c>
      <c r="C167">
        <f t="shared" si="12"/>
        <v>41</v>
      </c>
      <c r="D167" s="2">
        <f t="shared" si="13"/>
        <v>45936</v>
      </c>
      <c r="E167" s="1">
        <v>45936.458333333336</v>
      </c>
      <c r="F167" t="s">
        <v>647</v>
      </c>
      <c r="G167" t="s">
        <v>36</v>
      </c>
      <c r="H167" t="s">
        <v>106</v>
      </c>
      <c r="I167" t="s">
        <v>38</v>
      </c>
      <c r="J167" t="s">
        <v>107</v>
      </c>
      <c r="M167" t="s">
        <v>40</v>
      </c>
      <c r="N167" t="s">
        <v>41</v>
      </c>
      <c r="O167" t="s">
        <v>42</v>
      </c>
      <c r="P167">
        <v>33</v>
      </c>
      <c r="Q167">
        <v>0</v>
      </c>
      <c r="R167">
        <v>0</v>
      </c>
      <c r="S167">
        <v>0</v>
      </c>
      <c r="T167">
        <v>5019091217</v>
      </c>
      <c r="U167" t="s">
        <v>44</v>
      </c>
      <c r="W167" t="s">
        <v>648</v>
      </c>
      <c r="Y167">
        <v>0</v>
      </c>
      <c r="AA167" t="s">
        <v>40</v>
      </c>
      <c r="AB167" t="s">
        <v>46</v>
      </c>
      <c r="AC167" t="s">
        <v>47</v>
      </c>
      <c r="AF167" t="s">
        <v>109</v>
      </c>
      <c r="AJ167" t="s">
        <v>40</v>
      </c>
      <c r="AK167" t="s">
        <v>49</v>
      </c>
      <c r="AO167" s="1">
        <v>45936</v>
      </c>
      <c r="AP167" s="5">
        <v>0.45833333333333331</v>
      </c>
      <c r="AS167">
        <v>1</v>
      </c>
    </row>
    <row r="168" spans="1:45" x14ac:dyDescent="0.2">
      <c r="A168">
        <f t="shared" si="10"/>
        <v>2025</v>
      </c>
      <c r="B168">
        <f t="shared" si="11"/>
        <v>10</v>
      </c>
      <c r="C168">
        <f t="shared" si="12"/>
        <v>41</v>
      </c>
      <c r="D168" s="2">
        <f t="shared" si="13"/>
        <v>45936</v>
      </c>
      <c r="E168" s="1">
        <v>45936.458333333336</v>
      </c>
      <c r="F168" t="s">
        <v>649</v>
      </c>
      <c r="G168" t="s">
        <v>36</v>
      </c>
      <c r="H168" t="s">
        <v>650</v>
      </c>
      <c r="I168" t="s">
        <v>38</v>
      </c>
      <c r="J168" t="s">
        <v>60</v>
      </c>
      <c r="M168" t="s">
        <v>40</v>
      </c>
      <c r="N168" t="s">
        <v>41</v>
      </c>
      <c r="O168" t="s">
        <v>42</v>
      </c>
      <c r="P168">
        <v>30</v>
      </c>
      <c r="Q168">
        <v>0</v>
      </c>
      <c r="R168">
        <v>0</v>
      </c>
      <c r="S168">
        <v>0</v>
      </c>
      <c r="T168" t="s">
        <v>651</v>
      </c>
      <c r="U168" t="s">
        <v>44</v>
      </c>
      <c r="W168" t="s">
        <v>636</v>
      </c>
      <c r="Y168">
        <v>0</v>
      </c>
      <c r="AA168" t="s">
        <v>40</v>
      </c>
      <c r="AB168" t="s">
        <v>46</v>
      </c>
      <c r="AC168" t="s">
        <v>47</v>
      </c>
      <c r="AF168" t="s">
        <v>62</v>
      </c>
      <c r="AJ168" t="s">
        <v>40</v>
      </c>
      <c r="AK168" t="s">
        <v>49</v>
      </c>
      <c r="AN168">
        <v>20816665</v>
      </c>
      <c r="AO168" s="1">
        <v>45936</v>
      </c>
      <c r="AP168" s="5">
        <v>0.45833333333333331</v>
      </c>
      <c r="AS168">
        <v>1</v>
      </c>
    </row>
    <row r="169" spans="1:45" x14ac:dyDescent="0.2">
      <c r="A169">
        <f t="shared" si="10"/>
        <v>2025</v>
      </c>
      <c r="B169">
        <f t="shared" si="11"/>
        <v>10</v>
      </c>
      <c r="C169">
        <f t="shared" si="12"/>
        <v>41</v>
      </c>
      <c r="D169" s="2">
        <f t="shared" si="13"/>
        <v>45936</v>
      </c>
      <c r="E169" s="1">
        <v>45936.458333333336</v>
      </c>
      <c r="F169" t="s">
        <v>652</v>
      </c>
      <c r="G169" t="s">
        <v>36</v>
      </c>
      <c r="H169" t="s">
        <v>653</v>
      </c>
      <c r="I169" t="s">
        <v>38</v>
      </c>
      <c r="J169" t="s">
        <v>645</v>
      </c>
      <c r="M169" t="s">
        <v>40</v>
      </c>
      <c r="N169" t="s">
        <v>41</v>
      </c>
      <c r="O169" t="s">
        <v>42</v>
      </c>
      <c r="P169">
        <v>20</v>
      </c>
      <c r="Q169">
        <v>0</v>
      </c>
      <c r="R169">
        <v>0</v>
      </c>
      <c r="S169">
        <v>0</v>
      </c>
      <c r="T169">
        <v>5019001587</v>
      </c>
      <c r="U169" t="s">
        <v>44</v>
      </c>
      <c r="W169" t="s">
        <v>654</v>
      </c>
      <c r="Y169">
        <v>0</v>
      </c>
      <c r="AA169" t="s">
        <v>40</v>
      </c>
      <c r="AB169" t="s">
        <v>46</v>
      </c>
      <c r="AC169" t="s">
        <v>47</v>
      </c>
      <c r="AF169" t="s">
        <v>62</v>
      </c>
      <c r="AJ169" t="s">
        <v>40</v>
      </c>
      <c r="AK169" t="s">
        <v>49</v>
      </c>
      <c r="AN169">
        <v>259610366</v>
      </c>
      <c r="AO169" s="1">
        <v>45936</v>
      </c>
      <c r="AP169" s="5">
        <v>0.45833333333333331</v>
      </c>
      <c r="AS169">
        <v>1</v>
      </c>
    </row>
    <row r="170" spans="1:45" x14ac:dyDescent="0.2">
      <c r="A170">
        <f t="shared" si="10"/>
        <v>2025</v>
      </c>
      <c r="B170">
        <f t="shared" si="11"/>
        <v>10</v>
      </c>
      <c r="C170">
        <f t="shared" si="12"/>
        <v>41</v>
      </c>
      <c r="D170" s="2">
        <f t="shared" si="13"/>
        <v>45936</v>
      </c>
      <c r="E170" s="1">
        <v>45936.458333333336</v>
      </c>
      <c r="F170" t="s">
        <v>655</v>
      </c>
      <c r="G170" t="s">
        <v>36</v>
      </c>
      <c r="H170">
        <v>454254</v>
      </c>
      <c r="I170" t="s">
        <v>51</v>
      </c>
      <c r="J170" t="s">
        <v>52</v>
      </c>
      <c r="M170" t="s">
        <v>40</v>
      </c>
      <c r="N170" t="s">
        <v>41</v>
      </c>
      <c r="O170" t="s">
        <v>53</v>
      </c>
      <c r="P170">
        <v>33</v>
      </c>
      <c r="Q170">
        <v>0</v>
      </c>
      <c r="R170">
        <v>0</v>
      </c>
      <c r="S170">
        <v>0</v>
      </c>
      <c r="T170" t="s">
        <v>54</v>
      </c>
      <c r="U170" t="s">
        <v>55</v>
      </c>
      <c r="W170" t="s">
        <v>598</v>
      </c>
      <c r="Y170">
        <v>0</v>
      </c>
      <c r="AA170" t="s">
        <v>40</v>
      </c>
      <c r="AB170" t="s">
        <v>46</v>
      </c>
      <c r="AC170" t="s">
        <v>47</v>
      </c>
      <c r="AG170" t="s">
        <v>656</v>
      </c>
      <c r="AJ170" t="s">
        <v>40</v>
      </c>
      <c r="AK170">
        <v>5019096508</v>
      </c>
      <c r="AO170" s="1">
        <v>45936</v>
      </c>
      <c r="AP170" s="5">
        <v>0.45833333333333331</v>
      </c>
      <c r="AS170">
        <v>1</v>
      </c>
    </row>
    <row r="171" spans="1:45" x14ac:dyDescent="0.2">
      <c r="A171">
        <f t="shared" si="10"/>
        <v>2025</v>
      </c>
      <c r="B171">
        <f t="shared" si="11"/>
        <v>10</v>
      </c>
      <c r="C171">
        <f t="shared" si="12"/>
        <v>41</v>
      </c>
      <c r="D171" s="2">
        <f t="shared" si="13"/>
        <v>45936</v>
      </c>
      <c r="E171" s="1">
        <v>45936.5</v>
      </c>
      <c r="F171" t="s">
        <v>657</v>
      </c>
      <c r="G171" t="s">
        <v>36</v>
      </c>
      <c r="H171">
        <v>454253</v>
      </c>
      <c r="I171" t="s">
        <v>51</v>
      </c>
      <c r="J171" t="s">
        <v>52</v>
      </c>
      <c r="M171" t="s">
        <v>40</v>
      </c>
      <c r="N171" t="s">
        <v>41</v>
      </c>
      <c r="O171" t="s">
        <v>53</v>
      </c>
      <c r="P171">
        <v>33</v>
      </c>
      <c r="Q171">
        <v>0</v>
      </c>
      <c r="R171">
        <v>0</v>
      </c>
      <c r="S171">
        <v>0</v>
      </c>
      <c r="T171" t="s">
        <v>54</v>
      </c>
      <c r="U171" t="s">
        <v>55</v>
      </c>
      <c r="W171" t="s">
        <v>598</v>
      </c>
      <c r="Y171">
        <v>0</v>
      </c>
      <c r="AA171" t="s">
        <v>40</v>
      </c>
      <c r="AB171" t="s">
        <v>46</v>
      </c>
      <c r="AC171" t="s">
        <v>47</v>
      </c>
      <c r="AG171" t="s">
        <v>658</v>
      </c>
      <c r="AJ171" t="s">
        <v>40</v>
      </c>
      <c r="AK171">
        <v>5019081502</v>
      </c>
      <c r="AO171" s="1">
        <v>45936</v>
      </c>
      <c r="AP171" s="5">
        <v>0.5</v>
      </c>
      <c r="AS171">
        <v>1</v>
      </c>
    </row>
    <row r="172" spans="1:45" x14ac:dyDescent="0.2">
      <c r="A172">
        <f t="shared" si="10"/>
        <v>2025</v>
      </c>
      <c r="B172">
        <f t="shared" si="11"/>
        <v>10</v>
      </c>
      <c r="C172">
        <f t="shared" si="12"/>
        <v>41</v>
      </c>
      <c r="D172" s="2">
        <f t="shared" si="13"/>
        <v>45936</v>
      </c>
      <c r="E172" s="1">
        <v>45936.5</v>
      </c>
      <c r="F172" t="s">
        <v>659</v>
      </c>
      <c r="G172" t="s">
        <v>36</v>
      </c>
      <c r="H172" t="s">
        <v>660</v>
      </c>
      <c r="I172" t="s">
        <v>38</v>
      </c>
      <c r="J172" t="s">
        <v>471</v>
      </c>
      <c r="M172" t="s">
        <v>40</v>
      </c>
      <c r="N172" t="s">
        <v>41</v>
      </c>
      <c r="O172" t="s">
        <v>42</v>
      </c>
      <c r="P172">
        <v>36</v>
      </c>
      <c r="Q172">
        <v>0</v>
      </c>
      <c r="R172">
        <v>0</v>
      </c>
      <c r="S172">
        <v>0</v>
      </c>
      <c r="T172" t="s">
        <v>661</v>
      </c>
      <c r="U172" t="s">
        <v>392</v>
      </c>
      <c r="W172" t="s">
        <v>604</v>
      </c>
      <c r="Y172">
        <v>0</v>
      </c>
      <c r="AA172" t="s">
        <v>40</v>
      </c>
      <c r="AB172" t="s">
        <v>46</v>
      </c>
      <c r="AC172" t="s">
        <v>47</v>
      </c>
      <c r="AF172" t="s">
        <v>393</v>
      </c>
      <c r="AJ172" t="s">
        <v>40</v>
      </c>
      <c r="AK172" t="s">
        <v>49</v>
      </c>
      <c r="AO172" s="1">
        <v>45936</v>
      </c>
      <c r="AP172" s="5">
        <v>0.5</v>
      </c>
      <c r="AS172">
        <v>1</v>
      </c>
    </row>
    <row r="173" spans="1:45" x14ac:dyDescent="0.2">
      <c r="A173">
        <f t="shared" si="10"/>
        <v>2025</v>
      </c>
      <c r="B173">
        <f t="shared" si="11"/>
        <v>10</v>
      </c>
      <c r="C173">
        <f t="shared" si="12"/>
        <v>41</v>
      </c>
      <c r="D173" s="2">
        <f t="shared" si="13"/>
        <v>45936</v>
      </c>
      <c r="E173" s="1">
        <v>45936.5</v>
      </c>
      <c r="F173" t="s">
        <v>662</v>
      </c>
      <c r="G173" t="s">
        <v>36</v>
      </c>
      <c r="H173" t="s">
        <v>663</v>
      </c>
      <c r="I173" t="s">
        <v>38</v>
      </c>
      <c r="J173" t="s">
        <v>265</v>
      </c>
      <c r="M173" t="s">
        <v>40</v>
      </c>
      <c r="N173" t="s">
        <v>41</v>
      </c>
      <c r="O173" t="s">
        <v>42</v>
      </c>
      <c r="P173">
        <v>33</v>
      </c>
      <c r="Q173">
        <v>0</v>
      </c>
      <c r="R173">
        <v>0</v>
      </c>
      <c r="S173">
        <v>0</v>
      </c>
      <c r="T173">
        <v>90020792</v>
      </c>
      <c r="U173" t="s">
        <v>44</v>
      </c>
      <c r="W173" t="s">
        <v>648</v>
      </c>
      <c r="Y173">
        <v>0</v>
      </c>
      <c r="AA173" t="s">
        <v>40</v>
      </c>
      <c r="AB173" t="s">
        <v>46</v>
      </c>
      <c r="AC173" t="s">
        <v>47</v>
      </c>
      <c r="AF173" t="s">
        <v>664</v>
      </c>
      <c r="AJ173" t="s">
        <v>40</v>
      </c>
      <c r="AK173" t="s">
        <v>49</v>
      </c>
      <c r="AO173" s="1">
        <v>45936</v>
      </c>
      <c r="AP173" s="5">
        <v>0.5</v>
      </c>
      <c r="AS173">
        <v>1</v>
      </c>
    </row>
    <row r="174" spans="1:45" x14ac:dyDescent="0.2">
      <c r="A174">
        <f t="shared" si="10"/>
        <v>2025</v>
      </c>
      <c r="B174">
        <f t="shared" si="11"/>
        <v>10</v>
      </c>
      <c r="C174">
        <f t="shared" si="12"/>
        <v>41</v>
      </c>
      <c r="D174" s="2">
        <f t="shared" si="13"/>
        <v>45936</v>
      </c>
      <c r="E174" s="1">
        <v>45936.5</v>
      </c>
      <c r="F174" t="s">
        <v>665</v>
      </c>
      <c r="G174" t="s">
        <v>36</v>
      </c>
      <c r="H174">
        <v>452203</v>
      </c>
      <c r="I174" t="s">
        <v>51</v>
      </c>
      <c r="J174" t="s">
        <v>144</v>
      </c>
      <c r="M174" t="s">
        <v>40</v>
      </c>
      <c r="N174" t="s">
        <v>41</v>
      </c>
      <c r="O174" t="s">
        <v>172</v>
      </c>
      <c r="P174">
        <v>33</v>
      </c>
      <c r="Q174">
        <v>0</v>
      </c>
      <c r="R174">
        <v>0</v>
      </c>
      <c r="S174">
        <v>0</v>
      </c>
      <c r="T174" t="s">
        <v>54</v>
      </c>
      <c r="U174" t="s">
        <v>55</v>
      </c>
      <c r="W174" t="s">
        <v>666</v>
      </c>
      <c r="Y174">
        <v>0</v>
      </c>
      <c r="AA174" t="s">
        <v>40</v>
      </c>
      <c r="AB174" t="s">
        <v>46</v>
      </c>
      <c r="AC174" t="s">
        <v>47</v>
      </c>
      <c r="AG174" t="s">
        <v>667</v>
      </c>
      <c r="AJ174" t="s">
        <v>40</v>
      </c>
      <c r="AK174">
        <v>5019100571</v>
      </c>
      <c r="AO174" s="1">
        <v>45936</v>
      </c>
      <c r="AP174" s="5">
        <v>0.5</v>
      </c>
      <c r="AS174">
        <v>1</v>
      </c>
    </row>
    <row r="175" spans="1:45" x14ac:dyDescent="0.2">
      <c r="A175">
        <f t="shared" si="10"/>
        <v>2025</v>
      </c>
      <c r="B175">
        <f t="shared" si="11"/>
        <v>10</v>
      </c>
      <c r="C175">
        <f t="shared" si="12"/>
        <v>41</v>
      </c>
      <c r="D175" s="2">
        <f t="shared" si="13"/>
        <v>45936</v>
      </c>
      <c r="E175" s="1">
        <v>45936.5</v>
      </c>
      <c r="F175" t="s">
        <v>668</v>
      </c>
      <c r="G175" t="s">
        <v>36</v>
      </c>
      <c r="H175" t="s">
        <v>669</v>
      </c>
      <c r="I175" t="s">
        <v>38</v>
      </c>
      <c r="J175" t="s">
        <v>645</v>
      </c>
      <c r="M175" t="s">
        <v>40</v>
      </c>
      <c r="N175" t="s">
        <v>41</v>
      </c>
      <c r="O175" t="s">
        <v>42</v>
      </c>
      <c r="P175">
        <v>20</v>
      </c>
      <c r="Q175">
        <v>0</v>
      </c>
      <c r="R175">
        <v>0</v>
      </c>
      <c r="S175">
        <v>0</v>
      </c>
      <c r="T175">
        <v>5019014204</v>
      </c>
      <c r="U175" t="s">
        <v>44</v>
      </c>
      <c r="W175" t="s">
        <v>636</v>
      </c>
      <c r="Y175">
        <v>0</v>
      </c>
      <c r="AA175" t="s">
        <v>40</v>
      </c>
      <c r="AB175" t="s">
        <v>46</v>
      </c>
      <c r="AC175" t="s">
        <v>47</v>
      </c>
      <c r="AF175" t="s">
        <v>62</v>
      </c>
      <c r="AJ175" t="s">
        <v>40</v>
      </c>
      <c r="AK175" t="s">
        <v>49</v>
      </c>
      <c r="AN175">
        <v>259610366</v>
      </c>
      <c r="AO175" s="1">
        <v>45936</v>
      </c>
      <c r="AP175" s="5">
        <v>0.5</v>
      </c>
      <c r="AS175">
        <v>1</v>
      </c>
    </row>
    <row r="176" spans="1:45" x14ac:dyDescent="0.2">
      <c r="A176">
        <f t="shared" si="10"/>
        <v>2025</v>
      </c>
      <c r="B176">
        <f t="shared" si="11"/>
        <v>10</v>
      </c>
      <c r="C176">
        <f t="shared" si="12"/>
        <v>41</v>
      </c>
      <c r="D176" s="2">
        <f t="shared" si="13"/>
        <v>45936</v>
      </c>
      <c r="E176" s="1">
        <v>45936.541666666664</v>
      </c>
      <c r="F176" t="s">
        <v>670</v>
      </c>
      <c r="G176" t="s">
        <v>36</v>
      </c>
      <c r="H176" t="s">
        <v>37</v>
      </c>
      <c r="I176" t="s">
        <v>38</v>
      </c>
      <c r="J176" t="s">
        <v>112</v>
      </c>
      <c r="M176" t="s">
        <v>40</v>
      </c>
      <c r="N176" t="s">
        <v>41</v>
      </c>
      <c r="O176" t="s">
        <v>42</v>
      </c>
      <c r="P176">
        <v>23</v>
      </c>
      <c r="Q176">
        <v>0</v>
      </c>
      <c r="R176">
        <v>0</v>
      </c>
      <c r="S176">
        <v>0</v>
      </c>
      <c r="T176" t="s">
        <v>671</v>
      </c>
      <c r="U176" t="s">
        <v>44</v>
      </c>
      <c r="W176" t="s">
        <v>613</v>
      </c>
      <c r="Y176">
        <v>0</v>
      </c>
      <c r="AA176" t="s">
        <v>40</v>
      </c>
      <c r="AB176" t="s">
        <v>46</v>
      </c>
      <c r="AC176" t="s">
        <v>47</v>
      </c>
      <c r="AF176" t="s">
        <v>48</v>
      </c>
      <c r="AJ176" t="s">
        <v>40</v>
      </c>
      <c r="AK176" t="s">
        <v>49</v>
      </c>
      <c r="AO176" s="1">
        <v>45936</v>
      </c>
      <c r="AP176" s="5">
        <v>0.54166666666666663</v>
      </c>
      <c r="AS176">
        <v>1</v>
      </c>
    </row>
    <row r="177" spans="1:45" x14ac:dyDescent="0.2">
      <c r="A177">
        <f t="shared" si="10"/>
        <v>2025</v>
      </c>
      <c r="B177">
        <f t="shared" si="11"/>
        <v>10</v>
      </c>
      <c r="C177">
        <f t="shared" si="12"/>
        <v>41</v>
      </c>
      <c r="D177" s="2">
        <f t="shared" si="13"/>
        <v>45936</v>
      </c>
      <c r="E177" s="1">
        <v>45936.541666666664</v>
      </c>
      <c r="F177" t="s">
        <v>672</v>
      </c>
      <c r="G177" t="s">
        <v>36</v>
      </c>
      <c r="H177" t="s">
        <v>37</v>
      </c>
      <c r="I177" t="s">
        <v>38</v>
      </c>
      <c r="J177" t="s">
        <v>99</v>
      </c>
      <c r="M177" t="s">
        <v>40</v>
      </c>
      <c r="N177" t="s">
        <v>41</v>
      </c>
      <c r="O177" t="s">
        <v>42</v>
      </c>
      <c r="P177">
        <v>23</v>
      </c>
      <c r="Q177">
        <v>0</v>
      </c>
      <c r="R177">
        <v>0</v>
      </c>
      <c r="S177">
        <v>0</v>
      </c>
      <c r="T177" t="s">
        <v>673</v>
      </c>
      <c r="U177" t="s">
        <v>44</v>
      </c>
      <c r="W177" t="s">
        <v>613</v>
      </c>
      <c r="Y177">
        <v>0</v>
      </c>
      <c r="AA177" t="s">
        <v>40</v>
      </c>
      <c r="AB177" t="s">
        <v>46</v>
      </c>
      <c r="AC177" t="s">
        <v>47</v>
      </c>
      <c r="AF177" t="s">
        <v>48</v>
      </c>
      <c r="AJ177" t="s">
        <v>40</v>
      </c>
      <c r="AK177" t="s">
        <v>49</v>
      </c>
      <c r="AO177" s="1">
        <v>45936</v>
      </c>
      <c r="AP177" s="5">
        <v>0.54166666666666663</v>
      </c>
      <c r="AS177">
        <v>1</v>
      </c>
    </row>
    <row r="178" spans="1:45" x14ac:dyDescent="0.2">
      <c r="A178">
        <f t="shared" si="10"/>
        <v>2025</v>
      </c>
      <c r="B178">
        <f t="shared" si="11"/>
        <v>10</v>
      </c>
      <c r="C178">
        <f t="shared" si="12"/>
        <v>41</v>
      </c>
      <c r="D178" s="2">
        <f t="shared" si="13"/>
        <v>45936</v>
      </c>
      <c r="E178" s="1">
        <v>45936.541666666664</v>
      </c>
      <c r="F178" t="s">
        <v>674</v>
      </c>
      <c r="G178" t="s">
        <v>36</v>
      </c>
      <c r="H178" t="s">
        <v>675</v>
      </c>
      <c r="I178" t="s">
        <v>38</v>
      </c>
      <c r="J178" t="s">
        <v>99</v>
      </c>
      <c r="M178" t="s">
        <v>40</v>
      </c>
      <c r="N178" t="s">
        <v>41</v>
      </c>
      <c r="O178" t="s">
        <v>42</v>
      </c>
      <c r="P178">
        <v>2</v>
      </c>
      <c r="Q178">
        <v>0</v>
      </c>
      <c r="R178">
        <v>0</v>
      </c>
      <c r="S178">
        <v>0</v>
      </c>
      <c r="T178" t="s">
        <v>676</v>
      </c>
      <c r="U178" t="s">
        <v>101</v>
      </c>
      <c r="W178" t="s">
        <v>604</v>
      </c>
      <c r="Y178">
        <v>0</v>
      </c>
      <c r="AA178" t="s">
        <v>40</v>
      </c>
      <c r="AB178" t="s">
        <v>46</v>
      </c>
      <c r="AC178" t="s">
        <v>47</v>
      </c>
      <c r="AF178" t="s">
        <v>677</v>
      </c>
      <c r="AJ178" t="s">
        <v>40</v>
      </c>
      <c r="AK178" t="s">
        <v>49</v>
      </c>
      <c r="AO178" s="1">
        <v>45936</v>
      </c>
      <c r="AP178" s="5">
        <v>0.54166666666666663</v>
      </c>
      <c r="AS178">
        <v>1</v>
      </c>
    </row>
    <row r="179" spans="1:45" x14ac:dyDescent="0.2">
      <c r="A179">
        <f t="shared" si="10"/>
        <v>2025</v>
      </c>
      <c r="B179">
        <f t="shared" si="11"/>
        <v>10</v>
      </c>
      <c r="C179">
        <f t="shared" si="12"/>
        <v>41</v>
      </c>
      <c r="D179" s="2">
        <f t="shared" si="13"/>
        <v>45936</v>
      </c>
      <c r="E179" s="1">
        <v>45936.541666666664</v>
      </c>
      <c r="F179" t="s">
        <v>678</v>
      </c>
      <c r="G179" t="s">
        <v>36</v>
      </c>
      <c r="H179" t="s">
        <v>679</v>
      </c>
      <c r="I179" t="s">
        <v>38</v>
      </c>
      <c r="J179" t="s">
        <v>645</v>
      </c>
      <c r="M179" t="s">
        <v>40</v>
      </c>
      <c r="N179" t="s">
        <v>41</v>
      </c>
      <c r="O179" t="s">
        <v>42</v>
      </c>
      <c r="P179">
        <v>20</v>
      </c>
      <c r="Q179">
        <v>0</v>
      </c>
      <c r="R179">
        <v>0</v>
      </c>
      <c r="S179">
        <v>0</v>
      </c>
      <c r="T179" t="s">
        <v>680</v>
      </c>
      <c r="U179" t="s">
        <v>44</v>
      </c>
      <c r="W179" t="s">
        <v>636</v>
      </c>
      <c r="Y179">
        <v>0</v>
      </c>
      <c r="AA179" t="s">
        <v>40</v>
      </c>
      <c r="AB179" t="s">
        <v>46</v>
      </c>
      <c r="AC179" t="s">
        <v>47</v>
      </c>
      <c r="AF179" t="s">
        <v>62</v>
      </c>
      <c r="AJ179" t="s">
        <v>40</v>
      </c>
      <c r="AK179" t="s">
        <v>49</v>
      </c>
      <c r="AN179">
        <v>260177652</v>
      </c>
      <c r="AO179" s="1">
        <v>45936</v>
      </c>
      <c r="AP179" s="5">
        <v>0.54166666666666663</v>
      </c>
      <c r="AS179">
        <v>1</v>
      </c>
    </row>
    <row r="180" spans="1:45" x14ac:dyDescent="0.2">
      <c r="A180">
        <f t="shared" si="10"/>
        <v>2025</v>
      </c>
      <c r="B180">
        <f t="shared" si="11"/>
        <v>10</v>
      </c>
      <c r="C180">
        <f t="shared" si="12"/>
        <v>41</v>
      </c>
      <c r="D180" s="2">
        <f t="shared" si="13"/>
        <v>45936</v>
      </c>
      <c r="E180" s="1">
        <v>45936.583333333336</v>
      </c>
      <c r="F180" t="s">
        <v>681</v>
      </c>
      <c r="G180" t="s">
        <v>36</v>
      </c>
      <c r="H180" t="s">
        <v>37</v>
      </c>
      <c r="I180" t="s">
        <v>38</v>
      </c>
      <c r="J180" t="s">
        <v>99</v>
      </c>
      <c r="M180" t="s">
        <v>40</v>
      </c>
      <c r="N180" t="s">
        <v>41</v>
      </c>
      <c r="O180" t="s">
        <v>42</v>
      </c>
      <c r="P180">
        <v>23</v>
      </c>
      <c r="Q180">
        <v>0</v>
      </c>
      <c r="R180">
        <v>0</v>
      </c>
      <c r="S180">
        <v>0</v>
      </c>
      <c r="T180" t="s">
        <v>682</v>
      </c>
      <c r="U180" t="s">
        <v>44</v>
      </c>
      <c r="W180" t="s">
        <v>613</v>
      </c>
      <c r="Y180">
        <v>0</v>
      </c>
      <c r="AA180" t="s">
        <v>40</v>
      </c>
      <c r="AB180" t="s">
        <v>46</v>
      </c>
      <c r="AC180" t="s">
        <v>47</v>
      </c>
      <c r="AF180" t="s">
        <v>48</v>
      </c>
      <c r="AJ180" t="s">
        <v>40</v>
      </c>
      <c r="AK180" t="s">
        <v>49</v>
      </c>
      <c r="AO180" s="1">
        <v>45936</v>
      </c>
      <c r="AP180" s="5">
        <v>0.58333333333333337</v>
      </c>
      <c r="AS180">
        <v>1</v>
      </c>
    </row>
    <row r="181" spans="1:45" x14ac:dyDescent="0.2">
      <c r="A181">
        <f t="shared" si="10"/>
        <v>2025</v>
      </c>
      <c r="B181">
        <f t="shared" si="11"/>
        <v>10</v>
      </c>
      <c r="C181">
        <f t="shared" si="12"/>
        <v>41</v>
      </c>
      <c r="D181" s="2">
        <f t="shared" si="13"/>
        <v>45936</v>
      </c>
      <c r="E181" s="1">
        <v>45936.583333333336</v>
      </c>
      <c r="F181" t="s">
        <v>683</v>
      </c>
      <c r="G181" t="s">
        <v>36</v>
      </c>
      <c r="H181">
        <v>452214</v>
      </c>
      <c r="I181" t="s">
        <v>51</v>
      </c>
      <c r="J181" t="s">
        <v>154</v>
      </c>
      <c r="M181" t="s">
        <v>40</v>
      </c>
      <c r="N181" t="s">
        <v>41</v>
      </c>
      <c r="O181" t="s">
        <v>155</v>
      </c>
      <c r="P181">
        <v>33</v>
      </c>
      <c r="Q181">
        <v>0</v>
      </c>
      <c r="R181">
        <v>0</v>
      </c>
      <c r="S181">
        <v>0</v>
      </c>
      <c r="T181" t="s">
        <v>54</v>
      </c>
      <c r="U181" t="s">
        <v>55</v>
      </c>
      <c r="W181" t="s">
        <v>604</v>
      </c>
      <c r="Y181">
        <v>0</v>
      </c>
      <c r="AA181" t="s">
        <v>40</v>
      </c>
      <c r="AB181" t="s">
        <v>46</v>
      </c>
      <c r="AC181" t="s">
        <v>47</v>
      </c>
      <c r="AG181" t="s">
        <v>684</v>
      </c>
      <c r="AJ181" t="s">
        <v>40</v>
      </c>
      <c r="AK181">
        <v>5019091638</v>
      </c>
      <c r="AO181" s="1">
        <v>45936</v>
      </c>
      <c r="AP181" s="5">
        <v>0.58333333333333337</v>
      </c>
      <c r="AS181">
        <v>1</v>
      </c>
    </row>
    <row r="182" spans="1:45" x14ac:dyDescent="0.2">
      <c r="A182">
        <f t="shared" si="10"/>
        <v>2025</v>
      </c>
      <c r="B182">
        <f t="shared" si="11"/>
        <v>10</v>
      </c>
      <c r="C182">
        <f t="shared" si="12"/>
        <v>41</v>
      </c>
      <c r="D182" s="2">
        <f t="shared" si="13"/>
        <v>45936</v>
      </c>
      <c r="E182" s="1">
        <v>45936.583333333336</v>
      </c>
      <c r="F182" t="s">
        <v>685</v>
      </c>
      <c r="G182" t="s">
        <v>36</v>
      </c>
      <c r="H182" t="s">
        <v>686</v>
      </c>
      <c r="I182" t="s">
        <v>38</v>
      </c>
      <c r="J182" t="s">
        <v>99</v>
      </c>
      <c r="M182" t="s">
        <v>40</v>
      </c>
      <c r="N182" t="s">
        <v>41</v>
      </c>
      <c r="O182" t="s">
        <v>42</v>
      </c>
      <c r="P182">
        <v>5</v>
      </c>
      <c r="Q182">
        <v>0</v>
      </c>
      <c r="R182">
        <v>0</v>
      </c>
      <c r="S182">
        <v>0</v>
      </c>
      <c r="T182" t="s">
        <v>687</v>
      </c>
      <c r="U182" t="s">
        <v>101</v>
      </c>
      <c r="W182" t="s">
        <v>604</v>
      </c>
      <c r="Y182">
        <v>0</v>
      </c>
      <c r="AA182" t="s">
        <v>40</v>
      </c>
      <c r="AB182" t="s">
        <v>46</v>
      </c>
      <c r="AC182" t="s">
        <v>47</v>
      </c>
      <c r="AF182" t="s">
        <v>367</v>
      </c>
      <c r="AJ182" t="s">
        <v>40</v>
      </c>
      <c r="AK182" t="s">
        <v>49</v>
      </c>
      <c r="AM182" t="s">
        <v>688</v>
      </c>
      <c r="AN182" t="s">
        <v>689</v>
      </c>
      <c r="AO182" s="1">
        <v>45936</v>
      </c>
      <c r="AP182" s="5">
        <v>0.58333333333333337</v>
      </c>
      <c r="AS182">
        <v>1</v>
      </c>
    </row>
    <row r="183" spans="1:45" x14ac:dyDescent="0.2">
      <c r="A183">
        <f t="shared" si="10"/>
        <v>2025</v>
      </c>
      <c r="B183">
        <f t="shared" si="11"/>
        <v>10</v>
      </c>
      <c r="C183">
        <f t="shared" si="12"/>
        <v>41</v>
      </c>
      <c r="D183" s="2">
        <f t="shared" si="13"/>
        <v>45936</v>
      </c>
      <c r="E183" s="1">
        <v>45936.583333333336</v>
      </c>
      <c r="F183" t="s">
        <v>690</v>
      </c>
      <c r="G183" t="s">
        <v>36</v>
      </c>
      <c r="H183" t="s">
        <v>37</v>
      </c>
      <c r="I183" t="s">
        <v>38</v>
      </c>
      <c r="J183" t="s">
        <v>99</v>
      </c>
      <c r="M183" t="s">
        <v>40</v>
      </c>
      <c r="N183" t="s">
        <v>41</v>
      </c>
      <c r="O183" t="s">
        <v>42</v>
      </c>
      <c r="P183">
        <v>23</v>
      </c>
      <c r="Q183">
        <v>0</v>
      </c>
      <c r="R183">
        <v>0</v>
      </c>
      <c r="S183">
        <v>0</v>
      </c>
      <c r="T183" t="s">
        <v>691</v>
      </c>
      <c r="U183" t="s">
        <v>44</v>
      </c>
      <c r="W183" t="s">
        <v>613</v>
      </c>
      <c r="Y183">
        <v>0</v>
      </c>
      <c r="AA183" t="s">
        <v>40</v>
      </c>
      <c r="AB183" t="s">
        <v>46</v>
      </c>
      <c r="AC183" t="s">
        <v>47</v>
      </c>
      <c r="AF183" t="s">
        <v>48</v>
      </c>
      <c r="AJ183" t="s">
        <v>40</v>
      </c>
      <c r="AK183" t="s">
        <v>49</v>
      </c>
      <c r="AO183" s="1">
        <v>45936</v>
      </c>
      <c r="AP183" s="5">
        <v>0.58333333333333337</v>
      </c>
      <c r="AS183">
        <v>1</v>
      </c>
    </row>
    <row r="184" spans="1:45" x14ac:dyDescent="0.2">
      <c r="A184">
        <f t="shared" si="10"/>
        <v>2025</v>
      </c>
      <c r="B184">
        <f t="shared" si="11"/>
        <v>10</v>
      </c>
      <c r="C184">
        <f t="shared" si="12"/>
        <v>41</v>
      </c>
      <c r="D184" s="2">
        <f t="shared" si="13"/>
        <v>45936</v>
      </c>
      <c r="E184" s="1">
        <v>45936.625</v>
      </c>
      <c r="F184" t="s">
        <v>692</v>
      </c>
      <c r="G184" t="s">
        <v>36</v>
      </c>
      <c r="H184" t="s">
        <v>37</v>
      </c>
      <c r="I184" t="s">
        <v>38</v>
      </c>
      <c r="J184" t="s">
        <v>99</v>
      </c>
      <c r="M184" t="s">
        <v>40</v>
      </c>
      <c r="N184" t="s">
        <v>41</v>
      </c>
      <c r="O184" t="s">
        <v>42</v>
      </c>
      <c r="P184">
        <v>7</v>
      </c>
      <c r="Q184">
        <v>0</v>
      </c>
      <c r="R184">
        <v>0</v>
      </c>
      <c r="S184">
        <v>0</v>
      </c>
      <c r="T184" t="s">
        <v>693</v>
      </c>
      <c r="U184" t="s">
        <v>101</v>
      </c>
      <c r="W184" t="s">
        <v>613</v>
      </c>
      <c r="Y184">
        <v>0</v>
      </c>
      <c r="AA184" t="s">
        <v>40</v>
      </c>
      <c r="AB184" t="s">
        <v>46</v>
      </c>
      <c r="AC184" t="s">
        <v>47</v>
      </c>
      <c r="AF184" t="s">
        <v>48</v>
      </c>
      <c r="AJ184" t="s">
        <v>40</v>
      </c>
      <c r="AK184" t="s">
        <v>49</v>
      </c>
      <c r="AO184" s="1">
        <v>45936</v>
      </c>
      <c r="AP184" s="5">
        <v>0.625</v>
      </c>
      <c r="AS184">
        <v>1</v>
      </c>
    </row>
    <row r="185" spans="1:45" x14ac:dyDescent="0.2">
      <c r="A185">
        <f t="shared" si="10"/>
        <v>2025</v>
      </c>
      <c r="B185">
        <f t="shared" si="11"/>
        <v>10</v>
      </c>
      <c r="C185">
        <f t="shared" si="12"/>
        <v>41</v>
      </c>
      <c r="D185" s="2">
        <f t="shared" si="13"/>
        <v>45936</v>
      </c>
      <c r="E185" s="1">
        <v>45936.625</v>
      </c>
      <c r="F185" t="s">
        <v>694</v>
      </c>
      <c r="G185" t="s">
        <v>36</v>
      </c>
      <c r="H185" t="s">
        <v>37</v>
      </c>
      <c r="I185" t="s">
        <v>38</v>
      </c>
      <c r="J185" t="s">
        <v>99</v>
      </c>
      <c r="M185" t="s">
        <v>40</v>
      </c>
      <c r="N185" t="s">
        <v>41</v>
      </c>
      <c r="O185" t="s">
        <v>42</v>
      </c>
      <c r="P185">
        <v>23</v>
      </c>
      <c r="Q185">
        <v>0</v>
      </c>
      <c r="R185">
        <v>0</v>
      </c>
      <c r="S185">
        <v>0</v>
      </c>
      <c r="T185" t="s">
        <v>695</v>
      </c>
      <c r="U185" t="s">
        <v>44</v>
      </c>
      <c r="W185" t="s">
        <v>613</v>
      </c>
      <c r="Y185">
        <v>0</v>
      </c>
      <c r="AA185" t="s">
        <v>40</v>
      </c>
      <c r="AB185" t="s">
        <v>46</v>
      </c>
      <c r="AC185" t="s">
        <v>47</v>
      </c>
      <c r="AF185" t="s">
        <v>48</v>
      </c>
      <c r="AJ185" t="s">
        <v>40</v>
      </c>
      <c r="AK185" t="s">
        <v>49</v>
      </c>
      <c r="AO185" s="1">
        <v>45936</v>
      </c>
      <c r="AP185" s="5">
        <v>0.625</v>
      </c>
      <c r="AS185">
        <v>1</v>
      </c>
    </row>
    <row r="186" spans="1:45" x14ac:dyDescent="0.2">
      <c r="A186">
        <f t="shared" si="10"/>
        <v>2025</v>
      </c>
      <c r="B186">
        <f t="shared" si="11"/>
        <v>10</v>
      </c>
      <c r="C186">
        <f t="shared" si="12"/>
        <v>41</v>
      </c>
      <c r="D186" s="2">
        <f t="shared" si="13"/>
        <v>45936</v>
      </c>
      <c r="E186" s="1">
        <v>45936.625</v>
      </c>
      <c r="F186" t="s">
        <v>696</v>
      </c>
      <c r="G186" t="s">
        <v>36</v>
      </c>
      <c r="H186">
        <v>452205</v>
      </c>
      <c r="I186" t="s">
        <v>51</v>
      </c>
      <c r="J186" t="s">
        <v>188</v>
      </c>
      <c r="M186" t="s">
        <v>40</v>
      </c>
      <c r="N186" t="s">
        <v>41</v>
      </c>
      <c r="O186" t="s">
        <v>172</v>
      </c>
      <c r="P186">
        <v>33</v>
      </c>
      <c r="Q186">
        <v>0</v>
      </c>
      <c r="R186">
        <v>0</v>
      </c>
      <c r="S186">
        <v>0</v>
      </c>
      <c r="T186" t="s">
        <v>54</v>
      </c>
      <c r="U186" t="s">
        <v>55</v>
      </c>
      <c r="W186" t="s">
        <v>697</v>
      </c>
      <c r="Y186">
        <v>0</v>
      </c>
      <c r="AA186" t="s">
        <v>40</v>
      </c>
      <c r="AB186" t="s">
        <v>46</v>
      </c>
      <c r="AC186" t="s">
        <v>47</v>
      </c>
      <c r="AG186" t="s">
        <v>698</v>
      </c>
      <c r="AJ186" t="s">
        <v>40</v>
      </c>
      <c r="AK186">
        <v>5019098215</v>
      </c>
      <c r="AO186" s="1">
        <v>45936</v>
      </c>
      <c r="AP186" s="5">
        <v>0.625</v>
      </c>
      <c r="AS186">
        <v>1</v>
      </c>
    </row>
    <row r="187" spans="1:45" x14ac:dyDescent="0.2">
      <c r="A187">
        <f t="shared" si="10"/>
        <v>2025</v>
      </c>
      <c r="B187">
        <f t="shared" si="11"/>
        <v>10</v>
      </c>
      <c r="C187">
        <f t="shared" si="12"/>
        <v>41</v>
      </c>
      <c r="D187" s="2">
        <f t="shared" si="13"/>
        <v>45936</v>
      </c>
      <c r="E187" s="1">
        <v>45936.625</v>
      </c>
      <c r="F187" t="s">
        <v>699</v>
      </c>
      <c r="G187" t="s">
        <v>36</v>
      </c>
      <c r="H187" t="s">
        <v>700</v>
      </c>
      <c r="I187" t="s">
        <v>38</v>
      </c>
      <c r="J187" t="s">
        <v>471</v>
      </c>
      <c r="M187" t="s">
        <v>40</v>
      </c>
      <c r="N187" t="s">
        <v>41</v>
      </c>
      <c r="O187" t="s">
        <v>42</v>
      </c>
      <c r="P187">
        <v>36</v>
      </c>
      <c r="Q187">
        <v>0</v>
      </c>
      <c r="R187">
        <v>0</v>
      </c>
      <c r="S187">
        <v>0</v>
      </c>
      <c r="T187" t="s">
        <v>701</v>
      </c>
      <c r="U187" t="s">
        <v>392</v>
      </c>
      <c r="W187" t="s">
        <v>604</v>
      </c>
      <c r="Y187">
        <v>0</v>
      </c>
      <c r="AA187" t="s">
        <v>40</v>
      </c>
      <c r="AB187" t="s">
        <v>46</v>
      </c>
      <c r="AC187" t="s">
        <v>47</v>
      </c>
      <c r="AF187" t="s">
        <v>393</v>
      </c>
      <c r="AJ187" t="s">
        <v>40</v>
      </c>
      <c r="AK187" t="s">
        <v>49</v>
      </c>
      <c r="AO187" s="1">
        <v>45936</v>
      </c>
      <c r="AP187" s="5">
        <v>0.625</v>
      </c>
      <c r="AS187">
        <v>1</v>
      </c>
    </row>
    <row r="188" spans="1:45" x14ac:dyDescent="0.2">
      <c r="A188">
        <f t="shared" si="10"/>
        <v>2025</v>
      </c>
      <c r="B188">
        <f t="shared" si="11"/>
        <v>10</v>
      </c>
      <c r="C188">
        <f t="shared" si="12"/>
        <v>41</v>
      </c>
      <c r="D188" s="2">
        <f t="shared" si="13"/>
        <v>45936</v>
      </c>
      <c r="E188" s="1">
        <v>45936.625</v>
      </c>
      <c r="F188" t="s">
        <v>702</v>
      </c>
      <c r="G188" t="s">
        <v>36</v>
      </c>
      <c r="H188" t="s">
        <v>37</v>
      </c>
      <c r="I188" t="s">
        <v>38</v>
      </c>
      <c r="J188" t="s">
        <v>99</v>
      </c>
      <c r="M188" t="s">
        <v>40</v>
      </c>
      <c r="N188" t="s">
        <v>41</v>
      </c>
      <c r="O188" t="s">
        <v>42</v>
      </c>
      <c r="P188">
        <v>23</v>
      </c>
      <c r="Q188">
        <v>0</v>
      </c>
      <c r="R188">
        <v>0</v>
      </c>
      <c r="S188">
        <v>0</v>
      </c>
      <c r="T188" t="s">
        <v>703</v>
      </c>
      <c r="U188" t="s">
        <v>44</v>
      </c>
      <c r="W188" t="s">
        <v>613</v>
      </c>
      <c r="Y188">
        <v>0</v>
      </c>
      <c r="AA188" t="s">
        <v>40</v>
      </c>
      <c r="AB188" t="s">
        <v>46</v>
      </c>
      <c r="AC188" t="s">
        <v>47</v>
      </c>
      <c r="AF188" t="s">
        <v>48</v>
      </c>
      <c r="AJ188" t="s">
        <v>40</v>
      </c>
      <c r="AK188" t="s">
        <v>49</v>
      </c>
      <c r="AO188" s="1">
        <v>45936</v>
      </c>
      <c r="AP188" s="5">
        <v>0.625</v>
      </c>
      <c r="AS188">
        <v>1</v>
      </c>
    </row>
    <row r="189" spans="1:45" x14ac:dyDescent="0.2">
      <c r="A189">
        <f t="shared" si="10"/>
        <v>2025</v>
      </c>
      <c r="B189">
        <f t="shared" si="11"/>
        <v>10</v>
      </c>
      <c r="C189">
        <f t="shared" si="12"/>
        <v>41</v>
      </c>
      <c r="D189" s="2">
        <f t="shared" si="13"/>
        <v>45936</v>
      </c>
      <c r="E189" s="1">
        <v>45936.666666666664</v>
      </c>
      <c r="F189" t="s">
        <v>704</v>
      </c>
      <c r="G189" t="s">
        <v>36</v>
      </c>
      <c r="H189">
        <v>452211</v>
      </c>
      <c r="I189" t="s">
        <v>51</v>
      </c>
      <c r="J189" t="s">
        <v>200</v>
      </c>
      <c r="M189" t="s">
        <v>40</v>
      </c>
      <c r="N189" t="s">
        <v>41</v>
      </c>
      <c r="O189" t="s">
        <v>182</v>
      </c>
      <c r="P189">
        <v>33</v>
      </c>
      <c r="Q189">
        <v>0</v>
      </c>
      <c r="R189">
        <v>0</v>
      </c>
      <c r="S189">
        <v>0</v>
      </c>
      <c r="T189" t="s">
        <v>54</v>
      </c>
      <c r="U189" t="s">
        <v>55</v>
      </c>
      <c r="W189" t="s">
        <v>705</v>
      </c>
      <c r="Y189">
        <v>0</v>
      </c>
      <c r="AA189" t="s">
        <v>40</v>
      </c>
      <c r="AB189" t="s">
        <v>46</v>
      </c>
      <c r="AC189" t="s">
        <v>47</v>
      </c>
      <c r="AG189" t="s">
        <v>706</v>
      </c>
      <c r="AJ189" t="s">
        <v>40</v>
      </c>
      <c r="AK189">
        <v>5019101964</v>
      </c>
      <c r="AO189" s="1">
        <v>45936</v>
      </c>
      <c r="AP189" s="5">
        <v>0.66666666666666663</v>
      </c>
      <c r="AS189">
        <v>1</v>
      </c>
    </row>
    <row r="190" spans="1:45" x14ac:dyDescent="0.2">
      <c r="A190">
        <f t="shared" si="10"/>
        <v>2025</v>
      </c>
      <c r="B190">
        <f t="shared" si="11"/>
        <v>10</v>
      </c>
      <c r="C190">
        <f t="shared" si="12"/>
        <v>41</v>
      </c>
      <c r="D190" s="2">
        <f t="shared" si="13"/>
        <v>45936</v>
      </c>
      <c r="E190" s="1">
        <v>45936.666666666664</v>
      </c>
      <c r="F190" t="s">
        <v>707</v>
      </c>
      <c r="G190" t="s">
        <v>36</v>
      </c>
      <c r="H190" t="s">
        <v>626</v>
      </c>
      <c r="I190" t="s">
        <v>38</v>
      </c>
      <c r="J190" t="s">
        <v>451</v>
      </c>
      <c r="M190" t="s">
        <v>40</v>
      </c>
      <c r="N190" t="s">
        <v>41</v>
      </c>
      <c r="O190" t="s">
        <v>42</v>
      </c>
      <c r="P190">
        <v>23</v>
      </c>
      <c r="Q190">
        <v>0</v>
      </c>
      <c r="R190">
        <v>0</v>
      </c>
      <c r="S190">
        <v>0</v>
      </c>
      <c r="T190" t="s">
        <v>708</v>
      </c>
      <c r="U190" t="s">
        <v>44</v>
      </c>
      <c r="W190" t="s">
        <v>613</v>
      </c>
      <c r="Y190">
        <v>0</v>
      </c>
      <c r="AA190" t="s">
        <v>40</v>
      </c>
      <c r="AB190" t="s">
        <v>46</v>
      </c>
      <c r="AC190" t="s">
        <v>47</v>
      </c>
      <c r="AF190" t="s">
        <v>48</v>
      </c>
      <c r="AJ190" t="s">
        <v>40</v>
      </c>
      <c r="AK190" t="s">
        <v>49</v>
      </c>
      <c r="AO190" s="1">
        <v>45936</v>
      </c>
      <c r="AP190" s="5">
        <v>0.66666666666666663</v>
      </c>
      <c r="AS190">
        <v>1</v>
      </c>
    </row>
    <row r="191" spans="1:45" x14ac:dyDescent="0.2">
      <c r="A191">
        <f t="shared" si="10"/>
        <v>2025</v>
      </c>
      <c r="B191">
        <f t="shared" si="11"/>
        <v>10</v>
      </c>
      <c r="C191">
        <f t="shared" si="12"/>
        <v>41</v>
      </c>
      <c r="D191" s="2">
        <f t="shared" si="13"/>
        <v>45936</v>
      </c>
      <c r="E191" s="1">
        <v>45936.666666666664</v>
      </c>
      <c r="F191" t="s">
        <v>709</v>
      </c>
      <c r="G191" t="s">
        <v>36</v>
      </c>
      <c r="H191">
        <v>452215</v>
      </c>
      <c r="I191" t="s">
        <v>51</v>
      </c>
      <c r="J191" t="s">
        <v>154</v>
      </c>
      <c r="M191" t="s">
        <v>40</v>
      </c>
      <c r="N191" t="s">
        <v>41</v>
      </c>
      <c r="O191" t="s">
        <v>155</v>
      </c>
      <c r="P191">
        <v>33</v>
      </c>
      <c r="Q191">
        <v>0</v>
      </c>
      <c r="R191">
        <v>0</v>
      </c>
      <c r="S191">
        <v>0</v>
      </c>
      <c r="T191" t="s">
        <v>54</v>
      </c>
      <c r="U191" t="s">
        <v>55</v>
      </c>
      <c r="W191" t="s">
        <v>613</v>
      </c>
      <c r="Y191">
        <v>0</v>
      </c>
      <c r="AA191" t="s">
        <v>40</v>
      </c>
      <c r="AB191" t="s">
        <v>46</v>
      </c>
      <c r="AC191" t="s">
        <v>47</v>
      </c>
      <c r="AG191" t="s">
        <v>710</v>
      </c>
      <c r="AJ191" t="s">
        <v>40</v>
      </c>
      <c r="AK191">
        <v>5019103522</v>
      </c>
      <c r="AO191" s="1">
        <v>45936</v>
      </c>
      <c r="AP191" s="5">
        <v>0.66666666666666663</v>
      </c>
      <c r="AS191">
        <v>1</v>
      </c>
    </row>
    <row r="192" spans="1:45" x14ac:dyDescent="0.2">
      <c r="A192">
        <f t="shared" si="10"/>
        <v>2025</v>
      </c>
      <c r="B192">
        <f t="shared" si="11"/>
        <v>10</v>
      </c>
      <c r="C192">
        <f t="shared" si="12"/>
        <v>41</v>
      </c>
      <c r="D192" s="2">
        <f t="shared" si="13"/>
        <v>45936</v>
      </c>
      <c r="E192" s="1">
        <v>45936.666666666664</v>
      </c>
      <c r="F192" t="s">
        <v>711</v>
      </c>
      <c r="G192" t="s">
        <v>36</v>
      </c>
      <c r="H192" t="s">
        <v>712</v>
      </c>
      <c r="I192" t="s">
        <v>78</v>
      </c>
      <c r="J192" t="s">
        <v>713</v>
      </c>
      <c r="M192" t="s">
        <v>40</v>
      </c>
      <c r="N192" t="s">
        <v>41</v>
      </c>
      <c r="O192" t="s">
        <v>714</v>
      </c>
      <c r="P192">
        <v>66</v>
      </c>
      <c r="Q192">
        <v>0</v>
      </c>
      <c r="R192">
        <v>0</v>
      </c>
      <c r="S192">
        <v>0</v>
      </c>
      <c r="T192" t="s">
        <v>54</v>
      </c>
      <c r="U192" t="s">
        <v>55</v>
      </c>
      <c r="W192" t="s">
        <v>715</v>
      </c>
      <c r="Y192">
        <v>0</v>
      </c>
      <c r="AA192" t="s">
        <v>40</v>
      </c>
      <c r="AB192" t="s">
        <v>46</v>
      </c>
      <c r="AC192" t="s">
        <v>47</v>
      </c>
      <c r="AD192" t="s">
        <v>81</v>
      </c>
      <c r="AE192" t="s">
        <v>81</v>
      </c>
      <c r="AG192" t="s">
        <v>716</v>
      </c>
      <c r="AJ192" t="s">
        <v>40</v>
      </c>
      <c r="AK192" t="s">
        <v>717</v>
      </c>
      <c r="AO192" s="1">
        <v>45936</v>
      </c>
      <c r="AP192" s="5">
        <v>0.66666666666666663</v>
      </c>
      <c r="AS192">
        <v>1</v>
      </c>
    </row>
    <row r="193" spans="1:45" x14ac:dyDescent="0.2">
      <c r="A193">
        <f t="shared" si="10"/>
        <v>2025</v>
      </c>
      <c r="B193">
        <f t="shared" si="11"/>
        <v>10</v>
      </c>
      <c r="C193">
        <f t="shared" si="12"/>
        <v>41</v>
      </c>
      <c r="D193" s="2">
        <f t="shared" si="13"/>
        <v>45936</v>
      </c>
      <c r="E193" s="1">
        <v>45936.708333333336</v>
      </c>
      <c r="F193" t="s">
        <v>718</v>
      </c>
      <c r="G193" t="s">
        <v>36</v>
      </c>
      <c r="H193" t="s">
        <v>719</v>
      </c>
      <c r="I193" t="s">
        <v>78</v>
      </c>
      <c r="J193" t="s">
        <v>144</v>
      </c>
      <c r="M193" t="s">
        <v>40</v>
      </c>
      <c r="N193" t="s">
        <v>41</v>
      </c>
      <c r="O193" t="s">
        <v>417</v>
      </c>
      <c r="P193">
        <v>66</v>
      </c>
      <c r="Q193">
        <v>0</v>
      </c>
      <c r="R193">
        <v>0</v>
      </c>
      <c r="S193">
        <v>0</v>
      </c>
      <c r="T193" t="s">
        <v>54</v>
      </c>
      <c r="U193" t="s">
        <v>55</v>
      </c>
      <c r="W193" t="s">
        <v>720</v>
      </c>
      <c r="X193" t="s">
        <v>721</v>
      </c>
      <c r="Y193">
        <v>0</v>
      </c>
      <c r="AA193" t="s">
        <v>40</v>
      </c>
      <c r="AB193" t="s">
        <v>46</v>
      </c>
      <c r="AC193" t="s">
        <v>47</v>
      </c>
      <c r="AD193" t="s">
        <v>81</v>
      </c>
      <c r="AE193" t="s">
        <v>81</v>
      </c>
      <c r="AG193" t="s">
        <v>722</v>
      </c>
      <c r="AJ193" t="s">
        <v>40</v>
      </c>
      <c r="AK193" t="s">
        <v>723</v>
      </c>
      <c r="AL193" t="s">
        <v>724</v>
      </c>
      <c r="AM193" t="s">
        <v>725</v>
      </c>
      <c r="AO193" s="1">
        <v>45936</v>
      </c>
      <c r="AP193" s="5">
        <v>0.70833333333333337</v>
      </c>
      <c r="AS193">
        <v>1</v>
      </c>
    </row>
    <row r="194" spans="1:45" x14ac:dyDescent="0.2">
      <c r="A194">
        <f t="shared" ref="A194:A257" si="14">YEAR(D194)</f>
        <v>2025</v>
      </c>
      <c r="B194">
        <f t="shared" ref="B194:B257" si="15">MONTH(D194)</f>
        <v>10</v>
      </c>
      <c r="C194">
        <f t="shared" ref="C194:C257" si="16">WEEKNUM(D194)</f>
        <v>41</v>
      </c>
      <c r="D194" s="2">
        <f t="shared" ref="D194:D257" si="17">INT(E194)</f>
        <v>45936</v>
      </c>
      <c r="E194" s="1">
        <v>45936.708333333336</v>
      </c>
      <c r="F194" t="s">
        <v>726</v>
      </c>
      <c r="G194" t="s">
        <v>36</v>
      </c>
      <c r="H194">
        <v>452202</v>
      </c>
      <c r="I194" t="s">
        <v>51</v>
      </c>
      <c r="J194" t="s">
        <v>194</v>
      </c>
      <c r="M194" t="s">
        <v>40</v>
      </c>
      <c r="N194" t="s">
        <v>41</v>
      </c>
      <c r="O194" t="s">
        <v>189</v>
      </c>
      <c r="P194">
        <v>33</v>
      </c>
      <c r="Q194">
        <v>0</v>
      </c>
      <c r="R194">
        <v>0</v>
      </c>
      <c r="S194">
        <v>0</v>
      </c>
      <c r="T194" t="s">
        <v>54</v>
      </c>
      <c r="U194" t="s">
        <v>55</v>
      </c>
      <c r="W194" t="s">
        <v>613</v>
      </c>
      <c r="Y194">
        <v>0</v>
      </c>
      <c r="AA194" t="s">
        <v>40</v>
      </c>
      <c r="AB194" t="s">
        <v>46</v>
      </c>
      <c r="AC194" t="s">
        <v>47</v>
      </c>
      <c r="AG194" t="s">
        <v>727</v>
      </c>
      <c r="AJ194" t="s">
        <v>40</v>
      </c>
      <c r="AK194">
        <v>5019102082</v>
      </c>
      <c r="AO194" s="1">
        <v>45936</v>
      </c>
      <c r="AP194" s="5">
        <v>0.70833333333333337</v>
      </c>
      <c r="AS194">
        <v>1</v>
      </c>
    </row>
    <row r="195" spans="1:45" x14ac:dyDescent="0.2">
      <c r="A195">
        <f t="shared" si="14"/>
        <v>2025</v>
      </c>
      <c r="B195">
        <f t="shared" si="15"/>
        <v>10</v>
      </c>
      <c r="C195">
        <f t="shared" si="16"/>
        <v>41</v>
      </c>
      <c r="D195" s="2">
        <f t="shared" si="17"/>
        <v>45936</v>
      </c>
      <c r="E195" s="1">
        <v>45936.708333333336</v>
      </c>
      <c r="F195" t="s">
        <v>728</v>
      </c>
      <c r="G195" t="s">
        <v>36</v>
      </c>
      <c r="H195">
        <v>452210</v>
      </c>
      <c r="I195" t="s">
        <v>51</v>
      </c>
      <c r="J195" t="s">
        <v>188</v>
      </c>
      <c r="M195" t="s">
        <v>40</v>
      </c>
      <c r="N195" t="s">
        <v>41</v>
      </c>
      <c r="O195" t="s">
        <v>189</v>
      </c>
      <c r="P195">
        <v>33</v>
      </c>
      <c r="Q195">
        <v>0</v>
      </c>
      <c r="R195">
        <v>0</v>
      </c>
      <c r="S195">
        <v>0</v>
      </c>
      <c r="T195" t="s">
        <v>54</v>
      </c>
      <c r="U195" t="s">
        <v>55</v>
      </c>
      <c r="W195" t="s">
        <v>729</v>
      </c>
      <c r="Y195">
        <v>0</v>
      </c>
      <c r="AA195" t="s">
        <v>40</v>
      </c>
      <c r="AB195" t="s">
        <v>46</v>
      </c>
      <c r="AC195" t="s">
        <v>47</v>
      </c>
      <c r="AG195" t="s">
        <v>730</v>
      </c>
      <c r="AJ195" t="s">
        <v>40</v>
      </c>
      <c r="AK195">
        <v>5019098292</v>
      </c>
      <c r="AO195" s="1">
        <v>45936</v>
      </c>
      <c r="AP195" s="5">
        <v>0.70833333333333337</v>
      </c>
      <c r="AS195">
        <v>1</v>
      </c>
    </row>
    <row r="196" spans="1:45" x14ac:dyDescent="0.2">
      <c r="A196">
        <f t="shared" si="14"/>
        <v>2025</v>
      </c>
      <c r="B196">
        <f t="shared" si="15"/>
        <v>10</v>
      </c>
      <c r="C196">
        <f t="shared" si="16"/>
        <v>41</v>
      </c>
      <c r="D196" s="2">
        <f t="shared" si="17"/>
        <v>45936</v>
      </c>
      <c r="E196" s="1">
        <v>45936.75</v>
      </c>
      <c r="F196" t="s">
        <v>731</v>
      </c>
      <c r="G196" t="s">
        <v>36</v>
      </c>
      <c r="H196">
        <v>452213</v>
      </c>
      <c r="I196" t="s">
        <v>51</v>
      </c>
      <c r="J196" t="s">
        <v>219</v>
      </c>
      <c r="M196" t="s">
        <v>40</v>
      </c>
      <c r="N196" t="s">
        <v>41</v>
      </c>
      <c r="O196" t="s">
        <v>90</v>
      </c>
      <c r="P196">
        <v>33</v>
      </c>
      <c r="Q196">
        <v>0</v>
      </c>
      <c r="R196">
        <v>0</v>
      </c>
      <c r="S196">
        <v>0</v>
      </c>
      <c r="T196" t="s">
        <v>54</v>
      </c>
      <c r="U196" t="s">
        <v>55</v>
      </c>
      <c r="W196" t="s">
        <v>732</v>
      </c>
      <c r="X196" t="s">
        <v>733</v>
      </c>
      <c r="Y196">
        <v>0</v>
      </c>
      <c r="AA196" t="s">
        <v>40</v>
      </c>
      <c r="AB196" t="s">
        <v>46</v>
      </c>
      <c r="AC196" t="s">
        <v>47</v>
      </c>
      <c r="AG196" t="s">
        <v>734</v>
      </c>
      <c r="AJ196" t="s">
        <v>40</v>
      </c>
      <c r="AK196">
        <v>5019083710</v>
      </c>
      <c r="AL196" t="s">
        <v>735</v>
      </c>
      <c r="AM196" t="s">
        <v>736</v>
      </c>
      <c r="AO196" s="1">
        <v>45936</v>
      </c>
      <c r="AP196" s="5">
        <v>0.75</v>
      </c>
      <c r="AS196">
        <v>1</v>
      </c>
    </row>
    <row r="197" spans="1:45" x14ac:dyDescent="0.2">
      <c r="A197">
        <f t="shared" si="14"/>
        <v>2025</v>
      </c>
      <c r="B197">
        <f t="shared" si="15"/>
        <v>10</v>
      </c>
      <c r="C197">
        <f t="shared" si="16"/>
        <v>41</v>
      </c>
      <c r="D197" s="2">
        <f t="shared" si="17"/>
        <v>45936</v>
      </c>
      <c r="E197" s="1">
        <v>45936.75</v>
      </c>
      <c r="F197" t="s">
        <v>737</v>
      </c>
      <c r="G197" t="s">
        <v>36</v>
      </c>
      <c r="H197">
        <v>452199</v>
      </c>
      <c r="I197" t="s">
        <v>51</v>
      </c>
      <c r="J197" t="s">
        <v>194</v>
      </c>
      <c r="M197" t="s">
        <v>40</v>
      </c>
      <c r="N197" t="s">
        <v>41</v>
      </c>
      <c r="O197" t="s">
        <v>210</v>
      </c>
      <c r="P197">
        <v>33</v>
      </c>
      <c r="Q197">
        <v>0</v>
      </c>
      <c r="R197">
        <v>0</v>
      </c>
      <c r="S197">
        <v>0</v>
      </c>
      <c r="T197" t="s">
        <v>54</v>
      </c>
      <c r="U197" t="s">
        <v>55</v>
      </c>
      <c r="W197" t="s">
        <v>738</v>
      </c>
      <c r="X197" t="s">
        <v>739</v>
      </c>
      <c r="Y197">
        <v>0</v>
      </c>
      <c r="AA197" t="s">
        <v>40</v>
      </c>
      <c r="AB197" t="s">
        <v>46</v>
      </c>
      <c r="AC197" t="s">
        <v>47</v>
      </c>
      <c r="AG197" t="s">
        <v>740</v>
      </c>
      <c r="AJ197" t="s">
        <v>40</v>
      </c>
      <c r="AK197">
        <v>5019082750</v>
      </c>
      <c r="AL197" t="s">
        <v>741</v>
      </c>
      <c r="AM197" t="s">
        <v>742</v>
      </c>
      <c r="AO197" s="1">
        <v>45936</v>
      </c>
      <c r="AP197" s="5">
        <v>0.75</v>
      </c>
      <c r="AS197">
        <v>1</v>
      </c>
    </row>
    <row r="198" spans="1:45" x14ac:dyDescent="0.2">
      <c r="A198">
        <f t="shared" si="14"/>
        <v>2025</v>
      </c>
      <c r="B198">
        <f t="shared" si="15"/>
        <v>10</v>
      </c>
      <c r="C198">
        <f t="shared" si="16"/>
        <v>41</v>
      </c>
      <c r="D198" s="2">
        <f t="shared" si="17"/>
        <v>45936</v>
      </c>
      <c r="E198" s="1">
        <v>45936.75</v>
      </c>
      <c r="F198" t="s">
        <v>743</v>
      </c>
      <c r="G198" t="s">
        <v>36</v>
      </c>
      <c r="H198" t="s">
        <v>744</v>
      </c>
      <c r="I198" t="s">
        <v>78</v>
      </c>
      <c r="J198" t="s">
        <v>355</v>
      </c>
      <c r="M198" t="s">
        <v>40</v>
      </c>
      <c r="N198" t="s">
        <v>41</v>
      </c>
      <c r="O198" t="s">
        <v>356</v>
      </c>
      <c r="P198">
        <v>66</v>
      </c>
      <c r="Q198">
        <v>0</v>
      </c>
      <c r="R198">
        <v>0</v>
      </c>
      <c r="S198">
        <v>0</v>
      </c>
      <c r="T198" t="s">
        <v>54</v>
      </c>
      <c r="U198" t="s">
        <v>55</v>
      </c>
      <c r="W198" t="s">
        <v>745</v>
      </c>
      <c r="Y198">
        <v>0</v>
      </c>
      <c r="AA198" t="s">
        <v>40</v>
      </c>
      <c r="AB198" t="s">
        <v>46</v>
      </c>
      <c r="AC198" t="s">
        <v>47</v>
      </c>
      <c r="AD198" t="s">
        <v>81</v>
      </c>
      <c r="AE198" t="s">
        <v>81</v>
      </c>
      <c r="AG198" t="s">
        <v>746</v>
      </c>
      <c r="AJ198" t="s">
        <v>40</v>
      </c>
      <c r="AK198" t="s">
        <v>747</v>
      </c>
      <c r="AO198" s="1">
        <v>45936</v>
      </c>
      <c r="AP198" s="5">
        <v>0.75</v>
      </c>
      <c r="AS198">
        <v>1</v>
      </c>
    </row>
    <row r="199" spans="1:45" x14ac:dyDescent="0.2">
      <c r="A199">
        <f t="shared" si="14"/>
        <v>2025</v>
      </c>
      <c r="B199">
        <f t="shared" si="15"/>
        <v>10</v>
      </c>
      <c r="C199">
        <f t="shared" si="16"/>
        <v>41</v>
      </c>
      <c r="D199" s="2">
        <f t="shared" si="17"/>
        <v>45936</v>
      </c>
      <c r="E199" s="1">
        <v>45936.791666666664</v>
      </c>
      <c r="F199" t="s">
        <v>748</v>
      </c>
      <c r="G199" t="s">
        <v>36</v>
      </c>
      <c r="H199">
        <v>455117</v>
      </c>
      <c r="I199" t="s">
        <v>51</v>
      </c>
      <c r="J199" t="s">
        <v>126</v>
      </c>
      <c r="M199" t="s">
        <v>40</v>
      </c>
      <c r="N199" t="s">
        <v>41</v>
      </c>
      <c r="O199" t="s">
        <v>436</v>
      </c>
      <c r="P199">
        <v>22</v>
      </c>
      <c r="Q199">
        <v>0</v>
      </c>
      <c r="R199">
        <v>0</v>
      </c>
      <c r="S199">
        <v>0</v>
      </c>
      <c r="T199" t="s">
        <v>54</v>
      </c>
      <c r="U199" t="s">
        <v>392</v>
      </c>
      <c r="W199" t="s">
        <v>80</v>
      </c>
      <c r="X199" t="s">
        <v>749</v>
      </c>
      <c r="Y199">
        <v>0</v>
      </c>
      <c r="AA199" t="s">
        <v>40</v>
      </c>
      <c r="AB199" t="s">
        <v>46</v>
      </c>
      <c r="AC199" t="s">
        <v>47</v>
      </c>
      <c r="AG199" t="s">
        <v>750</v>
      </c>
      <c r="AJ199" t="s">
        <v>40</v>
      </c>
      <c r="AK199">
        <v>5019091472</v>
      </c>
      <c r="AL199" t="s">
        <v>751</v>
      </c>
      <c r="AM199" t="s">
        <v>752</v>
      </c>
      <c r="AO199" s="1">
        <v>45936</v>
      </c>
      <c r="AP199" s="5">
        <v>0.79166666666666663</v>
      </c>
      <c r="AS199">
        <v>1</v>
      </c>
    </row>
    <row r="200" spans="1:45" x14ac:dyDescent="0.2">
      <c r="A200">
        <f t="shared" si="14"/>
        <v>2025</v>
      </c>
      <c r="B200">
        <f t="shared" si="15"/>
        <v>10</v>
      </c>
      <c r="C200">
        <f t="shared" si="16"/>
        <v>41</v>
      </c>
      <c r="D200" s="2">
        <f t="shared" si="17"/>
        <v>45936</v>
      </c>
      <c r="E200" s="1">
        <v>45936.791666666664</v>
      </c>
      <c r="F200" t="s">
        <v>753</v>
      </c>
      <c r="G200" t="s">
        <v>36</v>
      </c>
      <c r="H200">
        <v>452204</v>
      </c>
      <c r="I200" t="s">
        <v>51</v>
      </c>
      <c r="J200" t="s">
        <v>219</v>
      </c>
      <c r="M200" t="s">
        <v>40</v>
      </c>
      <c r="N200" t="s">
        <v>41</v>
      </c>
      <c r="O200" t="s">
        <v>90</v>
      </c>
      <c r="P200">
        <v>33</v>
      </c>
      <c r="Q200">
        <v>0</v>
      </c>
      <c r="R200">
        <v>0</v>
      </c>
      <c r="S200">
        <v>0</v>
      </c>
      <c r="T200" t="s">
        <v>54</v>
      </c>
      <c r="U200" t="s">
        <v>55</v>
      </c>
      <c r="W200" t="s">
        <v>617</v>
      </c>
      <c r="X200" t="s">
        <v>754</v>
      </c>
      <c r="Y200">
        <v>0</v>
      </c>
      <c r="AA200" t="s">
        <v>40</v>
      </c>
      <c r="AB200" t="s">
        <v>46</v>
      </c>
      <c r="AC200" t="s">
        <v>47</v>
      </c>
      <c r="AG200" t="s">
        <v>755</v>
      </c>
      <c r="AJ200" t="s">
        <v>40</v>
      </c>
      <c r="AK200">
        <v>5019101806</v>
      </c>
      <c r="AL200" t="s">
        <v>756</v>
      </c>
      <c r="AM200" t="s">
        <v>757</v>
      </c>
      <c r="AO200" s="1">
        <v>45936</v>
      </c>
      <c r="AP200" s="5">
        <v>0.79166666666666663</v>
      </c>
      <c r="AS200">
        <v>1</v>
      </c>
    </row>
    <row r="201" spans="1:45" x14ac:dyDescent="0.2">
      <c r="A201">
        <f t="shared" si="14"/>
        <v>2025</v>
      </c>
      <c r="B201">
        <f t="shared" si="15"/>
        <v>10</v>
      </c>
      <c r="C201">
        <f t="shared" si="16"/>
        <v>41</v>
      </c>
      <c r="D201" s="2">
        <f t="shared" si="17"/>
        <v>45936</v>
      </c>
      <c r="E201" s="1">
        <v>45936.791666666664</v>
      </c>
      <c r="F201" t="s">
        <v>758</v>
      </c>
      <c r="G201" t="s">
        <v>36</v>
      </c>
      <c r="H201">
        <v>451340</v>
      </c>
      <c r="I201" t="s">
        <v>51</v>
      </c>
      <c r="J201" t="s">
        <v>188</v>
      </c>
      <c r="M201" t="s">
        <v>40</v>
      </c>
      <c r="N201" t="s">
        <v>41</v>
      </c>
      <c r="O201" t="s">
        <v>172</v>
      </c>
      <c r="P201">
        <v>33</v>
      </c>
      <c r="Q201">
        <v>0</v>
      </c>
      <c r="R201">
        <v>0</v>
      </c>
      <c r="S201">
        <v>0</v>
      </c>
      <c r="T201" t="s">
        <v>54</v>
      </c>
      <c r="U201" t="s">
        <v>55</v>
      </c>
      <c r="W201" t="s">
        <v>759</v>
      </c>
      <c r="X201" t="s">
        <v>760</v>
      </c>
      <c r="Y201">
        <v>0</v>
      </c>
      <c r="AA201" t="s">
        <v>40</v>
      </c>
      <c r="AB201" t="s">
        <v>46</v>
      </c>
      <c r="AC201" t="s">
        <v>47</v>
      </c>
      <c r="AG201" t="s">
        <v>761</v>
      </c>
      <c r="AJ201" t="s">
        <v>40</v>
      </c>
      <c r="AK201">
        <v>5019096946</v>
      </c>
      <c r="AL201" t="s">
        <v>762</v>
      </c>
      <c r="AM201" t="s">
        <v>763</v>
      </c>
      <c r="AO201" s="1">
        <v>45936</v>
      </c>
      <c r="AP201" s="5">
        <v>0.79166666666666663</v>
      </c>
      <c r="AS201">
        <v>1</v>
      </c>
    </row>
    <row r="202" spans="1:45" x14ac:dyDescent="0.2">
      <c r="A202">
        <f t="shared" si="14"/>
        <v>2025</v>
      </c>
      <c r="B202">
        <f t="shared" si="15"/>
        <v>10</v>
      </c>
      <c r="C202">
        <f t="shared" si="16"/>
        <v>41</v>
      </c>
      <c r="D202" s="2">
        <f t="shared" si="17"/>
        <v>45936</v>
      </c>
      <c r="E202" s="1">
        <v>45936.791666666664</v>
      </c>
      <c r="F202" t="s">
        <v>764</v>
      </c>
      <c r="G202" t="s">
        <v>36</v>
      </c>
      <c r="H202">
        <v>452206</v>
      </c>
      <c r="I202" t="s">
        <v>51</v>
      </c>
      <c r="J202" t="s">
        <v>126</v>
      </c>
      <c r="M202" t="s">
        <v>40</v>
      </c>
      <c r="N202" t="s">
        <v>41</v>
      </c>
      <c r="O202" t="s">
        <v>127</v>
      </c>
      <c r="P202">
        <v>33</v>
      </c>
      <c r="Q202">
        <v>0</v>
      </c>
      <c r="R202">
        <v>0</v>
      </c>
      <c r="S202">
        <v>0</v>
      </c>
      <c r="T202" t="s">
        <v>54</v>
      </c>
      <c r="U202" t="s">
        <v>55</v>
      </c>
      <c r="W202" t="s">
        <v>207</v>
      </c>
      <c r="X202" t="s">
        <v>765</v>
      </c>
      <c r="Y202">
        <v>0</v>
      </c>
      <c r="AA202" t="s">
        <v>40</v>
      </c>
      <c r="AB202" t="s">
        <v>46</v>
      </c>
      <c r="AC202" t="s">
        <v>47</v>
      </c>
      <c r="AG202" t="s">
        <v>766</v>
      </c>
      <c r="AJ202" t="s">
        <v>40</v>
      </c>
      <c r="AK202">
        <v>5019096719</v>
      </c>
      <c r="AL202" t="s">
        <v>767</v>
      </c>
      <c r="AM202" t="s">
        <v>768</v>
      </c>
      <c r="AO202" s="1">
        <v>45936</v>
      </c>
      <c r="AP202" s="5">
        <v>0.79166666666666663</v>
      </c>
      <c r="AS202">
        <v>1</v>
      </c>
    </row>
    <row r="203" spans="1:45" x14ac:dyDescent="0.2">
      <c r="A203">
        <f t="shared" si="14"/>
        <v>2025</v>
      </c>
      <c r="B203">
        <f t="shared" si="15"/>
        <v>10</v>
      </c>
      <c r="C203">
        <f t="shared" si="16"/>
        <v>41</v>
      </c>
      <c r="D203" s="2">
        <f t="shared" si="17"/>
        <v>45936</v>
      </c>
      <c r="E203" s="1">
        <v>45936.833333333336</v>
      </c>
      <c r="F203" t="s">
        <v>769</v>
      </c>
      <c r="G203" t="s">
        <v>36</v>
      </c>
      <c r="H203" t="s">
        <v>770</v>
      </c>
      <c r="I203" t="s">
        <v>78</v>
      </c>
      <c r="J203" t="s">
        <v>126</v>
      </c>
      <c r="M203" t="s">
        <v>40</v>
      </c>
      <c r="N203" t="s">
        <v>41</v>
      </c>
      <c r="O203" t="s">
        <v>417</v>
      </c>
      <c r="P203">
        <v>66</v>
      </c>
      <c r="Q203">
        <v>0</v>
      </c>
      <c r="R203">
        <v>0</v>
      </c>
      <c r="S203">
        <v>0</v>
      </c>
      <c r="T203" t="s">
        <v>54</v>
      </c>
      <c r="U203" t="s">
        <v>55</v>
      </c>
      <c r="W203" t="s">
        <v>771</v>
      </c>
      <c r="X203" t="s">
        <v>772</v>
      </c>
      <c r="Y203">
        <v>0</v>
      </c>
      <c r="AA203" t="s">
        <v>40</v>
      </c>
      <c r="AB203" t="s">
        <v>46</v>
      </c>
      <c r="AC203" t="s">
        <v>47</v>
      </c>
      <c r="AD203" t="s">
        <v>81</v>
      </c>
      <c r="AE203" t="s">
        <v>81</v>
      </c>
      <c r="AG203" t="s">
        <v>773</v>
      </c>
      <c r="AJ203" t="s">
        <v>40</v>
      </c>
      <c r="AK203" t="s">
        <v>774</v>
      </c>
      <c r="AL203" t="s">
        <v>775</v>
      </c>
      <c r="AM203" t="s">
        <v>776</v>
      </c>
      <c r="AO203" s="1">
        <v>45936</v>
      </c>
      <c r="AP203" s="5">
        <v>0.83333333333333337</v>
      </c>
      <c r="AS203">
        <v>1</v>
      </c>
    </row>
    <row r="204" spans="1:45" x14ac:dyDescent="0.2">
      <c r="A204">
        <f t="shared" si="14"/>
        <v>2025</v>
      </c>
      <c r="B204">
        <f t="shared" si="15"/>
        <v>10</v>
      </c>
      <c r="C204">
        <f t="shared" si="16"/>
        <v>41</v>
      </c>
      <c r="D204" s="2">
        <f t="shared" si="17"/>
        <v>45936</v>
      </c>
      <c r="E204" s="1">
        <v>45936.958333333336</v>
      </c>
      <c r="F204" t="s">
        <v>777</v>
      </c>
      <c r="G204" t="s">
        <v>36</v>
      </c>
      <c r="H204" t="s">
        <v>778</v>
      </c>
      <c r="I204" t="s">
        <v>38</v>
      </c>
      <c r="J204" t="s">
        <v>471</v>
      </c>
      <c r="M204" t="s">
        <v>40</v>
      </c>
      <c r="N204" t="s">
        <v>41</v>
      </c>
      <c r="O204" t="s">
        <v>42</v>
      </c>
      <c r="P204">
        <v>7</v>
      </c>
      <c r="Q204">
        <v>0</v>
      </c>
      <c r="R204">
        <v>0</v>
      </c>
      <c r="S204">
        <v>0</v>
      </c>
      <c r="T204" t="s">
        <v>701</v>
      </c>
      <c r="U204" t="s">
        <v>392</v>
      </c>
      <c r="W204" t="s">
        <v>604</v>
      </c>
      <c r="Y204">
        <v>0</v>
      </c>
      <c r="AA204" t="s">
        <v>40</v>
      </c>
      <c r="AB204" t="s">
        <v>46</v>
      </c>
      <c r="AC204" t="s">
        <v>47</v>
      </c>
      <c r="AF204" t="s">
        <v>393</v>
      </c>
      <c r="AJ204" t="s">
        <v>40</v>
      </c>
      <c r="AK204" t="s">
        <v>49</v>
      </c>
      <c r="AO204" s="1">
        <v>45936</v>
      </c>
      <c r="AP204" s="5">
        <v>0.95833333333333337</v>
      </c>
      <c r="AS204">
        <v>1</v>
      </c>
    </row>
    <row r="205" spans="1:45" x14ac:dyDescent="0.2">
      <c r="A205">
        <f t="shared" si="14"/>
        <v>2025</v>
      </c>
      <c r="B205">
        <f t="shared" si="15"/>
        <v>10</v>
      </c>
      <c r="C205">
        <f t="shared" si="16"/>
        <v>41</v>
      </c>
      <c r="D205" s="2">
        <f t="shared" si="17"/>
        <v>45937</v>
      </c>
      <c r="E205" s="1">
        <v>45937.25</v>
      </c>
      <c r="F205" t="s">
        <v>779</v>
      </c>
      <c r="G205" t="s">
        <v>36</v>
      </c>
      <c r="H205">
        <v>454261</v>
      </c>
      <c r="I205" t="s">
        <v>51</v>
      </c>
      <c r="J205" t="s">
        <v>52</v>
      </c>
      <c r="M205" t="s">
        <v>40</v>
      </c>
      <c r="N205" t="s">
        <v>41</v>
      </c>
      <c r="O205" t="s">
        <v>53</v>
      </c>
      <c r="P205">
        <v>33</v>
      </c>
      <c r="Q205">
        <v>0</v>
      </c>
      <c r="R205">
        <v>0</v>
      </c>
      <c r="S205">
        <v>0</v>
      </c>
      <c r="T205" t="s">
        <v>54</v>
      </c>
      <c r="U205" t="s">
        <v>55</v>
      </c>
      <c r="W205" t="s">
        <v>617</v>
      </c>
      <c r="Y205">
        <v>0</v>
      </c>
      <c r="AA205" t="s">
        <v>40</v>
      </c>
      <c r="AB205" t="s">
        <v>46</v>
      </c>
      <c r="AC205" t="s">
        <v>47</v>
      </c>
      <c r="AG205" t="s">
        <v>780</v>
      </c>
      <c r="AJ205" t="s">
        <v>40</v>
      </c>
      <c r="AK205">
        <v>5019101500</v>
      </c>
      <c r="AO205" s="1">
        <v>45937</v>
      </c>
      <c r="AP205" s="5">
        <v>0.25</v>
      </c>
      <c r="AS205">
        <v>1</v>
      </c>
    </row>
    <row r="206" spans="1:45" x14ac:dyDescent="0.2">
      <c r="A206">
        <f t="shared" si="14"/>
        <v>2025</v>
      </c>
      <c r="B206">
        <f t="shared" si="15"/>
        <v>10</v>
      </c>
      <c r="C206">
        <f t="shared" si="16"/>
        <v>41</v>
      </c>
      <c r="D206" s="2">
        <f t="shared" si="17"/>
        <v>45937</v>
      </c>
      <c r="E206" s="1">
        <v>45937.25</v>
      </c>
      <c r="F206" t="s">
        <v>781</v>
      </c>
      <c r="G206" t="s">
        <v>36</v>
      </c>
      <c r="H206" t="s">
        <v>111</v>
      </c>
      <c r="I206" t="s">
        <v>38</v>
      </c>
      <c r="J206" t="s">
        <v>99</v>
      </c>
      <c r="M206" t="s">
        <v>40</v>
      </c>
      <c r="N206" t="s">
        <v>41</v>
      </c>
      <c r="O206" t="s">
        <v>42</v>
      </c>
      <c r="P206">
        <v>23</v>
      </c>
      <c r="Q206">
        <v>0</v>
      </c>
      <c r="R206">
        <v>0</v>
      </c>
      <c r="S206">
        <v>0</v>
      </c>
      <c r="T206" t="s">
        <v>511</v>
      </c>
      <c r="U206" t="s">
        <v>233</v>
      </c>
      <c r="W206" t="s">
        <v>782</v>
      </c>
      <c r="Y206">
        <v>0</v>
      </c>
      <c r="AA206" t="s">
        <v>40</v>
      </c>
      <c r="AB206" t="s">
        <v>46</v>
      </c>
      <c r="AC206" t="s">
        <v>47</v>
      </c>
      <c r="AF206" t="s">
        <v>48</v>
      </c>
      <c r="AJ206" t="s">
        <v>40</v>
      </c>
      <c r="AK206" t="s">
        <v>49</v>
      </c>
      <c r="AO206" s="1">
        <v>45937</v>
      </c>
      <c r="AP206" s="5">
        <v>0.25</v>
      </c>
      <c r="AS206">
        <v>1</v>
      </c>
    </row>
    <row r="207" spans="1:45" x14ac:dyDescent="0.2">
      <c r="A207">
        <f t="shared" si="14"/>
        <v>2025</v>
      </c>
      <c r="B207">
        <f t="shared" si="15"/>
        <v>10</v>
      </c>
      <c r="C207">
        <f t="shared" si="16"/>
        <v>41</v>
      </c>
      <c r="D207" s="2">
        <f t="shared" si="17"/>
        <v>45937</v>
      </c>
      <c r="E207" s="1">
        <v>45937.25</v>
      </c>
      <c r="F207" t="s">
        <v>783</v>
      </c>
      <c r="G207" t="s">
        <v>36</v>
      </c>
      <c r="H207">
        <v>455931</v>
      </c>
      <c r="I207" t="s">
        <v>51</v>
      </c>
      <c r="J207" t="s">
        <v>52</v>
      </c>
      <c r="M207" t="s">
        <v>40</v>
      </c>
      <c r="N207" t="s">
        <v>41</v>
      </c>
      <c r="O207" t="s">
        <v>433</v>
      </c>
      <c r="P207">
        <v>33</v>
      </c>
      <c r="Q207">
        <v>0</v>
      </c>
      <c r="R207">
        <v>0</v>
      </c>
      <c r="S207">
        <v>0</v>
      </c>
      <c r="T207" t="s">
        <v>54</v>
      </c>
      <c r="U207" t="s">
        <v>55</v>
      </c>
      <c r="W207" t="s">
        <v>784</v>
      </c>
      <c r="Y207">
        <v>0</v>
      </c>
      <c r="AA207" t="s">
        <v>40</v>
      </c>
      <c r="AB207" t="s">
        <v>46</v>
      </c>
      <c r="AC207" t="s">
        <v>47</v>
      </c>
      <c r="AG207" t="s">
        <v>785</v>
      </c>
      <c r="AJ207" t="s">
        <v>40</v>
      </c>
      <c r="AK207">
        <v>5019033298</v>
      </c>
      <c r="AO207" s="1">
        <v>45937</v>
      </c>
      <c r="AP207" s="5">
        <v>0.25</v>
      </c>
      <c r="AS207">
        <v>1</v>
      </c>
    </row>
    <row r="208" spans="1:45" x14ac:dyDescent="0.2">
      <c r="A208">
        <f t="shared" si="14"/>
        <v>2025</v>
      </c>
      <c r="B208">
        <f t="shared" si="15"/>
        <v>10</v>
      </c>
      <c r="C208">
        <f t="shared" si="16"/>
        <v>41</v>
      </c>
      <c r="D208" s="2">
        <f t="shared" si="17"/>
        <v>45937</v>
      </c>
      <c r="E208" s="1">
        <v>45937.291666666664</v>
      </c>
      <c r="F208" t="s">
        <v>786</v>
      </c>
      <c r="G208" t="s">
        <v>36</v>
      </c>
      <c r="H208" t="s">
        <v>253</v>
      </c>
      <c r="I208" t="s">
        <v>38</v>
      </c>
      <c r="J208" t="s">
        <v>254</v>
      </c>
      <c r="M208" t="s">
        <v>40</v>
      </c>
      <c r="N208" t="s">
        <v>41</v>
      </c>
      <c r="O208" t="s">
        <v>42</v>
      </c>
      <c r="P208">
        <v>1</v>
      </c>
      <c r="Q208">
        <v>0</v>
      </c>
      <c r="R208">
        <v>0</v>
      </c>
      <c r="S208">
        <v>0</v>
      </c>
      <c r="T208">
        <v>5019111795</v>
      </c>
      <c r="U208" t="s">
        <v>101</v>
      </c>
      <c r="W208" t="s">
        <v>80</v>
      </c>
      <c r="Y208">
        <v>0</v>
      </c>
      <c r="AA208" t="s">
        <v>40</v>
      </c>
      <c r="AB208" t="s">
        <v>46</v>
      </c>
      <c r="AC208" t="s">
        <v>47</v>
      </c>
      <c r="AF208" t="s">
        <v>48</v>
      </c>
      <c r="AJ208" t="s">
        <v>40</v>
      </c>
      <c r="AK208" t="s">
        <v>49</v>
      </c>
      <c r="AO208" s="1">
        <v>45937</v>
      </c>
      <c r="AP208" s="5">
        <v>0.29166666666666669</v>
      </c>
      <c r="AS208">
        <v>1</v>
      </c>
    </row>
    <row r="209" spans="1:45" x14ac:dyDescent="0.2">
      <c r="A209">
        <f t="shared" si="14"/>
        <v>2025</v>
      </c>
      <c r="B209">
        <f t="shared" si="15"/>
        <v>10</v>
      </c>
      <c r="C209">
        <f t="shared" si="16"/>
        <v>41</v>
      </c>
      <c r="D209" s="2">
        <f t="shared" si="17"/>
        <v>45937</v>
      </c>
      <c r="E209" s="1">
        <v>45937.291666666664</v>
      </c>
      <c r="F209" t="s">
        <v>787</v>
      </c>
      <c r="G209" t="s">
        <v>36</v>
      </c>
      <c r="H209" t="s">
        <v>788</v>
      </c>
      <c r="I209" t="s">
        <v>38</v>
      </c>
      <c r="J209" t="s">
        <v>60</v>
      </c>
      <c r="M209" t="s">
        <v>40</v>
      </c>
      <c r="N209" t="s">
        <v>41</v>
      </c>
      <c r="O209" t="s">
        <v>42</v>
      </c>
      <c r="P209">
        <v>20</v>
      </c>
      <c r="Q209">
        <v>0</v>
      </c>
      <c r="R209">
        <v>0</v>
      </c>
      <c r="S209">
        <v>0</v>
      </c>
      <c r="T209">
        <v>5019063593</v>
      </c>
      <c r="U209" t="s">
        <v>44</v>
      </c>
      <c r="W209" t="s">
        <v>789</v>
      </c>
      <c r="Y209">
        <v>0</v>
      </c>
      <c r="AA209" t="s">
        <v>40</v>
      </c>
      <c r="AB209" t="s">
        <v>46</v>
      </c>
      <c r="AC209" t="s">
        <v>47</v>
      </c>
      <c r="AF209" t="s">
        <v>62</v>
      </c>
      <c r="AJ209" t="s">
        <v>40</v>
      </c>
      <c r="AK209" t="s">
        <v>49</v>
      </c>
      <c r="AN209" t="s">
        <v>790</v>
      </c>
      <c r="AO209" s="1">
        <v>45937</v>
      </c>
      <c r="AP209" s="5">
        <v>0.29166666666666669</v>
      </c>
      <c r="AS209">
        <v>1</v>
      </c>
    </row>
    <row r="210" spans="1:45" x14ac:dyDescent="0.2">
      <c r="A210">
        <f t="shared" si="14"/>
        <v>2025</v>
      </c>
      <c r="B210">
        <f t="shared" si="15"/>
        <v>10</v>
      </c>
      <c r="C210">
        <f t="shared" si="16"/>
        <v>41</v>
      </c>
      <c r="D210" s="2">
        <f t="shared" si="17"/>
        <v>45937</v>
      </c>
      <c r="E210" s="1">
        <v>45937.291666666664</v>
      </c>
      <c r="F210" t="s">
        <v>791</v>
      </c>
      <c r="G210" t="s">
        <v>36</v>
      </c>
      <c r="H210" t="s">
        <v>111</v>
      </c>
      <c r="I210" t="s">
        <v>38</v>
      </c>
      <c r="J210" t="s">
        <v>99</v>
      </c>
      <c r="M210" t="s">
        <v>40</v>
      </c>
      <c r="N210" t="s">
        <v>41</v>
      </c>
      <c r="O210" t="s">
        <v>42</v>
      </c>
      <c r="P210">
        <v>23</v>
      </c>
      <c r="Q210">
        <v>0</v>
      </c>
      <c r="R210">
        <v>0</v>
      </c>
      <c r="S210">
        <v>0</v>
      </c>
      <c r="T210" t="s">
        <v>522</v>
      </c>
      <c r="U210" t="s">
        <v>233</v>
      </c>
      <c r="W210" t="s">
        <v>782</v>
      </c>
      <c r="Y210">
        <v>0</v>
      </c>
      <c r="AA210" t="s">
        <v>40</v>
      </c>
      <c r="AB210" t="s">
        <v>46</v>
      </c>
      <c r="AC210" t="s">
        <v>47</v>
      </c>
      <c r="AF210" t="s">
        <v>48</v>
      </c>
      <c r="AJ210" t="s">
        <v>40</v>
      </c>
      <c r="AK210" t="s">
        <v>49</v>
      </c>
      <c r="AO210" s="1">
        <v>45937</v>
      </c>
      <c r="AP210" s="5">
        <v>0.29166666666666669</v>
      </c>
      <c r="AS210">
        <v>1</v>
      </c>
    </row>
    <row r="211" spans="1:45" x14ac:dyDescent="0.2">
      <c r="A211">
        <f t="shared" si="14"/>
        <v>2025</v>
      </c>
      <c r="B211">
        <f t="shared" si="15"/>
        <v>10</v>
      </c>
      <c r="C211">
        <f t="shared" si="16"/>
        <v>41</v>
      </c>
      <c r="D211" s="2">
        <f t="shared" si="17"/>
        <v>45937</v>
      </c>
      <c r="E211" s="1">
        <v>45937.291666666664</v>
      </c>
      <c r="F211" t="s">
        <v>792</v>
      </c>
      <c r="G211" t="s">
        <v>36</v>
      </c>
      <c r="H211">
        <v>454093</v>
      </c>
      <c r="I211" t="s">
        <v>51</v>
      </c>
      <c r="J211" t="s">
        <v>52</v>
      </c>
      <c r="M211" t="s">
        <v>40</v>
      </c>
      <c r="N211" t="s">
        <v>41</v>
      </c>
      <c r="O211" t="s">
        <v>433</v>
      </c>
      <c r="P211">
        <v>33</v>
      </c>
      <c r="Q211">
        <v>0</v>
      </c>
      <c r="R211">
        <v>0</v>
      </c>
      <c r="S211">
        <v>0</v>
      </c>
      <c r="T211" t="s">
        <v>54</v>
      </c>
      <c r="U211" t="s">
        <v>55</v>
      </c>
      <c r="W211" t="s">
        <v>793</v>
      </c>
      <c r="Y211">
        <v>0</v>
      </c>
      <c r="AA211" t="s">
        <v>40</v>
      </c>
      <c r="AB211" t="s">
        <v>46</v>
      </c>
      <c r="AC211" t="s">
        <v>47</v>
      </c>
      <c r="AG211" t="s">
        <v>794</v>
      </c>
      <c r="AJ211" t="s">
        <v>40</v>
      </c>
      <c r="AK211">
        <v>5019111011</v>
      </c>
      <c r="AO211" s="1">
        <v>45937</v>
      </c>
      <c r="AP211" s="5">
        <v>0.29166666666666669</v>
      </c>
      <c r="AS211">
        <v>1</v>
      </c>
    </row>
    <row r="212" spans="1:45" x14ac:dyDescent="0.2">
      <c r="A212">
        <f t="shared" si="14"/>
        <v>2025</v>
      </c>
      <c r="B212">
        <f t="shared" si="15"/>
        <v>10</v>
      </c>
      <c r="C212">
        <f t="shared" si="16"/>
        <v>41</v>
      </c>
      <c r="D212" s="2">
        <f t="shared" si="17"/>
        <v>45937</v>
      </c>
      <c r="E212" s="1">
        <v>45937.333333333336</v>
      </c>
      <c r="F212" t="s">
        <v>795</v>
      </c>
      <c r="G212" t="s">
        <v>36</v>
      </c>
      <c r="H212" t="s">
        <v>796</v>
      </c>
      <c r="I212" t="s">
        <v>38</v>
      </c>
      <c r="J212" t="s">
        <v>60</v>
      </c>
      <c r="M212" t="s">
        <v>40</v>
      </c>
      <c r="N212" t="s">
        <v>41</v>
      </c>
      <c r="O212" t="s">
        <v>42</v>
      </c>
      <c r="P212">
        <v>20</v>
      </c>
      <c r="Q212">
        <v>0</v>
      </c>
      <c r="R212">
        <v>0</v>
      </c>
      <c r="S212">
        <v>0</v>
      </c>
      <c r="T212">
        <v>5019056243</v>
      </c>
      <c r="U212" t="s">
        <v>44</v>
      </c>
      <c r="W212" t="s">
        <v>797</v>
      </c>
      <c r="Y212">
        <v>0</v>
      </c>
      <c r="AA212" t="s">
        <v>40</v>
      </c>
      <c r="AB212" t="s">
        <v>46</v>
      </c>
      <c r="AC212" t="s">
        <v>47</v>
      </c>
      <c r="AF212" t="s">
        <v>62</v>
      </c>
      <c r="AJ212" t="s">
        <v>40</v>
      </c>
      <c r="AK212" t="s">
        <v>49</v>
      </c>
      <c r="AN212">
        <v>259815549</v>
      </c>
      <c r="AO212" s="1">
        <v>45937</v>
      </c>
      <c r="AP212" s="5">
        <v>0.33333333333333331</v>
      </c>
      <c r="AS212">
        <v>1</v>
      </c>
    </row>
    <row r="213" spans="1:45" x14ac:dyDescent="0.2">
      <c r="A213">
        <f t="shared" si="14"/>
        <v>2025</v>
      </c>
      <c r="B213">
        <f t="shared" si="15"/>
        <v>10</v>
      </c>
      <c r="C213">
        <f t="shared" si="16"/>
        <v>41</v>
      </c>
      <c r="D213" s="2">
        <f t="shared" si="17"/>
        <v>45937</v>
      </c>
      <c r="E213" s="1">
        <v>45937.333333333336</v>
      </c>
      <c r="F213" t="s">
        <v>798</v>
      </c>
      <c r="G213" t="s">
        <v>36</v>
      </c>
      <c r="H213" t="s">
        <v>264</v>
      </c>
      <c r="I213" t="s">
        <v>38</v>
      </c>
      <c r="J213" t="s">
        <v>265</v>
      </c>
      <c r="M213" t="s">
        <v>40</v>
      </c>
      <c r="N213" t="s">
        <v>41</v>
      </c>
      <c r="O213" t="s">
        <v>42</v>
      </c>
      <c r="P213">
        <v>23</v>
      </c>
      <c r="Q213">
        <v>0</v>
      </c>
      <c r="R213">
        <v>0</v>
      </c>
      <c r="S213">
        <v>0</v>
      </c>
      <c r="T213" t="s">
        <v>799</v>
      </c>
      <c r="U213" t="s">
        <v>55</v>
      </c>
      <c r="W213" t="s">
        <v>782</v>
      </c>
      <c r="Y213">
        <v>0</v>
      </c>
      <c r="AA213" t="s">
        <v>40</v>
      </c>
      <c r="AB213" t="s">
        <v>46</v>
      </c>
      <c r="AC213" t="s">
        <v>47</v>
      </c>
      <c r="AF213" t="s">
        <v>48</v>
      </c>
      <c r="AJ213" t="s">
        <v>40</v>
      </c>
      <c r="AK213" t="s">
        <v>49</v>
      </c>
      <c r="AO213" s="1">
        <v>45937</v>
      </c>
      <c r="AP213" s="5">
        <v>0.33333333333333331</v>
      </c>
      <c r="AS213">
        <v>1</v>
      </c>
    </row>
    <row r="214" spans="1:45" x14ac:dyDescent="0.2">
      <c r="A214">
        <f t="shared" si="14"/>
        <v>2025</v>
      </c>
      <c r="B214">
        <f t="shared" si="15"/>
        <v>10</v>
      </c>
      <c r="C214">
        <f t="shared" si="16"/>
        <v>41</v>
      </c>
      <c r="D214" s="2">
        <f t="shared" si="17"/>
        <v>45937</v>
      </c>
      <c r="E214" s="1">
        <v>45937.333333333336</v>
      </c>
      <c r="F214" t="s">
        <v>800</v>
      </c>
      <c r="G214" t="s">
        <v>36</v>
      </c>
      <c r="H214" t="s">
        <v>801</v>
      </c>
      <c r="I214" t="s">
        <v>38</v>
      </c>
      <c r="J214" t="s">
        <v>60</v>
      </c>
      <c r="M214" t="s">
        <v>40</v>
      </c>
      <c r="N214" t="s">
        <v>41</v>
      </c>
      <c r="O214" t="s">
        <v>42</v>
      </c>
      <c r="P214">
        <v>20</v>
      </c>
      <c r="Q214">
        <v>0</v>
      </c>
      <c r="R214">
        <v>0</v>
      </c>
      <c r="S214">
        <v>0</v>
      </c>
      <c r="T214">
        <v>5019081105</v>
      </c>
      <c r="U214" t="s">
        <v>44</v>
      </c>
      <c r="W214" t="s">
        <v>797</v>
      </c>
      <c r="Y214">
        <v>0</v>
      </c>
      <c r="AA214" t="s">
        <v>40</v>
      </c>
      <c r="AB214" t="s">
        <v>46</v>
      </c>
      <c r="AC214" t="s">
        <v>47</v>
      </c>
      <c r="AF214" t="s">
        <v>62</v>
      </c>
      <c r="AJ214" t="s">
        <v>40</v>
      </c>
      <c r="AK214" t="s">
        <v>49</v>
      </c>
      <c r="AN214" t="s">
        <v>790</v>
      </c>
      <c r="AO214" s="1">
        <v>45937</v>
      </c>
      <c r="AP214" s="5">
        <v>0.33333333333333331</v>
      </c>
      <c r="AS214">
        <v>1</v>
      </c>
    </row>
    <row r="215" spans="1:45" x14ac:dyDescent="0.2">
      <c r="A215">
        <f t="shared" si="14"/>
        <v>2025</v>
      </c>
      <c r="B215">
        <f t="shared" si="15"/>
        <v>10</v>
      </c>
      <c r="C215">
        <f t="shared" si="16"/>
        <v>41</v>
      </c>
      <c r="D215" s="2">
        <f t="shared" si="17"/>
        <v>45937</v>
      </c>
      <c r="E215" s="1">
        <v>45937.375</v>
      </c>
      <c r="F215" t="s">
        <v>802</v>
      </c>
      <c r="G215" t="s">
        <v>36</v>
      </c>
      <c r="H215" t="s">
        <v>626</v>
      </c>
      <c r="I215" t="s">
        <v>38</v>
      </c>
      <c r="J215" t="s">
        <v>451</v>
      </c>
      <c r="M215" t="s">
        <v>40</v>
      </c>
      <c r="N215" t="s">
        <v>41</v>
      </c>
      <c r="O215" t="s">
        <v>42</v>
      </c>
      <c r="P215">
        <v>23</v>
      </c>
      <c r="Q215">
        <v>0</v>
      </c>
      <c r="R215">
        <v>0</v>
      </c>
      <c r="S215">
        <v>0</v>
      </c>
      <c r="T215" t="s">
        <v>803</v>
      </c>
      <c r="U215" t="s">
        <v>44</v>
      </c>
      <c r="W215" t="s">
        <v>782</v>
      </c>
      <c r="Y215">
        <v>0</v>
      </c>
      <c r="AA215" t="s">
        <v>40</v>
      </c>
      <c r="AB215" t="s">
        <v>46</v>
      </c>
      <c r="AC215" t="s">
        <v>47</v>
      </c>
      <c r="AF215" t="s">
        <v>48</v>
      </c>
      <c r="AJ215" t="s">
        <v>40</v>
      </c>
      <c r="AK215" t="s">
        <v>49</v>
      </c>
      <c r="AO215" s="1">
        <v>45937</v>
      </c>
      <c r="AP215" s="5">
        <v>0.375</v>
      </c>
      <c r="AS215">
        <v>1</v>
      </c>
    </row>
    <row r="216" spans="1:45" x14ac:dyDescent="0.2">
      <c r="A216">
        <f t="shared" si="14"/>
        <v>2025</v>
      </c>
      <c r="B216">
        <f t="shared" si="15"/>
        <v>10</v>
      </c>
      <c r="C216">
        <f t="shared" si="16"/>
        <v>41</v>
      </c>
      <c r="D216" s="2">
        <f t="shared" si="17"/>
        <v>45937</v>
      </c>
      <c r="E216" s="1">
        <v>45937.375</v>
      </c>
      <c r="F216" t="s">
        <v>804</v>
      </c>
      <c r="G216" t="s">
        <v>36</v>
      </c>
      <c r="H216" t="s">
        <v>805</v>
      </c>
      <c r="I216" t="s">
        <v>38</v>
      </c>
      <c r="J216" t="s">
        <v>60</v>
      </c>
      <c r="M216" t="s">
        <v>40</v>
      </c>
      <c r="N216" t="s">
        <v>41</v>
      </c>
      <c r="O216" t="s">
        <v>42</v>
      </c>
      <c r="P216">
        <v>20</v>
      </c>
      <c r="Q216">
        <v>0</v>
      </c>
      <c r="R216">
        <v>0</v>
      </c>
      <c r="S216">
        <v>0</v>
      </c>
      <c r="T216" t="s">
        <v>806</v>
      </c>
      <c r="U216" t="s">
        <v>44</v>
      </c>
      <c r="W216" t="s">
        <v>797</v>
      </c>
      <c r="Y216">
        <v>0</v>
      </c>
      <c r="AA216" t="s">
        <v>40</v>
      </c>
      <c r="AB216" t="s">
        <v>46</v>
      </c>
      <c r="AC216" t="s">
        <v>47</v>
      </c>
      <c r="AF216" t="s">
        <v>62</v>
      </c>
      <c r="AJ216" t="s">
        <v>40</v>
      </c>
      <c r="AK216" t="s">
        <v>49</v>
      </c>
      <c r="AN216">
        <v>259816309</v>
      </c>
      <c r="AO216" s="1">
        <v>45937</v>
      </c>
      <c r="AP216" s="5">
        <v>0.375</v>
      </c>
      <c r="AS216">
        <v>1</v>
      </c>
    </row>
    <row r="217" spans="1:45" x14ac:dyDescent="0.2">
      <c r="A217">
        <f t="shared" si="14"/>
        <v>2025</v>
      </c>
      <c r="B217">
        <f t="shared" si="15"/>
        <v>10</v>
      </c>
      <c r="C217">
        <f t="shared" si="16"/>
        <v>41</v>
      </c>
      <c r="D217" s="2">
        <f t="shared" si="17"/>
        <v>45937</v>
      </c>
      <c r="E217" s="1">
        <v>45937.375</v>
      </c>
      <c r="F217" t="s">
        <v>807</v>
      </c>
      <c r="G217" t="s">
        <v>36</v>
      </c>
      <c r="H217">
        <v>455378</v>
      </c>
      <c r="I217" t="s">
        <v>51</v>
      </c>
      <c r="J217" t="s">
        <v>808</v>
      </c>
      <c r="M217" t="s">
        <v>40</v>
      </c>
      <c r="N217" t="s">
        <v>41</v>
      </c>
      <c r="O217" t="s">
        <v>809</v>
      </c>
      <c r="P217">
        <v>22</v>
      </c>
      <c r="Q217">
        <v>0</v>
      </c>
      <c r="R217">
        <v>0</v>
      </c>
      <c r="S217">
        <v>0</v>
      </c>
      <c r="T217" t="s">
        <v>54</v>
      </c>
      <c r="U217" t="s">
        <v>392</v>
      </c>
      <c r="W217" t="s">
        <v>601</v>
      </c>
      <c r="X217" t="s">
        <v>810</v>
      </c>
      <c r="Y217">
        <v>0</v>
      </c>
      <c r="AA217" t="s">
        <v>40</v>
      </c>
      <c r="AB217" t="s">
        <v>46</v>
      </c>
      <c r="AC217" t="s">
        <v>47</v>
      </c>
      <c r="AG217" t="s">
        <v>811</v>
      </c>
      <c r="AJ217" t="s">
        <v>40</v>
      </c>
      <c r="AK217">
        <v>5019091791</v>
      </c>
      <c r="AO217" s="1">
        <v>45937</v>
      </c>
      <c r="AP217" s="5">
        <v>0.375</v>
      </c>
      <c r="AS217">
        <v>1</v>
      </c>
    </row>
    <row r="218" spans="1:45" x14ac:dyDescent="0.2">
      <c r="A218">
        <f t="shared" si="14"/>
        <v>2025</v>
      </c>
      <c r="B218">
        <f t="shared" si="15"/>
        <v>10</v>
      </c>
      <c r="C218">
        <f t="shared" si="16"/>
        <v>41</v>
      </c>
      <c r="D218" s="2">
        <f t="shared" si="17"/>
        <v>45937</v>
      </c>
      <c r="E218" s="1">
        <v>45937.375</v>
      </c>
      <c r="F218" t="s">
        <v>812</v>
      </c>
      <c r="G218" t="s">
        <v>36</v>
      </c>
      <c r="H218">
        <v>451337</v>
      </c>
      <c r="I218" t="s">
        <v>51</v>
      </c>
      <c r="J218" t="s">
        <v>52</v>
      </c>
      <c r="M218" t="s">
        <v>40</v>
      </c>
      <c r="N218" t="s">
        <v>41</v>
      </c>
      <c r="O218" t="s">
        <v>433</v>
      </c>
      <c r="P218">
        <v>33</v>
      </c>
      <c r="Q218">
        <v>0</v>
      </c>
      <c r="R218">
        <v>0</v>
      </c>
      <c r="S218">
        <v>0</v>
      </c>
      <c r="T218" t="s">
        <v>54</v>
      </c>
      <c r="U218" t="s">
        <v>55</v>
      </c>
      <c r="W218" t="s">
        <v>813</v>
      </c>
      <c r="Y218">
        <v>0</v>
      </c>
      <c r="AA218" t="s">
        <v>40</v>
      </c>
      <c r="AB218" t="s">
        <v>46</v>
      </c>
      <c r="AC218" t="s">
        <v>47</v>
      </c>
      <c r="AG218" t="s">
        <v>814</v>
      </c>
      <c r="AJ218" t="s">
        <v>40</v>
      </c>
      <c r="AK218">
        <v>5019031965</v>
      </c>
      <c r="AO218" s="1">
        <v>45937</v>
      </c>
      <c r="AP218" s="5">
        <v>0.375</v>
      </c>
      <c r="AS218">
        <v>1</v>
      </c>
    </row>
    <row r="219" spans="1:45" x14ac:dyDescent="0.2">
      <c r="A219">
        <f t="shared" si="14"/>
        <v>2025</v>
      </c>
      <c r="B219">
        <f t="shared" si="15"/>
        <v>10</v>
      </c>
      <c r="C219">
        <f t="shared" si="16"/>
        <v>41</v>
      </c>
      <c r="D219" s="2">
        <f t="shared" si="17"/>
        <v>45937</v>
      </c>
      <c r="E219" s="1">
        <v>45937.416666666664</v>
      </c>
      <c r="F219" t="s">
        <v>815</v>
      </c>
      <c r="G219" t="s">
        <v>36</v>
      </c>
      <c r="H219" t="s">
        <v>111</v>
      </c>
      <c r="I219" t="s">
        <v>38</v>
      </c>
      <c r="J219" t="s">
        <v>99</v>
      </c>
      <c r="M219" t="s">
        <v>40</v>
      </c>
      <c r="N219" t="s">
        <v>41</v>
      </c>
      <c r="O219" t="s">
        <v>42</v>
      </c>
      <c r="P219">
        <v>23</v>
      </c>
      <c r="Q219">
        <v>0</v>
      </c>
      <c r="R219">
        <v>0</v>
      </c>
      <c r="S219">
        <v>0</v>
      </c>
      <c r="T219" t="s">
        <v>816</v>
      </c>
      <c r="U219" t="s">
        <v>44</v>
      </c>
      <c r="W219" t="s">
        <v>782</v>
      </c>
      <c r="Y219">
        <v>0</v>
      </c>
      <c r="AA219" t="s">
        <v>40</v>
      </c>
      <c r="AB219" t="s">
        <v>46</v>
      </c>
      <c r="AC219" t="s">
        <v>47</v>
      </c>
      <c r="AF219" t="s">
        <v>48</v>
      </c>
      <c r="AJ219" t="s">
        <v>40</v>
      </c>
      <c r="AK219" t="s">
        <v>49</v>
      </c>
      <c r="AO219" s="1">
        <v>45937</v>
      </c>
      <c r="AP219" s="5">
        <v>0.41666666666666669</v>
      </c>
      <c r="AS219">
        <v>1</v>
      </c>
    </row>
    <row r="220" spans="1:45" x14ac:dyDescent="0.2">
      <c r="A220">
        <f t="shared" si="14"/>
        <v>2025</v>
      </c>
      <c r="B220">
        <f t="shared" si="15"/>
        <v>10</v>
      </c>
      <c r="C220">
        <f t="shared" si="16"/>
        <v>41</v>
      </c>
      <c r="D220" s="2">
        <f t="shared" si="17"/>
        <v>45937</v>
      </c>
      <c r="E220" s="1">
        <v>45937.416666666664</v>
      </c>
      <c r="F220" t="s">
        <v>817</v>
      </c>
      <c r="G220" t="s">
        <v>36</v>
      </c>
      <c r="H220" t="s">
        <v>663</v>
      </c>
      <c r="I220" t="s">
        <v>38</v>
      </c>
      <c r="J220" t="s">
        <v>265</v>
      </c>
      <c r="M220" t="s">
        <v>40</v>
      </c>
      <c r="N220" t="s">
        <v>41</v>
      </c>
      <c r="O220" t="s">
        <v>42</v>
      </c>
      <c r="P220">
        <v>33</v>
      </c>
      <c r="Q220">
        <v>0</v>
      </c>
      <c r="R220">
        <v>0</v>
      </c>
      <c r="S220">
        <v>0</v>
      </c>
      <c r="T220">
        <v>90020396</v>
      </c>
      <c r="U220" t="s">
        <v>44</v>
      </c>
      <c r="W220" t="s">
        <v>705</v>
      </c>
      <c r="Y220">
        <v>0</v>
      </c>
      <c r="AA220" t="s">
        <v>40</v>
      </c>
      <c r="AB220" t="s">
        <v>46</v>
      </c>
      <c r="AC220" t="s">
        <v>47</v>
      </c>
      <c r="AF220" t="s">
        <v>664</v>
      </c>
      <c r="AJ220" t="s">
        <v>40</v>
      </c>
      <c r="AK220" t="s">
        <v>49</v>
      </c>
      <c r="AO220" s="1">
        <v>45937</v>
      </c>
      <c r="AP220" s="5">
        <v>0.41666666666666669</v>
      </c>
      <c r="AS220">
        <v>1</v>
      </c>
    </row>
    <row r="221" spans="1:45" x14ac:dyDescent="0.2">
      <c r="A221">
        <f t="shared" si="14"/>
        <v>2025</v>
      </c>
      <c r="B221">
        <f t="shared" si="15"/>
        <v>10</v>
      </c>
      <c r="C221">
        <f t="shared" si="16"/>
        <v>41</v>
      </c>
      <c r="D221" s="2">
        <f t="shared" si="17"/>
        <v>45937</v>
      </c>
      <c r="E221" s="1">
        <v>45937.416666666664</v>
      </c>
      <c r="F221" t="s">
        <v>818</v>
      </c>
      <c r="G221" t="s">
        <v>36</v>
      </c>
      <c r="H221" t="s">
        <v>819</v>
      </c>
      <c r="I221" t="s">
        <v>38</v>
      </c>
      <c r="J221" t="s">
        <v>645</v>
      </c>
      <c r="M221" t="s">
        <v>40</v>
      </c>
      <c r="N221" t="s">
        <v>41</v>
      </c>
      <c r="O221" t="s">
        <v>42</v>
      </c>
      <c r="P221">
        <v>20</v>
      </c>
      <c r="Q221">
        <v>0</v>
      </c>
      <c r="R221">
        <v>0</v>
      </c>
      <c r="S221">
        <v>0</v>
      </c>
      <c r="T221">
        <v>5019082042</v>
      </c>
      <c r="U221" t="s">
        <v>44</v>
      </c>
      <c r="W221" t="s">
        <v>789</v>
      </c>
      <c r="Y221">
        <v>0</v>
      </c>
      <c r="AA221" t="s">
        <v>40</v>
      </c>
      <c r="AB221" t="s">
        <v>820</v>
      </c>
      <c r="AC221" t="s">
        <v>47</v>
      </c>
      <c r="AF221" t="s">
        <v>62</v>
      </c>
      <c r="AJ221" t="s">
        <v>40</v>
      </c>
      <c r="AK221" t="s">
        <v>49</v>
      </c>
      <c r="AN221">
        <v>260198315</v>
      </c>
      <c r="AO221" s="1">
        <v>45937</v>
      </c>
      <c r="AP221" s="5">
        <v>0.41666666666666669</v>
      </c>
      <c r="AS221">
        <v>1</v>
      </c>
    </row>
    <row r="222" spans="1:45" x14ac:dyDescent="0.2">
      <c r="A222">
        <f t="shared" si="14"/>
        <v>2025</v>
      </c>
      <c r="B222">
        <f t="shared" si="15"/>
        <v>10</v>
      </c>
      <c r="C222">
        <f t="shared" si="16"/>
        <v>41</v>
      </c>
      <c r="D222" s="2">
        <f t="shared" si="17"/>
        <v>45937</v>
      </c>
      <c r="E222" s="1">
        <v>45937.416666666664</v>
      </c>
      <c r="F222" t="s">
        <v>821</v>
      </c>
      <c r="G222" t="s">
        <v>36</v>
      </c>
      <c r="H222">
        <v>454256</v>
      </c>
      <c r="I222" t="s">
        <v>51</v>
      </c>
      <c r="J222" t="s">
        <v>52</v>
      </c>
      <c r="M222" t="s">
        <v>40</v>
      </c>
      <c r="N222" t="s">
        <v>41</v>
      </c>
      <c r="O222" t="s">
        <v>53</v>
      </c>
      <c r="P222">
        <v>33</v>
      </c>
      <c r="Q222">
        <v>0</v>
      </c>
      <c r="R222">
        <v>0</v>
      </c>
      <c r="S222">
        <v>0</v>
      </c>
      <c r="T222" t="s">
        <v>54</v>
      </c>
      <c r="U222" t="s">
        <v>55</v>
      </c>
      <c r="W222" t="s">
        <v>617</v>
      </c>
      <c r="Y222">
        <v>0</v>
      </c>
      <c r="AA222" t="s">
        <v>40</v>
      </c>
      <c r="AB222" t="s">
        <v>46</v>
      </c>
      <c r="AC222" t="s">
        <v>47</v>
      </c>
      <c r="AG222" t="s">
        <v>822</v>
      </c>
      <c r="AJ222" t="s">
        <v>40</v>
      </c>
      <c r="AK222">
        <v>5019104330</v>
      </c>
      <c r="AO222" s="1">
        <v>45937</v>
      </c>
      <c r="AP222" s="5">
        <v>0.41666666666666669</v>
      </c>
      <c r="AS222">
        <v>1</v>
      </c>
    </row>
    <row r="223" spans="1:45" x14ac:dyDescent="0.2">
      <c r="A223">
        <f t="shared" si="14"/>
        <v>2025</v>
      </c>
      <c r="B223">
        <f t="shared" si="15"/>
        <v>10</v>
      </c>
      <c r="C223">
        <f t="shared" si="16"/>
        <v>41</v>
      </c>
      <c r="D223" s="2">
        <f t="shared" si="17"/>
        <v>45937</v>
      </c>
      <c r="E223" s="1">
        <v>45937.458333333336</v>
      </c>
      <c r="F223" t="s">
        <v>823</v>
      </c>
      <c r="G223" t="s">
        <v>36</v>
      </c>
      <c r="H223">
        <v>455927</v>
      </c>
      <c r="I223" t="s">
        <v>51</v>
      </c>
      <c r="J223" t="s">
        <v>52</v>
      </c>
      <c r="M223" t="s">
        <v>40</v>
      </c>
      <c r="N223" t="s">
        <v>41</v>
      </c>
      <c r="O223" t="s">
        <v>53</v>
      </c>
      <c r="P223">
        <v>33</v>
      </c>
      <c r="Q223">
        <v>0</v>
      </c>
      <c r="R223">
        <v>0</v>
      </c>
      <c r="S223">
        <v>0</v>
      </c>
      <c r="T223" t="s">
        <v>54</v>
      </c>
      <c r="U223" t="s">
        <v>55</v>
      </c>
      <c r="W223" t="s">
        <v>617</v>
      </c>
      <c r="Y223">
        <v>0</v>
      </c>
      <c r="AA223" t="s">
        <v>40</v>
      </c>
      <c r="AB223" t="s">
        <v>46</v>
      </c>
      <c r="AC223" t="s">
        <v>47</v>
      </c>
      <c r="AG223" t="s">
        <v>824</v>
      </c>
      <c r="AJ223" t="s">
        <v>40</v>
      </c>
      <c r="AK223">
        <v>5019039947</v>
      </c>
      <c r="AO223" s="1">
        <v>45937</v>
      </c>
      <c r="AP223" s="5">
        <v>0.45833333333333331</v>
      </c>
      <c r="AS223">
        <v>1</v>
      </c>
    </row>
    <row r="224" spans="1:45" x14ac:dyDescent="0.2">
      <c r="A224">
        <f t="shared" si="14"/>
        <v>2025</v>
      </c>
      <c r="B224">
        <f t="shared" si="15"/>
        <v>10</v>
      </c>
      <c r="C224">
        <f t="shared" si="16"/>
        <v>41</v>
      </c>
      <c r="D224" s="2">
        <f t="shared" si="17"/>
        <v>45937</v>
      </c>
      <c r="E224" s="1">
        <v>45937.458333333336</v>
      </c>
      <c r="F224" t="s">
        <v>825</v>
      </c>
      <c r="G224" t="s">
        <v>36</v>
      </c>
      <c r="H224" t="s">
        <v>297</v>
      </c>
      <c r="I224" t="s">
        <v>38</v>
      </c>
      <c r="J224" t="s">
        <v>112</v>
      </c>
      <c r="M224" t="s">
        <v>40</v>
      </c>
      <c r="N224" t="s">
        <v>41</v>
      </c>
      <c r="O224" t="s">
        <v>42</v>
      </c>
      <c r="P224">
        <v>10</v>
      </c>
      <c r="Q224">
        <v>0</v>
      </c>
      <c r="R224">
        <v>0</v>
      </c>
      <c r="S224">
        <v>0</v>
      </c>
      <c r="T224" t="s">
        <v>826</v>
      </c>
      <c r="U224" t="s">
        <v>101</v>
      </c>
      <c r="W224" t="s">
        <v>782</v>
      </c>
      <c r="Y224">
        <v>0</v>
      </c>
      <c r="AA224" t="s">
        <v>40</v>
      </c>
      <c r="AB224" t="s">
        <v>46</v>
      </c>
      <c r="AC224" t="s">
        <v>47</v>
      </c>
      <c r="AF224" t="s">
        <v>48</v>
      </c>
      <c r="AJ224" t="s">
        <v>40</v>
      </c>
      <c r="AK224" t="s">
        <v>49</v>
      </c>
      <c r="AO224" s="1">
        <v>45937</v>
      </c>
      <c r="AP224" s="5">
        <v>0.45833333333333331</v>
      </c>
      <c r="AS224">
        <v>1</v>
      </c>
    </row>
    <row r="225" spans="1:45" x14ac:dyDescent="0.2">
      <c r="A225">
        <f t="shared" si="14"/>
        <v>2025</v>
      </c>
      <c r="B225">
        <f t="shared" si="15"/>
        <v>10</v>
      </c>
      <c r="C225">
        <f t="shared" si="16"/>
        <v>41</v>
      </c>
      <c r="D225" s="2">
        <f t="shared" si="17"/>
        <v>45937</v>
      </c>
      <c r="E225" s="1">
        <v>45937.458333333336</v>
      </c>
      <c r="F225" t="s">
        <v>827</v>
      </c>
      <c r="G225" t="s">
        <v>36</v>
      </c>
      <c r="H225">
        <v>455929</v>
      </c>
      <c r="I225" t="s">
        <v>51</v>
      </c>
      <c r="J225" t="s">
        <v>52</v>
      </c>
      <c r="M225" t="s">
        <v>40</v>
      </c>
      <c r="N225" t="s">
        <v>41</v>
      </c>
      <c r="O225" t="s">
        <v>53</v>
      </c>
      <c r="P225">
        <v>33</v>
      </c>
      <c r="Q225">
        <v>0</v>
      </c>
      <c r="R225">
        <v>0</v>
      </c>
      <c r="S225">
        <v>0</v>
      </c>
      <c r="T225" t="s">
        <v>54</v>
      </c>
      <c r="U225" t="s">
        <v>55</v>
      </c>
      <c r="W225" t="s">
        <v>828</v>
      </c>
      <c r="Y225">
        <v>0</v>
      </c>
      <c r="AA225" t="s">
        <v>40</v>
      </c>
      <c r="AB225" t="s">
        <v>46</v>
      </c>
      <c r="AC225" t="s">
        <v>47</v>
      </c>
      <c r="AG225" t="s">
        <v>829</v>
      </c>
      <c r="AJ225" t="s">
        <v>40</v>
      </c>
      <c r="AK225">
        <v>5018990091</v>
      </c>
      <c r="AO225" s="1">
        <v>45937</v>
      </c>
      <c r="AP225" s="5">
        <v>0.45833333333333331</v>
      </c>
      <c r="AS225">
        <v>1</v>
      </c>
    </row>
    <row r="226" spans="1:45" x14ac:dyDescent="0.2">
      <c r="A226">
        <f t="shared" si="14"/>
        <v>2025</v>
      </c>
      <c r="B226">
        <f t="shared" si="15"/>
        <v>10</v>
      </c>
      <c r="C226">
        <f t="shared" si="16"/>
        <v>41</v>
      </c>
      <c r="D226" s="2">
        <f t="shared" si="17"/>
        <v>45937</v>
      </c>
      <c r="E226" s="1">
        <v>45937.458333333336</v>
      </c>
      <c r="F226" t="s">
        <v>830</v>
      </c>
      <c r="G226" t="s">
        <v>36</v>
      </c>
      <c r="H226">
        <v>454265</v>
      </c>
      <c r="I226" t="s">
        <v>51</v>
      </c>
      <c r="J226" t="s">
        <v>52</v>
      </c>
      <c r="M226" t="s">
        <v>40</v>
      </c>
      <c r="N226" t="s">
        <v>41</v>
      </c>
      <c r="O226" t="s">
        <v>53</v>
      </c>
      <c r="P226">
        <v>33</v>
      </c>
      <c r="Q226">
        <v>0</v>
      </c>
      <c r="R226">
        <v>0</v>
      </c>
      <c r="S226">
        <v>0</v>
      </c>
      <c r="T226" t="s">
        <v>54</v>
      </c>
      <c r="U226" t="s">
        <v>55</v>
      </c>
      <c r="W226" t="s">
        <v>617</v>
      </c>
      <c r="Y226">
        <v>0</v>
      </c>
      <c r="AA226" t="s">
        <v>40</v>
      </c>
      <c r="AB226" t="s">
        <v>46</v>
      </c>
      <c r="AC226" t="s">
        <v>47</v>
      </c>
      <c r="AG226" t="s">
        <v>831</v>
      </c>
      <c r="AJ226" t="s">
        <v>40</v>
      </c>
      <c r="AK226">
        <v>5019101501</v>
      </c>
      <c r="AO226" s="1">
        <v>45937</v>
      </c>
      <c r="AP226" s="5">
        <v>0.45833333333333331</v>
      </c>
      <c r="AS226">
        <v>1</v>
      </c>
    </row>
    <row r="227" spans="1:45" x14ac:dyDescent="0.2">
      <c r="A227">
        <f t="shared" si="14"/>
        <v>2025</v>
      </c>
      <c r="B227">
        <f t="shared" si="15"/>
        <v>10</v>
      </c>
      <c r="C227">
        <f t="shared" si="16"/>
        <v>41</v>
      </c>
      <c r="D227" s="2">
        <f t="shared" si="17"/>
        <v>45937</v>
      </c>
      <c r="E227" s="1">
        <v>45937.5</v>
      </c>
      <c r="F227" t="s">
        <v>832</v>
      </c>
      <c r="G227" t="s">
        <v>36</v>
      </c>
      <c r="H227" t="s">
        <v>833</v>
      </c>
      <c r="I227" t="s">
        <v>78</v>
      </c>
      <c r="J227" t="s">
        <v>834</v>
      </c>
      <c r="M227" t="s">
        <v>40</v>
      </c>
      <c r="N227" t="s">
        <v>41</v>
      </c>
      <c r="O227" t="s">
        <v>835</v>
      </c>
      <c r="P227">
        <v>66</v>
      </c>
      <c r="Q227">
        <v>0</v>
      </c>
      <c r="R227">
        <v>0</v>
      </c>
      <c r="S227">
        <v>0</v>
      </c>
      <c r="T227" t="s">
        <v>54</v>
      </c>
      <c r="U227" t="s">
        <v>55</v>
      </c>
      <c r="W227" t="s">
        <v>836</v>
      </c>
      <c r="Y227">
        <v>0</v>
      </c>
      <c r="AA227" t="s">
        <v>40</v>
      </c>
      <c r="AB227" t="s">
        <v>46</v>
      </c>
      <c r="AC227" t="s">
        <v>47</v>
      </c>
      <c r="AD227" t="s">
        <v>81</v>
      </c>
      <c r="AE227" t="s">
        <v>81</v>
      </c>
      <c r="AG227" t="s">
        <v>837</v>
      </c>
      <c r="AJ227" t="s">
        <v>40</v>
      </c>
      <c r="AK227" t="s">
        <v>838</v>
      </c>
      <c r="AO227" s="1">
        <v>45937</v>
      </c>
      <c r="AP227" s="5">
        <v>0.5</v>
      </c>
      <c r="AS227">
        <v>1</v>
      </c>
    </row>
    <row r="228" spans="1:45" x14ac:dyDescent="0.2">
      <c r="A228">
        <f t="shared" si="14"/>
        <v>2025</v>
      </c>
      <c r="B228">
        <f t="shared" si="15"/>
        <v>10</v>
      </c>
      <c r="C228">
        <f t="shared" si="16"/>
        <v>41</v>
      </c>
      <c r="D228" s="2">
        <f t="shared" si="17"/>
        <v>45937</v>
      </c>
      <c r="E228" s="1">
        <v>45937.5</v>
      </c>
      <c r="F228" t="s">
        <v>839</v>
      </c>
      <c r="G228" t="s">
        <v>36</v>
      </c>
      <c r="H228" t="s">
        <v>840</v>
      </c>
      <c r="I228" t="s">
        <v>38</v>
      </c>
      <c r="J228" t="s">
        <v>60</v>
      </c>
      <c r="M228" t="s">
        <v>40</v>
      </c>
      <c r="N228" t="s">
        <v>41</v>
      </c>
      <c r="O228" t="s">
        <v>42</v>
      </c>
      <c r="P228">
        <v>20</v>
      </c>
      <c r="Q228">
        <v>0</v>
      </c>
      <c r="R228">
        <v>0</v>
      </c>
      <c r="S228">
        <v>0</v>
      </c>
      <c r="T228">
        <v>5019081222</v>
      </c>
      <c r="U228" t="s">
        <v>44</v>
      </c>
      <c r="W228" t="s">
        <v>797</v>
      </c>
      <c r="Y228">
        <v>0</v>
      </c>
      <c r="AA228" t="s">
        <v>40</v>
      </c>
      <c r="AB228" t="s">
        <v>46</v>
      </c>
      <c r="AC228" t="s">
        <v>47</v>
      </c>
      <c r="AF228" t="s">
        <v>62</v>
      </c>
      <c r="AJ228" t="s">
        <v>40</v>
      </c>
      <c r="AK228" t="s">
        <v>49</v>
      </c>
      <c r="AN228" t="s">
        <v>841</v>
      </c>
      <c r="AO228" s="1">
        <v>45937</v>
      </c>
      <c r="AP228" s="5">
        <v>0.5</v>
      </c>
      <c r="AS228">
        <v>1</v>
      </c>
    </row>
    <row r="229" spans="1:45" x14ac:dyDescent="0.2">
      <c r="A229">
        <f t="shared" si="14"/>
        <v>2025</v>
      </c>
      <c r="B229">
        <f t="shared" si="15"/>
        <v>10</v>
      </c>
      <c r="C229">
        <f t="shared" si="16"/>
        <v>41</v>
      </c>
      <c r="D229" s="2">
        <f t="shared" si="17"/>
        <v>45937</v>
      </c>
      <c r="E229" s="1">
        <v>45937.5</v>
      </c>
      <c r="F229" t="s">
        <v>842</v>
      </c>
      <c r="G229" t="s">
        <v>36</v>
      </c>
      <c r="H229">
        <v>454264</v>
      </c>
      <c r="I229" t="s">
        <v>51</v>
      </c>
      <c r="J229" t="s">
        <v>52</v>
      </c>
      <c r="M229" t="s">
        <v>40</v>
      </c>
      <c r="N229" t="s">
        <v>41</v>
      </c>
      <c r="O229" t="s">
        <v>53</v>
      </c>
      <c r="P229">
        <v>33</v>
      </c>
      <c r="Q229">
        <v>0</v>
      </c>
      <c r="R229">
        <v>0</v>
      </c>
      <c r="S229">
        <v>0</v>
      </c>
      <c r="T229" t="s">
        <v>54</v>
      </c>
      <c r="U229" t="s">
        <v>55</v>
      </c>
      <c r="W229" t="s">
        <v>617</v>
      </c>
      <c r="Y229">
        <v>0</v>
      </c>
      <c r="AA229" t="s">
        <v>40</v>
      </c>
      <c r="AB229" t="s">
        <v>46</v>
      </c>
      <c r="AC229" t="s">
        <v>47</v>
      </c>
      <c r="AG229" t="s">
        <v>843</v>
      </c>
      <c r="AJ229" t="s">
        <v>40</v>
      </c>
      <c r="AK229">
        <v>5019100313</v>
      </c>
      <c r="AO229" s="1">
        <v>45937</v>
      </c>
      <c r="AP229" s="5">
        <v>0.5</v>
      </c>
      <c r="AS229">
        <v>1</v>
      </c>
    </row>
    <row r="230" spans="1:45" x14ac:dyDescent="0.2">
      <c r="A230">
        <f t="shared" si="14"/>
        <v>2025</v>
      </c>
      <c r="B230">
        <f t="shared" si="15"/>
        <v>10</v>
      </c>
      <c r="C230">
        <f t="shared" si="16"/>
        <v>41</v>
      </c>
      <c r="D230" s="2">
        <f t="shared" si="17"/>
        <v>45937</v>
      </c>
      <c r="E230" s="1">
        <v>45937.5</v>
      </c>
      <c r="F230" t="s">
        <v>844</v>
      </c>
      <c r="G230" t="s">
        <v>36</v>
      </c>
      <c r="H230" t="s">
        <v>845</v>
      </c>
      <c r="I230" t="s">
        <v>78</v>
      </c>
      <c r="J230" t="s">
        <v>808</v>
      </c>
      <c r="M230" t="s">
        <v>40</v>
      </c>
      <c r="N230" t="s">
        <v>41</v>
      </c>
      <c r="O230" t="s">
        <v>846</v>
      </c>
      <c r="P230">
        <v>22</v>
      </c>
      <c r="Q230">
        <v>0</v>
      </c>
      <c r="R230">
        <v>0</v>
      </c>
      <c r="S230">
        <v>0</v>
      </c>
      <c r="T230" t="s">
        <v>54</v>
      </c>
      <c r="U230" t="s">
        <v>392</v>
      </c>
      <c r="W230" t="s">
        <v>601</v>
      </c>
      <c r="X230" t="s">
        <v>847</v>
      </c>
      <c r="Y230">
        <v>0</v>
      </c>
      <c r="AA230" t="s">
        <v>40</v>
      </c>
      <c r="AB230" t="s">
        <v>46</v>
      </c>
      <c r="AC230" t="s">
        <v>47</v>
      </c>
      <c r="AD230" t="s">
        <v>81</v>
      </c>
      <c r="AE230" t="s">
        <v>81</v>
      </c>
      <c r="AG230" t="s">
        <v>848</v>
      </c>
      <c r="AJ230" t="s">
        <v>40</v>
      </c>
      <c r="AK230" t="s">
        <v>849</v>
      </c>
      <c r="AL230" t="s">
        <v>850</v>
      </c>
      <c r="AM230" t="s">
        <v>851</v>
      </c>
      <c r="AO230" s="1">
        <v>45937</v>
      </c>
      <c r="AP230" s="5">
        <v>0.5</v>
      </c>
      <c r="AS230">
        <v>1</v>
      </c>
    </row>
    <row r="231" spans="1:45" x14ac:dyDescent="0.2">
      <c r="A231">
        <f t="shared" si="14"/>
        <v>2025</v>
      </c>
      <c r="B231">
        <f t="shared" si="15"/>
        <v>10</v>
      </c>
      <c r="C231">
        <f t="shared" si="16"/>
        <v>41</v>
      </c>
      <c r="D231" s="2">
        <f t="shared" si="17"/>
        <v>45937</v>
      </c>
      <c r="E231" s="1">
        <v>45937.5</v>
      </c>
      <c r="F231" t="s">
        <v>852</v>
      </c>
      <c r="G231" t="s">
        <v>36</v>
      </c>
      <c r="H231" t="s">
        <v>297</v>
      </c>
      <c r="I231" t="s">
        <v>38</v>
      </c>
      <c r="J231" t="s">
        <v>112</v>
      </c>
      <c r="M231" t="s">
        <v>40</v>
      </c>
      <c r="N231" t="s">
        <v>41</v>
      </c>
      <c r="O231" t="s">
        <v>42</v>
      </c>
      <c r="P231">
        <v>23</v>
      </c>
      <c r="Q231">
        <v>0</v>
      </c>
      <c r="R231">
        <v>0</v>
      </c>
      <c r="S231">
        <v>0</v>
      </c>
      <c r="T231" t="s">
        <v>853</v>
      </c>
      <c r="U231" t="s">
        <v>44</v>
      </c>
      <c r="W231" t="s">
        <v>782</v>
      </c>
      <c r="Y231">
        <v>0</v>
      </c>
      <c r="AA231" t="s">
        <v>40</v>
      </c>
      <c r="AB231" t="s">
        <v>46</v>
      </c>
      <c r="AC231" t="s">
        <v>47</v>
      </c>
      <c r="AF231" t="s">
        <v>48</v>
      </c>
      <c r="AJ231" t="s">
        <v>40</v>
      </c>
      <c r="AK231" t="s">
        <v>49</v>
      </c>
      <c r="AO231" s="1">
        <v>45937</v>
      </c>
      <c r="AP231" s="5">
        <v>0.5</v>
      </c>
      <c r="AS231">
        <v>1</v>
      </c>
    </row>
    <row r="232" spans="1:45" x14ac:dyDescent="0.2">
      <c r="A232">
        <f t="shared" si="14"/>
        <v>2025</v>
      </c>
      <c r="B232">
        <f t="shared" si="15"/>
        <v>10</v>
      </c>
      <c r="C232">
        <f t="shared" si="16"/>
        <v>41</v>
      </c>
      <c r="D232" s="2">
        <f t="shared" si="17"/>
        <v>45937</v>
      </c>
      <c r="E232" s="1">
        <v>45937.541666666664</v>
      </c>
      <c r="F232" t="s">
        <v>854</v>
      </c>
      <c r="G232" t="s">
        <v>36</v>
      </c>
      <c r="H232" t="s">
        <v>626</v>
      </c>
      <c r="I232" t="s">
        <v>38</v>
      </c>
      <c r="J232" t="s">
        <v>451</v>
      </c>
      <c r="M232" t="s">
        <v>40</v>
      </c>
      <c r="N232" t="s">
        <v>41</v>
      </c>
      <c r="O232" t="s">
        <v>42</v>
      </c>
      <c r="P232">
        <v>23</v>
      </c>
      <c r="Q232">
        <v>0</v>
      </c>
      <c r="R232">
        <v>0</v>
      </c>
      <c r="S232">
        <v>0</v>
      </c>
      <c r="T232" t="s">
        <v>855</v>
      </c>
      <c r="U232" t="s">
        <v>44</v>
      </c>
      <c r="W232" t="s">
        <v>782</v>
      </c>
      <c r="Y232">
        <v>0</v>
      </c>
      <c r="AA232" t="s">
        <v>40</v>
      </c>
      <c r="AB232" t="s">
        <v>46</v>
      </c>
      <c r="AC232" t="s">
        <v>47</v>
      </c>
      <c r="AF232" t="s">
        <v>48</v>
      </c>
      <c r="AJ232" t="s">
        <v>40</v>
      </c>
      <c r="AK232" t="s">
        <v>49</v>
      </c>
      <c r="AO232" s="1">
        <v>45937</v>
      </c>
      <c r="AP232" s="5">
        <v>0.54166666666666663</v>
      </c>
      <c r="AS232">
        <v>1</v>
      </c>
    </row>
    <row r="233" spans="1:45" x14ac:dyDescent="0.2">
      <c r="A233">
        <f t="shared" si="14"/>
        <v>2025</v>
      </c>
      <c r="B233">
        <f t="shared" si="15"/>
        <v>10</v>
      </c>
      <c r="C233">
        <f t="shared" si="16"/>
        <v>41</v>
      </c>
      <c r="D233" s="2">
        <f t="shared" si="17"/>
        <v>45937</v>
      </c>
      <c r="E233" s="1">
        <v>45937.541666666664</v>
      </c>
      <c r="F233" t="s">
        <v>856</v>
      </c>
      <c r="G233" t="s">
        <v>36</v>
      </c>
      <c r="H233">
        <v>455986</v>
      </c>
      <c r="I233" t="s">
        <v>51</v>
      </c>
      <c r="J233" t="s">
        <v>52</v>
      </c>
      <c r="M233" t="s">
        <v>40</v>
      </c>
      <c r="N233" t="s">
        <v>41</v>
      </c>
      <c r="O233" t="s">
        <v>433</v>
      </c>
      <c r="P233">
        <v>33</v>
      </c>
      <c r="Q233">
        <v>0</v>
      </c>
      <c r="R233">
        <v>0</v>
      </c>
      <c r="S233">
        <v>0</v>
      </c>
      <c r="T233" t="s">
        <v>54</v>
      </c>
      <c r="U233" t="s">
        <v>55</v>
      </c>
      <c r="W233" t="s">
        <v>857</v>
      </c>
      <c r="Y233">
        <v>0</v>
      </c>
      <c r="AA233" t="s">
        <v>40</v>
      </c>
      <c r="AB233" t="s">
        <v>46</v>
      </c>
      <c r="AC233" t="s">
        <v>47</v>
      </c>
      <c r="AG233" t="s">
        <v>858</v>
      </c>
      <c r="AJ233" t="s">
        <v>40</v>
      </c>
      <c r="AK233">
        <v>5019107128</v>
      </c>
      <c r="AO233" s="1">
        <v>45937</v>
      </c>
      <c r="AP233" s="5">
        <v>0.54166666666666663</v>
      </c>
      <c r="AS233">
        <v>1</v>
      </c>
    </row>
    <row r="234" spans="1:45" x14ac:dyDescent="0.2">
      <c r="A234">
        <f t="shared" si="14"/>
        <v>2025</v>
      </c>
      <c r="B234">
        <f t="shared" si="15"/>
        <v>10</v>
      </c>
      <c r="C234">
        <f t="shared" si="16"/>
        <v>41</v>
      </c>
      <c r="D234" s="2">
        <f t="shared" si="17"/>
        <v>45937</v>
      </c>
      <c r="E234" s="1">
        <v>45937.541666666664</v>
      </c>
      <c r="F234" t="s">
        <v>859</v>
      </c>
      <c r="G234" t="s">
        <v>36</v>
      </c>
      <c r="H234" t="s">
        <v>297</v>
      </c>
      <c r="I234" t="s">
        <v>38</v>
      </c>
      <c r="J234" t="s">
        <v>112</v>
      </c>
      <c r="M234" t="s">
        <v>40</v>
      </c>
      <c r="N234" t="s">
        <v>41</v>
      </c>
      <c r="O234" t="s">
        <v>42</v>
      </c>
      <c r="P234">
        <v>27</v>
      </c>
      <c r="Q234">
        <v>0</v>
      </c>
      <c r="R234">
        <v>0</v>
      </c>
      <c r="S234">
        <v>0</v>
      </c>
      <c r="T234" t="s">
        <v>860</v>
      </c>
      <c r="U234" t="s">
        <v>44</v>
      </c>
      <c r="W234" t="s">
        <v>782</v>
      </c>
      <c r="Y234">
        <v>0</v>
      </c>
      <c r="AA234" t="s">
        <v>40</v>
      </c>
      <c r="AB234" t="s">
        <v>46</v>
      </c>
      <c r="AC234" t="s">
        <v>47</v>
      </c>
      <c r="AF234" t="s">
        <v>48</v>
      </c>
      <c r="AJ234" t="s">
        <v>40</v>
      </c>
      <c r="AK234" t="s">
        <v>49</v>
      </c>
      <c r="AO234" s="1">
        <v>45937</v>
      </c>
      <c r="AP234" s="5">
        <v>0.54166666666666663</v>
      </c>
      <c r="AS234">
        <v>1</v>
      </c>
    </row>
    <row r="235" spans="1:45" x14ac:dyDescent="0.2">
      <c r="A235">
        <f t="shared" si="14"/>
        <v>2025</v>
      </c>
      <c r="B235">
        <f t="shared" si="15"/>
        <v>10</v>
      </c>
      <c r="C235">
        <f t="shared" si="16"/>
        <v>41</v>
      </c>
      <c r="D235" s="2">
        <f t="shared" si="17"/>
        <v>45937</v>
      </c>
      <c r="E235" s="1">
        <v>45937.541666666664</v>
      </c>
      <c r="F235" t="s">
        <v>861</v>
      </c>
      <c r="G235" t="s">
        <v>36</v>
      </c>
      <c r="H235">
        <v>454252</v>
      </c>
      <c r="I235" t="s">
        <v>51</v>
      </c>
      <c r="J235" t="s">
        <v>154</v>
      </c>
      <c r="M235" t="s">
        <v>40</v>
      </c>
      <c r="N235" t="s">
        <v>41</v>
      </c>
      <c r="O235" t="s">
        <v>53</v>
      </c>
      <c r="P235">
        <v>33</v>
      </c>
      <c r="Q235">
        <v>0</v>
      </c>
      <c r="R235">
        <v>0</v>
      </c>
      <c r="S235">
        <v>0</v>
      </c>
      <c r="T235" t="s">
        <v>54</v>
      </c>
      <c r="U235" t="s">
        <v>55</v>
      </c>
      <c r="W235" t="s">
        <v>361</v>
      </c>
      <c r="Y235">
        <v>0</v>
      </c>
      <c r="AA235" t="s">
        <v>40</v>
      </c>
      <c r="AB235" t="s">
        <v>46</v>
      </c>
      <c r="AC235" t="s">
        <v>47</v>
      </c>
      <c r="AG235" t="s">
        <v>862</v>
      </c>
      <c r="AJ235" t="s">
        <v>40</v>
      </c>
      <c r="AK235">
        <v>5019104725</v>
      </c>
      <c r="AO235" s="1">
        <v>45937</v>
      </c>
      <c r="AP235" s="5">
        <v>0.54166666666666663</v>
      </c>
      <c r="AS235">
        <v>1</v>
      </c>
    </row>
    <row r="236" spans="1:45" x14ac:dyDescent="0.2">
      <c r="A236">
        <f t="shared" si="14"/>
        <v>2025</v>
      </c>
      <c r="B236">
        <f t="shared" si="15"/>
        <v>10</v>
      </c>
      <c r="C236">
        <f t="shared" si="16"/>
        <v>41</v>
      </c>
      <c r="D236" s="2">
        <f t="shared" si="17"/>
        <v>45937</v>
      </c>
      <c r="E236" s="1">
        <v>45937.583333333336</v>
      </c>
      <c r="F236" t="s">
        <v>863</v>
      </c>
      <c r="G236" t="s">
        <v>36</v>
      </c>
      <c r="H236" t="s">
        <v>864</v>
      </c>
      <c r="I236" t="s">
        <v>38</v>
      </c>
      <c r="J236" t="s">
        <v>99</v>
      </c>
      <c r="M236" t="s">
        <v>40</v>
      </c>
      <c r="N236" t="s">
        <v>41</v>
      </c>
      <c r="O236" t="s">
        <v>42</v>
      </c>
      <c r="P236">
        <v>9</v>
      </c>
      <c r="Q236">
        <v>0</v>
      </c>
      <c r="R236">
        <v>0</v>
      </c>
      <c r="S236">
        <v>0</v>
      </c>
      <c r="T236" t="s">
        <v>865</v>
      </c>
      <c r="U236" t="s">
        <v>101</v>
      </c>
      <c r="W236" t="s">
        <v>782</v>
      </c>
      <c r="Y236">
        <v>0</v>
      </c>
      <c r="AA236" t="s">
        <v>40</v>
      </c>
      <c r="AB236" t="s">
        <v>46</v>
      </c>
      <c r="AC236" t="s">
        <v>47</v>
      </c>
      <c r="AF236" t="s">
        <v>48</v>
      </c>
      <c r="AJ236" t="s">
        <v>40</v>
      </c>
      <c r="AK236" t="s">
        <v>49</v>
      </c>
      <c r="AO236" s="1">
        <v>45937</v>
      </c>
      <c r="AP236" s="5">
        <v>0.58333333333333337</v>
      </c>
      <c r="AS236">
        <v>1</v>
      </c>
    </row>
    <row r="237" spans="1:45" x14ac:dyDescent="0.2">
      <c r="A237">
        <f t="shared" si="14"/>
        <v>2025</v>
      </c>
      <c r="B237">
        <f t="shared" si="15"/>
        <v>10</v>
      </c>
      <c r="C237">
        <f t="shared" si="16"/>
        <v>41</v>
      </c>
      <c r="D237" s="2">
        <f t="shared" si="17"/>
        <v>45937</v>
      </c>
      <c r="E237" s="1">
        <v>45937.583333333336</v>
      </c>
      <c r="F237" t="s">
        <v>866</v>
      </c>
      <c r="G237" t="s">
        <v>36</v>
      </c>
      <c r="H237">
        <v>451335</v>
      </c>
      <c r="I237" t="s">
        <v>51</v>
      </c>
      <c r="J237" t="s">
        <v>188</v>
      </c>
      <c r="M237" t="s">
        <v>40</v>
      </c>
      <c r="N237" t="s">
        <v>41</v>
      </c>
      <c r="O237" t="s">
        <v>172</v>
      </c>
      <c r="P237">
        <v>33</v>
      </c>
      <c r="Q237">
        <v>0</v>
      </c>
      <c r="R237">
        <v>0</v>
      </c>
      <c r="S237">
        <v>0</v>
      </c>
      <c r="T237" t="s">
        <v>54</v>
      </c>
      <c r="U237" t="s">
        <v>55</v>
      </c>
      <c r="W237" t="s">
        <v>457</v>
      </c>
      <c r="Y237">
        <v>0</v>
      </c>
      <c r="AA237" t="s">
        <v>40</v>
      </c>
      <c r="AB237" t="s">
        <v>46</v>
      </c>
      <c r="AC237" t="s">
        <v>47</v>
      </c>
      <c r="AG237" t="s">
        <v>867</v>
      </c>
      <c r="AJ237" t="s">
        <v>40</v>
      </c>
      <c r="AK237">
        <v>5019104023</v>
      </c>
      <c r="AO237" s="1">
        <v>45937</v>
      </c>
      <c r="AP237" s="5">
        <v>0.58333333333333337</v>
      </c>
      <c r="AS237">
        <v>1</v>
      </c>
    </row>
    <row r="238" spans="1:45" x14ac:dyDescent="0.2">
      <c r="A238">
        <f t="shared" si="14"/>
        <v>2025</v>
      </c>
      <c r="B238">
        <f t="shared" si="15"/>
        <v>10</v>
      </c>
      <c r="C238">
        <f t="shared" si="16"/>
        <v>41</v>
      </c>
      <c r="D238" s="2">
        <f t="shared" si="17"/>
        <v>45937</v>
      </c>
      <c r="E238" s="1">
        <v>45937.583333333336</v>
      </c>
      <c r="F238" t="s">
        <v>868</v>
      </c>
      <c r="G238" t="s">
        <v>36</v>
      </c>
      <c r="H238">
        <v>451349</v>
      </c>
      <c r="I238" t="s">
        <v>51</v>
      </c>
      <c r="J238" t="s">
        <v>355</v>
      </c>
      <c r="M238" t="s">
        <v>40</v>
      </c>
      <c r="N238" t="s">
        <v>41</v>
      </c>
      <c r="O238" t="s">
        <v>530</v>
      </c>
      <c r="P238">
        <v>33</v>
      </c>
      <c r="Q238">
        <v>0</v>
      </c>
      <c r="R238">
        <v>0</v>
      </c>
      <c r="S238">
        <v>0</v>
      </c>
      <c r="T238" t="s">
        <v>54</v>
      </c>
      <c r="U238" t="s">
        <v>55</v>
      </c>
      <c r="W238" t="s">
        <v>869</v>
      </c>
      <c r="Y238">
        <v>0</v>
      </c>
      <c r="AA238" t="s">
        <v>40</v>
      </c>
      <c r="AB238" t="s">
        <v>46</v>
      </c>
      <c r="AC238" t="s">
        <v>47</v>
      </c>
      <c r="AG238" t="s">
        <v>870</v>
      </c>
      <c r="AJ238" t="s">
        <v>40</v>
      </c>
      <c r="AK238">
        <v>5019088399</v>
      </c>
      <c r="AO238" s="1">
        <v>45937</v>
      </c>
      <c r="AP238" s="5">
        <v>0.58333333333333337</v>
      </c>
      <c r="AS238">
        <v>1</v>
      </c>
    </row>
    <row r="239" spans="1:45" x14ac:dyDescent="0.2">
      <c r="A239">
        <f t="shared" si="14"/>
        <v>2025</v>
      </c>
      <c r="B239">
        <f t="shared" si="15"/>
        <v>10</v>
      </c>
      <c r="C239">
        <f t="shared" si="16"/>
        <v>41</v>
      </c>
      <c r="D239" s="2">
        <f t="shared" si="17"/>
        <v>45937</v>
      </c>
      <c r="E239" s="1">
        <v>45937.583333333336</v>
      </c>
      <c r="F239" t="s">
        <v>871</v>
      </c>
      <c r="G239" t="s">
        <v>36</v>
      </c>
      <c r="H239" t="s">
        <v>297</v>
      </c>
      <c r="I239" t="s">
        <v>38</v>
      </c>
      <c r="J239" t="s">
        <v>112</v>
      </c>
      <c r="M239" t="s">
        <v>40</v>
      </c>
      <c r="N239" t="s">
        <v>41</v>
      </c>
      <c r="O239" t="s">
        <v>42</v>
      </c>
      <c r="P239">
        <v>31</v>
      </c>
      <c r="Q239">
        <v>0</v>
      </c>
      <c r="R239">
        <v>0</v>
      </c>
      <c r="S239">
        <v>0</v>
      </c>
      <c r="T239" t="s">
        <v>872</v>
      </c>
      <c r="U239" t="s">
        <v>44</v>
      </c>
      <c r="W239" t="s">
        <v>782</v>
      </c>
      <c r="Y239">
        <v>0</v>
      </c>
      <c r="AA239" t="s">
        <v>40</v>
      </c>
      <c r="AB239" t="s">
        <v>46</v>
      </c>
      <c r="AC239" t="s">
        <v>47</v>
      </c>
      <c r="AF239" t="s">
        <v>48</v>
      </c>
      <c r="AJ239" t="s">
        <v>40</v>
      </c>
      <c r="AK239" t="s">
        <v>49</v>
      </c>
      <c r="AO239" s="1">
        <v>45937</v>
      </c>
      <c r="AP239" s="5">
        <v>0.58333333333333337</v>
      </c>
      <c r="AS239">
        <v>1</v>
      </c>
    </row>
    <row r="240" spans="1:45" x14ac:dyDescent="0.2">
      <c r="A240">
        <f t="shared" si="14"/>
        <v>2025</v>
      </c>
      <c r="B240">
        <f t="shared" si="15"/>
        <v>10</v>
      </c>
      <c r="C240">
        <f t="shared" si="16"/>
        <v>41</v>
      </c>
      <c r="D240" s="2">
        <f t="shared" si="17"/>
        <v>45937</v>
      </c>
      <c r="E240" s="1">
        <v>45937.625</v>
      </c>
      <c r="F240" t="s">
        <v>873</v>
      </c>
      <c r="G240" t="s">
        <v>36</v>
      </c>
      <c r="H240">
        <v>451322</v>
      </c>
      <c r="I240" t="s">
        <v>51</v>
      </c>
      <c r="J240" t="s">
        <v>188</v>
      </c>
      <c r="M240" t="s">
        <v>40</v>
      </c>
      <c r="N240" t="s">
        <v>41</v>
      </c>
      <c r="O240" t="s">
        <v>189</v>
      </c>
      <c r="P240">
        <v>33</v>
      </c>
      <c r="Q240">
        <v>0</v>
      </c>
      <c r="R240">
        <v>0</v>
      </c>
      <c r="S240">
        <v>0</v>
      </c>
      <c r="T240" t="s">
        <v>54</v>
      </c>
      <c r="U240" t="s">
        <v>55</v>
      </c>
      <c r="W240" t="s">
        <v>782</v>
      </c>
      <c r="X240" t="s">
        <v>874</v>
      </c>
      <c r="Y240">
        <v>0</v>
      </c>
      <c r="AA240" t="s">
        <v>40</v>
      </c>
      <c r="AB240" t="s">
        <v>46</v>
      </c>
      <c r="AC240" t="s">
        <v>47</v>
      </c>
      <c r="AG240" t="s">
        <v>875</v>
      </c>
      <c r="AJ240" t="s">
        <v>40</v>
      </c>
      <c r="AK240">
        <v>5019094710</v>
      </c>
      <c r="AL240" t="s">
        <v>876</v>
      </c>
      <c r="AM240" t="s">
        <v>877</v>
      </c>
      <c r="AO240" s="1">
        <v>45937</v>
      </c>
      <c r="AP240" s="5">
        <v>0.625</v>
      </c>
      <c r="AS240">
        <v>1</v>
      </c>
    </row>
    <row r="241" spans="1:45" x14ac:dyDescent="0.2">
      <c r="A241">
        <f t="shared" si="14"/>
        <v>2025</v>
      </c>
      <c r="B241">
        <f t="shared" si="15"/>
        <v>10</v>
      </c>
      <c r="C241">
        <f t="shared" si="16"/>
        <v>41</v>
      </c>
      <c r="D241" s="2">
        <f t="shared" si="17"/>
        <v>45937</v>
      </c>
      <c r="E241" s="1">
        <v>45937.625</v>
      </c>
      <c r="F241" t="s">
        <v>878</v>
      </c>
      <c r="G241" t="s">
        <v>36</v>
      </c>
      <c r="H241" t="s">
        <v>879</v>
      </c>
      <c r="I241" t="s">
        <v>38</v>
      </c>
      <c r="J241" t="s">
        <v>880</v>
      </c>
      <c r="M241" t="s">
        <v>40</v>
      </c>
      <c r="N241" t="s">
        <v>41</v>
      </c>
      <c r="O241" t="s">
        <v>42</v>
      </c>
      <c r="P241">
        <v>15</v>
      </c>
      <c r="Q241">
        <v>0</v>
      </c>
      <c r="R241">
        <v>0</v>
      </c>
      <c r="S241">
        <v>0</v>
      </c>
      <c r="T241" t="s">
        <v>881</v>
      </c>
      <c r="U241" t="s">
        <v>44</v>
      </c>
      <c r="W241" t="s">
        <v>705</v>
      </c>
      <c r="Y241">
        <v>0</v>
      </c>
      <c r="AA241" t="s">
        <v>40</v>
      </c>
      <c r="AB241" t="s">
        <v>46</v>
      </c>
      <c r="AC241" t="s">
        <v>47</v>
      </c>
      <c r="AF241" t="s">
        <v>882</v>
      </c>
      <c r="AJ241" t="s">
        <v>40</v>
      </c>
      <c r="AK241" t="s">
        <v>49</v>
      </c>
      <c r="AO241" s="1">
        <v>45937</v>
      </c>
      <c r="AP241" s="5">
        <v>0.625</v>
      </c>
      <c r="AS241">
        <v>1</v>
      </c>
    </row>
    <row r="242" spans="1:45" x14ac:dyDescent="0.2">
      <c r="A242">
        <f t="shared" si="14"/>
        <v>2025</v>
      </c>
      <c r="B242">
        <f t="shared" si="15"/>
        <v>10</v>
      </c>
      <c r="C242">
        <f t="shared" si="16"/>
        <v>41</v>
      </c>
      <c r="D242" s="2">
        <f t="shared" si="17"/>
        <v>45937</v>
      </c>
      <c r="E242" s="1">
        <v>45937.666666666664</v>
      </c>
      <c r="F242" t="s">
        <v>883</v>
      </c>
      <c r="G242" t="s">
        <v>36</v>
      </c>
      <c r="H242">
        <v>455637</v>
      </c>
      <c r="I242" t="s">
        <v>51</v>
      </c>
      <c r="J242" t="s">
        <v>144</v>
      </c>
      <c r="M242" t="s">
        <v>40</v>
      </c>
      <c r="N242" t="s">
        <v>41</v>
      </c>
      <c r="O242" t="s">
        <v>90</v>
      </c>
      <c r="P242">
        <v>33</v>
      </c>
      <c r="Q242">
        <v>0</v>
      </c>
      <c r="R242">
        <v>0</v>
      </c>
      <c r="S242">
        <v>0</v>
      </c>
      <c r="T242" t="s">
        <v>54</v>
      </c>
      <c r="U242" t="s">
        <v>55</v>
      </c>
      <c r="W242" t="s">
        <v>580</v>
      </c>
      <c r="X242" t="s">
        <v>884</v>
      </c>
      <c r="Y242">
        <v>0</v>
      </c>
      <c r="AA242" t="s">
        <v>40</v>
      </c>
      <c r="AB242" t="s">
        <v>46</v>
      </c>
      <c r="AC242" t="s">
        <v>47</v>
      </c>
      <c r="AG242" t="s">
        <v>885</v>
      </c>
      <c r="AJ242" t="s">
        <v>40</v>
      </c>
      <c r="AK242">
        <v>5019107089</v>
      </c>
      <c r="AL242" t="s">
        <v>886</v>
      </c>
      <c r="AM242" t="s">
        <v>887</v>
      </c>
      <c r="AO242" s="1">
        <v>45937</v>
      </c>
      <c r="AP242" s="5">
        <v>0.66666666666666663</v>
      </c>
      <c r="AS242">
        <v>1</v>
      </c>
    </row>
    <row r="243" spans="1:45" x14ac:dyDescent="0.2">
      <c r="A243">
        <f t="shared" si="14"/>
        <v>2025</v>
      </c>
      <c r="B243">
        <f t="shared" si="15"/>
        <v>10</v>
      </c>
      <c r="C243">
        <f t="shared" si="16"/>
        <v>41</v>
      </c>
      <c r="D243" s="2">
        <f t="shared" si="17"/>
        <v>45937</v>
      </c>
      <c r="E243" s="1">
        <v>45937.666666666664</v>
      </c>
      <c r="F243" t="s">
        <v>888</v>
      </c>
      <c r="G243" t="s">
        <v>36</v>
      </c>
      <c r="H243" t="s">
        <v>889</v>
      </c>
      <c r="I243" t="s">
        <v>38</v>
      </c>
      <c r="J243" t="s">
        <v>890</v>
      </c>
      <c r="M243" t="s">
        <v>40</v>
      </c>
      <c r="N243" t="s">
        <v>41</v>
      </c>
      <c r="O243" t="s">
        <v>42</v>
      </c>
      <c r="P243">
        <v>40</v>
      </c>
      <c r="Q243">
        <v>0</v>
      </c>
      <c r="R243">
        <v>0</v>
      </c>
      <c r="S243">
        <v>0</v>
      </c>
      <c r="T243" t="s">
        <v>891</v>
      </c>
      <c r="U243" t="s">
        <v>392</v>
      </c>
      <c r="W243" t="s">
        <v>892</v>
      </c>
      <c r="Y243">
        <v>0</v>
      </c>
      <c r="AA243" t="s">
        <v>40</v>
      </c>
      <c r="AB243" t="s">
        <v>46</v>
      </c>
      <c r="AC243" t="s">
        <v>47</v>
      </c>
      <c r="AF243" t="s">
        <v>393</v>
      </c>
      <c r="AJ243" t="s">
        <v>40</v>
      </c>
      <c r="AK243" t="s">
        <v>49</v>
      </c>
      <c r="AO243" s="1">
        <v>45937</v>
      </c>
      <c r="AP243" s="5">
        <v>0.66666666666666663</v>
      </c>
      <c r="AS243">
        <v>1</v>
      </c>
    </row>
    <row r="244" spans="1:45" x14ac:dyDescent="0.2">
      <c r="A244">
        <f t="shared" si="14"/>
        <v>2025</v>
      </c>
      <c r="B244">
        <f t="shared" si="15"/>
        <v>10</v>
      </c>
      <c r="C244">
        <f t="shared" si="16"/>
        <v>41</v>
      </c>
      <c r="D244" s="2">
        <f t="shared" si="17"/>
        <v>45937</v>
      </c>
      <c r="E244" s="1">
        <v>45937.666666666664</v>
      </c>
      <c r="F244" t="s">
        <v>893</v>
      </c>
      <c r="G244" t="s">
        <v>36</v>
      </c>
      <c r="H244" t="s">
        <v>864</v>
      </c>
      <c r="I244" t="s">
        <v>38</v>
      </c>
      <c r="J244" t="s">
        <v>99</v>
      </c>
      <c r="M244" t="s">
        <v>40</v>
      </c>
      <c r="N244" t="s">
        <v>41</v>
      </c>
      <c r="O244" t="s">
        <v>42</v>
      </c>
      <c r="P244">
        <v>27</v>
      </c>
      <c r="Q244">
        <v>0</v>
      </c>
      <c r="R244">
        <v>0</v>
      </c>
      <c r="S244">
        <v>0</v>
      </c>
      <c r="T244" t="s">
        <v>894</v>
      </c>
      <c r="U244" t="s">
        <v>44</v>
      </c>
      <c r="W244" t="s">
        <v>782</v>
      </c>
      <c r="Y244">
        <v>0</v>
      </c>
      <c r="AA244" t="s">
        <v>40</v>
      </c>
      <c r="AB244" t="s">
        <v>46</v>
      </c>
      <c r="AC244" t="s">
        <v>47</v>
      </c>
      <c r="AF244" t="s">
        <v>48</v>
      </c>
      <c r="AJ244" t="s">
        <v>40</v>
      </c>
      <c r="AK244" t="s">
        <v>49</v>
      </c>
      <c r="AO244" s="1">
        <v>45937</v>
      </c>
      <c r="AP244" s="5">
        <v>0.66666666666666663</v>
      </c>
      <c r="AS244">
        <v>1</v>
      </c>
    </row>
    <row r="245" spans="1:45" x14ac:dyDescent="0.2">
      <c r="A245">
        <f t="shared" si="14"/>
        <v>2025</v>
      </c>
      <c r="B245">
        <f t="shared" si="15"/>
        <v>10</v>
      </c>
      <c r="C245">
        <f t="shared" si="16"/>
        <v>41</v>
      </c>
      <c r="D245" s="2">
        <f t="shared" si="17"/>
        <v>45937</v>
      </c>
      <c r="E245" s="1">
        <v>45937.666666666664</v>
      </c>
      <c r="F245" t="s">
        <v>895</v>
      </c>
      <c r="G245" t="s">
        <v>36</v>
      </c>
      <c r="H245" t="s">
        <v>896</v>
      </c>
      <c r="I245" t="s">
        <v>78</v>
      </c>
      <c r="J245" t="s">
        <v>144</v>
      </c>
      <c r="M245" t="s">
        <v>40</v>
      </c>
      <c r="N245" t="s">
        <v>41</v>
      </c>
      <c r="O245" t="s">
        <v>382</v>
      </c>
      <c r="P245">
        <v>66</v>
      </c>
      <c r="Q245">
        <v>0</v>
      </c>
      <c r="R245">
        <v>0</v>
      </c>
      <c r="S245">
        <v>0</v>
      </c>
      <c r="T245" t="s">
        <v>54</v>
      </c>
      <c r="U245" t="s">
        <v>233</v>
      </c>
      <c r="W245" t="s">
        <v>897</v>
      </c>
      <c r="Y245">
        <v>0</v>
      </c>
      <c r="AA245" t="s">
        <v>40</v>
      </c>
      <c r="AB245" t="s">
        <v>46</v>
      </c>
      <c r="AC245" t="s">
        <v>47</v>
      </c>
      <c r="AD245" t="s">
        <v>81</v>
      </c>
      <c r="AE245" t="s">
        <v>81</v>
      </c>
      <c r="AG245" t="s">
        <v>898</v>
      </c>
      <c r="AJ245" t="s">
        <v>40</v>
      </c>
      <c r="AK245" t="s">
        <v>899</v>
      </c>
      <c r="AO245" s="1">
        <v>45937</v>
      </c>
      <c r="AP245" s="5">
        <v>0.66666666666666663</v>
      </c>
      <c r="AS245">
        <v>1</v>
      </c>
    </row>
    <row r="246" spans="1:45" x14ac:dyDescent="0.2">
      <c r="A246">
        <f t="shared" si="14"/>
        <v>2025</v>
      </c>
      <c r="B246">
        <f t="shared" si="15"/>
        <v>10</v>
      </c>
      <c r="C246">
        <f t="shared" si="16"/>
        <v>41</v>
      </c>
      <c r="D246" s="2">
        <f t="shared" si="17"/>
        <v>45937</v>
      </c>
      <c r="E246" s="1">
        <v>45937.666666666664</v>
      </c>
      <c r="F246" t="s">
        <v>900</v>
      </c>
      <c r="G246" t="s">
        <v>36</v>
      </c>
      <c r="H246">
        <v>451351</v>
      </c>
      <c r="I246" t="s">
        <v>51</v>
      </c>
      <c r="J246" t="s">
        <v>200</v>
      </c>
      <c r="M246" t="s">
        <v>40</v>
      </c>
      <c r="N246" t="s">
        <v>41</v>
      </c>
      <c r="O246" t="s">
        <v>182</v>
      </c>
      <c r="P246">
        <v>33</v>
      </c>
      <c r="Q246">
        <v>0</v>
      </c>
      <c r="R246">
        <v>0</v>
      </c>
      <c r="S246">
        <v>0</v>
      </c>
      <c r="T246" t="s">
        <v>54</v>
      </c>
      <c r="U246" t="s">
        <v>55</v>
      </c>
      <c r="W246" t="s">
        <v>580</v>
      </c>
      <c r="Y246">
        <v>0</v>
      </c>
      <c r="AA246" t="s">
        <v>40</v>
      </c>
      <c r="AB246" t="s">
        <v>46</v>
      </c>
      <c r="AC246" t="s">
        <v>47</v>
      </c>
      <c r="AG246" t="s">
        <v>901</v>
      </c>
      <c r="AJ246" t="s">
        <v>40</v>
      </c>
      <c r="AK246">
        <v>5019107258</v>
      </c>
      <c r="AO246" s="1">
        <v>45937</v>
      </c>
      <c r="AP246" s="5">
        <v>0.66666666666666663</v>
      </c>
      <c r="AS246">
        <v>1</v>
      </c>
    </row>
    <row r="247" spans="1:45" x14ac:dyDescent="0.2">
      <c r="A247">
        <f t="shared" si="14"/>
        <v>2025</v>
      </c>
      <c r="B247">
        <f t="shared" si="15"/>
        <v>10</v>
      </c>
      <c r="C247">
        <f t="shared" si="16"/>
        <v>41</v>
      </c>
      <c r="D247" s="2">
        <f t="shared" si="17"/>
        <v>45937</v>
      </c>
      <c r="E247" s="1">
        <v>45937.666666666664</v>
      </c>
      <c r="F247" t="s">
        <v>902</v>
      </c>
      <c r="G247" t="s">
        <v>36</v>
      </c>
      <c r="H247">
        <v>451323</v>
      </c>
      <c r="I247" t="s">
        <v>51</v>
      </c>
      <c r="J247" t="s">
        <v>118</v>
      </c>
      <c r="M247" t="s">
        <v>40</v>
      </c>
      <c r="N247" t="s">
        <v>41</v>
      </c>
      <c r="O247" t="s">
        <v>119</v>
      </c>
      <c r="P247">
        <v>33</v>
      </c>
      <c r="Q247">
        <v>0</v>
      </c>
      <c r="R247">
        <v>0</v>
      </c>
      <c r="S247">
        <v>0</v>
      </c>
      <c r="T247" t="s">
        <v>54</v>
      </c>
      <c r="U247" t="s">
        <v>55</v>
      </c>
      <c r="W247" t="s">
        <v>869</v>
      </c>
      <c r="Y247">
        <v>0</v>
      </c>
      <c r="AA247" t="s">
        <v>40</v>
      </c>
      <c r="AB247" t="s">
        <v>46</v>
      </c>
      <c r="AC247" t="s">
        <v>47</v>
      </c>
      <c r="AG247" t="s">
        <v>903</v>
      </c>
      <c r="AJ247" t="s">
        <v>40</v>
      </c>
      <c r="AK247">
        <v>5019106205</v>
      </c>
      <c r="AO247" s="1">
        <v>45937</v>
      </c>
      <c r="AP247" s="5">
        <v>0.66666666666666663</v>
      </c>
      <c r="AS247">
        <v>1</v>
      </c>
    </row>
    <row r="248" spans="1:45" x14ac:dyDescent="0.2">
      <c r="A248">
        <f t="shared" si="14"/>
        <v>2025</v>
      </c>
      <c r="B248">
        <f t="shared" si="15"/>
        <v>10</v>
      </c>
      <c r="C248">
        <f t="shared" si="16"/>
        <v>41</v>
      </c>
      <c r="D248" s="2">
        <f t="shared" si="17"/>
        <v>45937</v>
      </c>
      <c r="E248" s="1">
        <v>45937.708333333336</v>
      </c>
      <c r="F248" t="s">
        <v>904</v>
      </c>
      <c r="G248" t="s">
        <v>36</v>
      </c>
      <c r="H248" t="s">
        <v>905</v>
      </c>
      <c r="I248" t="s">
        <v>78</v>
      </c>
      <c r="J248" t="s">
        <v>713</v>
      </c>
      <c r="M248" t="s">
        <v>40</v>
      </c>
      <c r="N248" t="s">
        <v>41</v>
      </c>
      <c r="O248" t="s">
        <v>714</v>
      </c>
      <c r="P248">
        <v>66</v>
      </c>
      <c r="Q248">
        <v>0</v>
      </c>
      <c r="R248">
        <v>0</v>
      </c>
      <c r="S248">
        <v>0</v>
      </c>
      <c r="T248" t="s">
        <v>54</v>
      </c>
      <c r="U248" t="s">
        <v>55</v>
      </c>
      <c r="W248" t="s">
        <v>906</v>
      </c>
      <c r="Y248">
        <v>0</v>
      </c>
      <c r="AA248" t="s">
        <v>40</v>
      </c>
      <c r="AB248" t="s">
        <v>46</v>
      </c>
      <c r="AC248" t="s">
        <v>47</v>
      </c>
      <c r="AD248" t="s">
        <v>81</v>
      </c>
      <c r="AE248" t="s">
        <v>81</v>
      </c>
      <c r="AG248" t="s">
        <v>907</v>
      </c>
      <c r="AJ248" t="s">
        <v>40</v>
      </c>
      <c r="AK248" t="s">
        <v>908</v>
      </c>
      <c r="AO248" s="1">
        <v>45937</v>
      </c>
      <c r="AP248" s="5">
        <v>0.70833333333333337</v>
      </c>
      <c r="AS248">
        <v>1</v>
      </c>
    </row>
    <row r="249" spans="1:45" x14ac:dyDescent="0.2">
      <c r="A249">
        <f t="shared" si="14"/>
        <v>2025</v>
      </c>
      <c r="B249">
        <f t="shared" si="15"/>
        <v>10</v>
      </c>
      <c r="C249">
        <f t="shared" si="16"/>
        <v>41</v>
      </c>
      <c r="D249" s="2">
        <f t="shared" si="17"/>
        <v>45937</v>
      </c>
      <c r="E249" s="1">
        <v>45937.708333333336</v>
      </c>
      <c r="F249" t="s">
        <v>909</v>
      </c>
      <c r="G249" t="s">
        <v>36</v>
      </c>
      <c r="H249">
        <v>451328</v>
      </c>
      <c r="I249" t="s">
        <v>51</v>
      </c>
      <c r="J249" t="s">
        <v>154</v>
      </c>
      <c r="M249" t="s">
        <v>40</v>
      </c>
      <c r="N249" t="s">
        <v>41</v>
      </c>
      <c r="O249" t="s">
        <v>155</v>
      </c>
      <c r="P249">
        <v>33</v>
      </c>
      <c r="Q249">
        <v>0</v>
      </c>
      <c r="R249">
        <v>0</v>
      </c>
      <c r="S249">
        <v>0</v>
      </c>
      <c r="T249" t="s">
        <v>54</v>
      </c>
      <c r="U249" t="s">
        <v>55</v>
      </c>
      <c r="W249" t="s">
        <v>782</v>
      </c>
      <c r="Y249">
        <v>0</v>
      </c>
      <c r="AA249" t="s">
        <v>40</v>
      </c>
      <c r="AB249" t="s">
        <v>46</v>
      </c>
      <c r="AC249" t="s">
        <v>47</v>
      </c>
      <c r="AG249" t="s">
        <v>910</v>
      </c>
      <c r="AJ249" t="s">
        <v>40</v>
      </c>
      <c r="AK249">
        <v>5019101659</v>
      </c>
      <c r="AO249" s="1">
        <v>45937</v>
      </c>
      <c r="AP249" s="5">
        <v>0.70833333333333337</v>
      </c>
      <c r="AS249">
        <v>1</v>
      </c>
    </row>
    <row r="250" spans="1:45" x14ac:dyDescent="0.2">
      <c r="A250">
        <f t="shared" si="14"/>
        <v>2025</v>
      </c>
      <c r="B250">
        <f t="shared" si="15"/>
        <v>10</v>
      </c>
      <c r="C250">
        <f t="shared" si="16"/>
        <v>41</v>
      </c>
      <c r="D250" s="2">
        <f t="shared" si="17"/>
        <v>45937</v>
      </c>
      <c r="E250" s="1">
        <v>45937.708333333336</v>
      </c>
      <c r="F250" t="s">
        <v>911</v>
      </c>
      <c r="G250" t="s">
        <v>36</v>
      </c>
      <c r="H250">
        <v>451333</v>
      </c>
      <c r="I250" t="s">
        <v>51</v>
      </c>
      <c r="J250" t="s">
        <v>188</v>
      </c>
      <c r="M250" t="s">
        <v>40</v>
      </c>
      <c r="N250" t="s">
        <v>41</v>
      </c>
      <c r="O250" t="s">
        <v>189</v>
      </c>
      <c r="P250">
        <v>33</v>
      </c>
      <c r="Q250">
        <v>0</v>
      </c>
      <c r="R250">
        <v>0</v>
      </c>
      <c r="S250">
        <v>0</v>
      </c>
      <c r="T250" t="s">
        <v>54</v>
      </c>
      <c r="U250" t="s">
        <v>55</v>
      </c>
      <c r="W250" t="s">
        <v>912</v>
      </c>
      <c r="X250" t="s">
        <v>913</v>
      </c>
      <c r="Y250">
        <v>0</v>
      </c>
      <c r="AA250" t="s">
        <v>40</v>
      </c>
      <c r="AB250" t="s">
        <v>46</v>
      </c>
      <c r="AC250" t="s">
        <v>47</v>
      </c>
      <c r="AG250" t="s">
        <v>914</v>
      </c>
      <c r="AJ250" t="s">
        <v>40</v>
      </c>
      <c r="AK250">
        <v>5019090032</v>
      </c>
      <c r="AL250" t="s">
        <v>915</v>
      </c>
      <c r="AM250" t="s">
        <v>916</v>
      </c>
      <c r="AO250" s="1">
        <v>45937</v>
      </c>
      <c r="AP250" s="5">
        <v>0.70833333333333337</v>
      </c>
      <c r="AS250">
        <v>1</v>
      </c>
    </row>
    <row r="251" spans="1:45" x14ac:dyDescent="0.2">
      <c r="A251">
        <f t="shared" si="14"/>
        <v>2025</v>
      </c>
      <c r="B251">
        <f t="shared" si="15"/>
        <v>10</v>
      </c>
      <c r="C251">
        <f t="shared" si="16"/>
        <v>41</v>
      </c>
      <c r="D251" s="2">
        <f t="shared" si="17"/>
        <v>45937</v>
      </c>
      <c r="E251" s="1">
        <v>45937.75</v>
      </c>
      <c r="F251" t="s">
        <v>917</v>
      </c>
      <c r="G251" t="s">
        <v>36</v>
      </c>
      <c r="H251" t="s">
        <v>918</v>
      </c>
      <c r="I251" t="s">
        <v>38</v>
      </c>
      <c r="J251" t="s">
        <v>890</v>
      </c>
      <c r="M251" t="s">
        <v>40</v>
      </c>
      <c r="N251" t="s">
        <v>41</v>
      </c>
      <c r="O251" t="s">
        <v>42</v>
      </c>
      <c r="P251">
        <v>36</v>
      </c>
      <c r="Q251">
        <v>0</v>
      </c>
      <c r="R251">
        <v>0</v>
      </c>
      <c r="S251">
        <v>0</v>
      </c>
      <c r="T251" t="s">
        <v>919</v>
      </c>
      <c r="U251" t="s">
        <v>392</v>
      </c>
      <c r="W251" t="s">
        <v>892</v>
      </c>
      <c r="Y251">
        <v>0</v>
      </c>
      <c r="AA251" t="s">
        <v>40</v>
      </c>
      <c r="AB251" t="s">
        <v>46</v>
      </c>
      <c r="AC251" t="s">
        <v>47</v>
      </c>
      <c r="AF251" t="s">
        <v>393</v>
      </c>
      <c r="AJ251" t="s">
        <v>40</v>
      </c>
      <c r="AK251" t="s">
        <v>49</v>
      </c>
      <c r="AO251" s="1">
        <v>45937</v>
      </c>
      <c r="AP251" s="5">
        <v>0.75</v>
      </c>
      <c r="AS251">
        <v>1</v>
      </c>
    </row>
    <row r="252" spans="1:45" x14ac:dyDescent="0.2">
      <c r="A252">
        <f t="shared" si="14"/>
        <v>2025</v>
      </c>
      <c r="B252">
        <f t="shared" si="15"/>
        <v>10</v>
      </c>
      <c r="C252">
        <f t="shared" si="16"/>
        <v>41</v>
      </c>
      <c r="D252" s="2">
        <f t="shared" si="17"/>
        <v>45937</v>
      </c>
      <c r="E252" s="1">
        <v>45937.75</v>
      </c>
      <c r="F252" t="s">
        <v>920</v>
      </c>
      <c r="G252" t="s">
        <v>36</v>
      </c>
      <c r="H252">
        <v>451319</v>
      </c>
      <c r="I252" t="s">
        <v>51</v>
      </c>
      <c r="J252" t="s">
        <v>154</v>
      </c>
      <c r="M252" t="s">
        <v>40</v>
      </c>
      <c r="N252" t="s">
        <v>41</v>
      </c>
      <c r="O252" t="s">
        <v>155</v>
      </c>
      <c r="P252">
        <v>33</v>
      </c>
      <c r="Q252">
        <v>0</v>
      </c>
      <c r="R252">
        <v>0</v>
      </c>
      <c r="S252">
        <v>0</v>
      </c>
      <c r="T252" t="s">
        <v>54</v>
      </c>
      <c r="U252" t="s">
        <v>55</v>
      </c>
      <c r="W252" t="s">
        <v>720</v>
      </c>
      <c r="Y252">
        <v>0</v>
      </c>
      <c r="AA252" t="s">
        <v>40</v>
      </c>
      <c r="AB252" t="s">
        <v>46</v>
      </c>
      <c r="AC252" t="s">
        <v>47</v>
      </c>
      <c r="AG252" t="s">
        <v>921</v>
      </c>
      <c r="AJ252" t="s">
        <v>40</v>
      </c>
      <c r="AK252">
        <v>5019092399</v>
      </c>
      <c r="AO252" s="1">
        <v>45937</v>
      </c>
      <c r="AP252" s="5">
        <v>0.75</v>
      </c>
      <c r="AS252">
        <v>1</v>
      </c>
    </row>
    <row r="253" spans="1:45" x14ac:dyDescent="0.2">
      <c r="A253">
        <f t="shared" si="14"/>
        <v>2025</v>
      </c>
      <c r="B253">
        <f t="shared" si="15"/>
        <v>10</v>
      </c>
      <c r="C253">
        <f t="shared" si="16"/>
        <v>41</v>
      </c>
      <c r="D253" s="2">
        <f t="shared" si="17"/>
        <v>45937</v>
      </c>
      <c r="E253" s="1">
        <v>45937.75</v>
      </c>
      <c r="F253" t="s">
        <v>922</v>
      </c>
      <c r="G253" t="s">
        <v>36</v>
      </c>
      <c r="H253">
        <v>451352</v>
      </c>
      <c r="I253" t="s">
        <v>51</v>
      </c>
      <c r="J253" t="s">
        <v>194</v>
      </c>
      <c r="M253" t="s">
        <v>40</v>
      </c>
      <c r="N253" t="s">
        <v>41</v>
      </c>
      <c r="O253" t="s">
        <v>189</v>
      </c>
      <c r="P253">
        <v>33</v>
      </c>
      <c r="Q253">
        <v>0</v>
      </c>
      <c r="R253">
        <v>0</v>
      </c>
      <c r="S253">
        <v>0</v>
      </c>
      <c r="T253" t="s">
        <v>54</v>
      </c>
      <c r="U253" t="s">
        <v>55</v>
      </c>
      <c r="W253" t="s">
        <v>923</v>
      </c>
      <c r="Y253">
        <v>0</v>
      </c>
      <c r="AA253" t="s">
        <v>40</v>
      </c>
      <c r="AB253" t="s">
        <v>46</v>
      </c>
      <c r="AC253" t="s">
        <v>47</v>
      </c>
      <c r="AG253" t="s">
        <v>924</v>
      </c>
      <c r="AJ253" t="s">
        <v>40</v>
      </c>
      <c r="AK253">
        <v>5019111247</v>
      </c>
      <c r="AO253" s="1">
        <v>45937</v>
      </c>
      <c r="AP253" s="5">
        <v>0.75</v>
      </c>
      <c r="AS253">
        <v>1</v>
      </c>
    </row>
    <row r="254" spans="1:45" x14ac:dyDescent="0.2">
      <c r="A254">
        <f t="shared" si="14"/>
        <v>2025</v>
      </c>
      <c r="B254">
        <f t="shared" si="15"/>
        <v>10</v>
      </c>
      <c r="C254">
        <f t="shared" si="16"/>
        <v>41</v>
      </c>
      <c r="D254" s="2">
        <f t="shared" si="17"/>
        <v>45937</v>
      </c>
      <c r="E254" s="1">
        <v>45937.75</v>
      </c>
      <c r="F254" t="s">
        <v>925</v>
      </c>
      <c r="G254" t="s">
        <v>36</v>
      </c>
      <c r="H254">
        <v>451320</v>
      </c>
      <c r="I254" t="s">
        <v>51</v>
      </c>
      <c r="J254" t="s">
        <v>375</v>
      </c>
      <c r="M254" t="s">
        <v>40</v>
      </c>
      <c r="N254" t="s">
        <v>41</v>
      </c>
      <c r="O254" t="s">
        <v>182</v>
      </c>
      <c r="P254">
        <v>33</v>
      </c>
      <c r="Q254">
        <v>0</v>
      </c>
      <c r="R254">
        <v>0</v>
      </c>
      <c r="S254">
        <v>0</v>
      </c>
      <c r="T254" t="s">
        <v>54</v>
      </c>
      <c r="U254" t="s">
        <v>55</v>
      </c>
      <c r="W254" t="s">
        <v>926</v>
      </c>
      <c r="X254" t="s">
        <v>927</v>
      </c>
      <c r="Y254">
        <v>0</v>
      </c>
      <c r="AA254" t="s">
        <v>40</v>
      </c>
      <c r="AB254" t="s">
        <v>46</v>
      </c>
      <c r="AC254" t="s">
        <v>47</v>
      </c>
      <c r="AG254" t="s">
        <v>928</v>
      </c>
      <c r="AJ254" t="s">
        <v>40</v>
      </c>
      <c r="AK254">
        <v>5019111532</v>
      </c>
      <c r="AL254" t="s">
        <v>929</v>
      </c>
      <c r="AM254" t="s">
        <v>930</v>
      </c>
      <c r="AO254" s="1">
        <v>45937</v>
      </c>
      <c r="AP254" s="5">
        <v>0.75</v>
      </c>
      <c r="AS254">
        <v>1</v>
      </c>
    </row>
    <row r="255" spans="1:45" x14ac:dyDescent="0.2">
      <c r="A255">
        <f t="shared" si="14"/>
        <v>2025</v>
      </c>
      <c r="B255">
        <f t="shared" si="15"/>
        <v>10</v>
      </c>
      <c r="C255">
        <f t="shared" si="16"/>
        <v>41</v>
      </c>
      <c r="D255" s="2">
        <f t="shared" si="17"/>
        <v>45937</v>
      </c>
      <c r="E255" s="1">
        <v>45937.791666666664</v>
      </c>
      <c r="F255" t="s">
        <v>931</v>
      </c>
      <c r="G255" t="s">
        <v>36</v>
      </c>
      <c r="H255">
        <v>455590</v>
      </c>
      <c r="I255" t="s">
        <v>51</v>
      </c>
      <c r="J255" t="s">
        <v>513</v>
      </c>
      <c r="M255" t="s">
        <v>40</v>
      </c>
      <c r="N255" t="s">
        <v>41</v>
      </c>
      <c r="O255" t="s">
        <v>514</v>
      </c>
      <c r="P255">
        <v>33</v>
      </c>
      <c r="Q255">
        <v>0</v>
      </c>
      <c r="R255">
        <v>0</v>
      </c>
      <c r="S255">
        <v>0</v>
      </c>
      <c r="T255" t="s">
        <v>54</v>
      </c>
      <c r="U255" t="s">
        <v>55</v>
      </c>
      <c r="W255" t="s">
        <v>932</v>
      </c>
      <c r="Y255">
        <v>0</v>
      </c>
      <c r="AA255" t="s">
        <v>40</v>
      </c>
      <c r="AB255" t="s">
        <v>46</v>
      </c>
      <c r="AC255" t="s">
        <v>47</v>
      </c>
      <c r="AG255" t="s">
        <v>933</v>
      </c>
      <c r="AJ255" t="s">
        <v>40</v>
      </c>
      <c r="AK255">
        <v>5019037058</v>
      </c>
      <c r="AO255" s="1">
        <v>45937</v>
      </c>
      <c r="AP255" s="5">
        <v>0.79166666666666663</v>
      </c>
      <c r="AS255">
        <v>1</v>
      </c>
    </row>
    <row r="256" spans="1:45" x14ac:dyDescent="0.2">
      <c r="A256">
        <f t="shared" si="14"/>
        <v>2025</v>
      </c>
      <c r="B256">
        <f t="shared" si="15"/>
        <v>10</v>
      </c>
      <c r="C256">
        <f t="shared" si="16"/>
        <v>41</v>
      </c>
      <c r="D256" s="2">
        <f t="shared" si="17"/>
        <v>45937</v>
      </c>
      <c r="E256" s="1">
        <v>45937.791666666664</v>
      </c>
      <c r="F256" t="s">
        <v>934</v>
      </c>
      <c r="G256" t="s">
        <v>36</v>
      </c>
      <c r="H256" t="s">
        <v>935</v>
      </c>
      <c r="I256" t="s">
        <v>78</v>
      </c>
      <c r="J256" t="s">
        <v>219</v>
      </c>
      <c r="M256" t="s">
        <v>40</v>
      </c>
      <c r="N256" t="s">
        <v>41</v>
      </c>
      <c r="O256" t="s">
        <v>417</v>
      </c>
      <c r="P256">
        <v>66</v>
      </c>
      <c r="Q256">
        <v>0</v>
      </c>
      <c r="R256">
        <v>0</v>
      </c>
      <c r="S256">
        <v>0</v>
      </c>
      <c r="T256" t="s">
        <v>54</v>
      </c>
      <c r="U256" t="s">
        <v>55</v>
      </c>
      <c r="W256" t="s">
        <v>793</v>
      </c>
      <c r="X256" t="s">
        <v>936</v>
      </c>
      <c r="Y256">
        <v>0</v>
      </c>
      <c r="AA256" t="s">
        <v>40</v>
      </c>
      <c r="AB256" t="s">
        <v>46</v>
      </c>
      <c r="AC256" t="s">
        <v>47</v>
      </c>
      <c r="AD256" t="s">
        <v>81</v>
      </c>
      <c r="AE256" t="s">
        <v>81</v>
      </c>
      <c r="AG256" t="s">
        <v>937</v>
      </c>
      <c r="AJ256" t="s">
        <v>40</v>
      </c>
      <c r="AK256" t="s">
        <v>938</v>
      </c>
      <c r="AL256" t="s">
        <v>939</v>
      </c>
      <c r="AM256" t="s">
        <v>940</v>
      </c>
      <c r="AO256" s="1">
        <v>45937</v>
      </c>
      <c r="AP256" s="5">
        <v>0.79166666666666663</v>
      </c>
      <c r="AS256">
        <v>1</v>
      </c>
    </row>
    <row r="257" spans="1:45" x14ac:dyDescent="0.2">
      <c r="A257">
        <f t="shared" si="14"/>
        <v>2025</v>
      </c>
      <c r="B257">
        <f t="shared" si="15"/>
        <v>10</v>
      </c>
      <c r="C257">
        <f t="shared" si="16"/>
        <v>41</v>
      </c>
      <c r="D257" s="2">
        <f t="shared" si="17"/>
        <v>45937</v>
      </c>
      <c r="E257" s="1">
        <v>45937.791666666664</v>
      </c>
      <c r="F257" t="s">
        <v>941</v>
      </c>
      <c r="G257" t="s">
        <v>36</v>
      </c>
      <c r="H257" t="s">
        <v>942</v>
      </c>
      <c r="I257" t="s">
        <v>78</v>
      </c>
      <c r="J257" t="s">
        <v>126</v>
      </c>
      <c r="M257" t="s">
        <v>40</v>
      </c>
      <c r="N257" t="s">
        <v>41</v>
      </c>
      <c r="O257" t="s">
        <v>943</v>
      </c>
      <c r="P257">
        <v>66</v>
      </c>
      <c r="Q257">
        <v>0</v>
      </c>
      <c r="R257">
        <v>0</v>
      </c>
      <c r="S257">
        <v>0</v>
      </c>
      <c r="T257" t="s">
        <v>54</v>
      </c>
      <c r="U257" t="s">
        <v>55</v>
      </c>
      <c r="W257" t="s">
        <v>759</v>
      </c>
      <c r="X257" t="s">
        <v>944</v>
      </c>
      <c r="Y257">
        <v>0</v>
      </c>
      <c r="AA257" t="s">
        <v>40</v>
      </c>
      <c r="AB257" t="s">
        <v>46</v>
      </c>
      <c r="AC257" t="s">
        <v>47</v>
      </c>
      <c r="AD257" t="s">
        <v>81</v>
      </c>
      <c r="AE257" t="s">
        <v>81</v>
      </c>
      <c r="AG257" t="s">
        <v>945</v>
      </c>
      <c r="AJ257" t="s">
        <v>40</v>
      </c>
      <c r="AK257" t="s">
        <v>946</v>
      </c>
      <c r="AL257" t="s">
        <v>947</v>
      </c>
      <c r="AM257" t="s">
        <v>948</v>
      </c>
      <c r="AO257" s="1">
        <v>45937</v>
      </c>
      <c r="AP257" s="5">
        <v>0.79166666666666663</v>
      </c>
      <c r="AS257">
        <v>1</v>
      </c>
    </row>
    <row r="258" spans="1:45" x14ac:dyDescent="0.2">
      <c r="A258">
        <f t="shared" ref="A258:A321" si="18">YEAR(D258)</f>
        <v>2025</v>
      </c>
      <c r="B258">
        <f t="shared" ref="B258:B321" si="19">MONTH(D258)</f>
        <v>10</v>
      </c>
      <c r="C258">
        <f t="shared" ref="C258:C321" si="20">WEEKNUM(D258)</f>
        <v>41</v>
      </c>
      <c r="D258" s="2">
        <f t="shared" ref="D258:D321" si="21">INT(E258)</f>
        <v>45937</v>
      </c>
      <c r="E258" s="1">
        <v>45937.833333333336</v>
      </c>
      <c r="F258" t="s">
        <v>949</v>
      </c>
      <c r="G258" t="s">
        <v>36</v>
      </c>
      <c r="H258">
        <v>451330</v>
      </c>
      <c r="I258" t="s">
        <v>51</v>
      </c>
      <c r="J258" t="s">
        <v>126</v>
      </c>
      <c r="M258" t="s">
        <v>40</v>
      </c>
      <c r="N258" t="s">
        <v>41</v>
      </c>
      <c r="O258" t="s">
        <v>90</v>
      </c>
      <c r="P258">
        <v>33</v>
      </c>
      <c r="Q258">
        <v>0</v>
      </c>
      <c r="R258">
        <v>0</v>
      </c>
      <c r="S258">
        <v>0</v>
      </c>
      <c r="T258" t="s">
        <v>54</v>
      </c>
      <c r="U258" t="s">
        <v>55</v>
      </c>
      <c r="W258" t="s">
        <v>950</v>
      </c>
      <c r="X258" t="s">
        <v>951</v>
      </c>
      <c r="Y258">
        <v>0</v>
      </c>
      <c r="AA258" t="s">
        <v>40</v>
      </c>
      <c r="AB258" t="s">
        <v>46</v>
      </c>
      <c r="AC258" t="s">
        <v>47</v>
      </c>
      <c r="AG258" t="s">
        <v>952</v>
      </c>
      <c r="AJ258" t="s">
        <v>40</v>
      </c>
      <c r="AK258">
        <v>5019093296</v>
      </c>
      <c r="AL258" t="s">
        <v>953</v>
      </c>
      <c r="AM258" t="s">
        <v>954</v>
      </c>
      <c r="AO258" s="1">
        <v>45937</v>
      </c>
      <c r="AP258" s="5">
        <v>0.83333333333333337</v>
      </c>
      <c r="AS258">
        <v>1</v>
      </c>
    </row>
    <row r="259" spans="1:45" x14ac:dyDescent="0.2">
      <c r="A259">
        <f t="shared" si="18"/>
        <v>2025</v>
      </c>
      <c r="B259">
        <f t="shared" si="19"/>
        <v>10</v>
      </c>
      <c r="C259">
        <f t="shared" si="20"/>
        <v>41</v>
      </c>
      <c r="D259" s="2">
        <f t="shared" si="21"/>
        <v>45938</v>
      </c>
      <c r="E259" s="1">
        <v>45938.25</v>
      </c>
      <c r="F259" t="s">
        <v>955</v>
      </c>
      <c r="G259" t="s">
        <v>36</v>
      </c>
      <c r="H259">
        <v>454260</v>
      </c>
      <c r="I259" t="s">
        <v>51</v>
      </c>
      <c r="J259" t="s">
        <v>52</v>
      </c>
      <c r="M259" t="s">
        <v>40</v>
      </c>
      <c r="N259" t="s">
        <v>41</v>
      </c>
      <c r="O259" t="s">
        <v>53</v>
      </c>
      <c r="P259">
        <v>33</v>
      </c>
      <c r="Q259">
        <v>0</v>
      </c>
      <c r="R259">
        <v>0</v>
      </c>
      <c r="S259">
        <v>0</v>
      </c>
      <c r="T259" t="s">
        <v>54</v>
      </c>
      <c r="U259" t="s">
        <v>55</v>
      </c>
      <c r="W259" t="s">
        <v>813</v>
      </c>
      <c r="Y259">
        <v>0</v>
      </c>
      <c r="AA259" t="s">
        <v>40</v>
      </c>
      <c r="AB259" t="s">
        <v>46</v>
      </c>
      <c r="AC259" t="s">
        <v>47</v>
      </c>
      <c r="AG259" t="s">
        <v>956</v>
      </c>
      <c r="AJ259" t="s">
        <v>40</v>
      </c>
      <c r="AK259">
        <v>5019112138</v>
      </c>
      <c r="AO259" s="1">
        <v>45938</v>
      </c>
      <c r="AP259" s="5">
        <v>0.25</v>
      </c>
      <c r="AS259">
        <v>1</v>
      </c>
    </row>
    <row r="260" spans="1:45" x14ac:dyDescent="0.2">
      <c r="A260">
        <f t="shared" si="18"/>
        <v>2025</v>
      </c>
      <c r="B260">
        <f t="shared" si="19"/>
        <v>10</v>
      </c>
      <c r="C260">
        <f t="shared" si="20"/>
        <v>41</v>
      </c>
      <c r="D260" s="2">
        <f t="shared" si="21"/>
        <v>45938</v>
      </c>
      <c r="E260" s="1">
        <v>45938.25</v>
      </c>
      <c r="F260" t="s">
        <v>957</v>
      </c>
      <c r="G260" t="s">
        <v>36</v>
      </c>
      <c r="H260" t="s">
        <v>958</v>
      </c>
      <c r="I260" t="s">
        <v>38</v>
      </c>
      <c r="J260" t="s">
        <v>60</v>
      </c>
      <c r="M260" t="s">
        <v>40</v>
      </c>
      <c r="N260" t="s">
        <v>41</v>
      </c>
      <c r="O260" t="s">
        <v>42</v>
      </c>
      <c r="P260">
        <v>20</v>
      </c>
      <c r="Q260">
        <v>0</v>
      </c>
      <c r="R260">
        <v>0</v>
      </c>
      <c r="S260">
        <v>0</v>
      </c>
      <c r="T260">
        <v>5019045713</v>
      </c>
      <c r="U260" t="s">
        <v>44</v>
      </c>
      <c r="W260" t="s">
        <v>959</v>
      </c>
      <c r="Y260">
        <v>0</v>
      </c>
      <c r="AA260" t="s">
        <v>40</v>
      </c>
      <c r="AB260" t="s">
        <v>46</v>
      </c>
      <c r="AC260" t="s">
        <v>47</v>
      </c>
      <c r="AF260" t="s">
        <v>133</v>
      </c>
      <c r="AJ260" t="s">
        <v>40</v>
      </c>
      <c r="AK260" t="s">
        <v>49</v>
      </c>
      <c r="AN260">
        <v>260109072</v>
      </c>
      <c r="AO260" s="1">
        <v>45938</v>
      </c>
      <c r="AP260" s="5">
        <v>0.25</v>
      </c>
      <c r="AS260">
        <v>1</v>
      </c>
    </row>
    <row r="261" spans="1:45" x14ac:dyDescent="0.2">
      <c r="A261">
        <f t="shared" si="18"/>
        <v>2025</v>
      </c>
      <c r="B261">
        <f t="shared" si="19"/>
        <v>10</v>
      </c>
      <c r="C261">
        <f t="shared" si="20"/>
        <v>41</v>
      </c>
      <c r="D261" s="2">
        <f t="shared" si="21"/>
        <v>45938</v>
      </c>
      <c r="E261" s="1">
        <v>45938.291666666664</v>
      </c>
      <c r="F261" t="s">
        <v>960</v>
      </c>
      <c r="G261" t="s">
        <v>36</v>
      </c>
      <c r="H261" t="s">
        <v>264</v>
      </c>
      <c r="I261" t="s">
        <v>38</v>
      </c>
      <c r="J261" t="s">
        <v>265</v>
      </c>
      <c r="M261" t="s">
        <v>40</v>
      </c>
      <c r="N261" t="s">
        <v>41</v>
      </c>
      <c r="O261" t="s">
        <v>42</v>
      </c>
      <c r="P261">
        <v>23</v>
      </c>
      <c r="Q261">
        <v>0</v>
      </c>
      <c r="R261">
        <v>0</v>
      </c>
      <c r="S261">
        <v>0</v>
      </c>
      <c r="T261" t="s">
        <v>961</v>
      </c>
      <c r="U261" t="s">
        <v>55</v>
      </c>
      <c r="W261" t="s">
        <v>962</v>
      </c>
      <c r="Y261">
        <v>0</v>
      </c>
      <c r="AA261" t="s">
        <v>40</v>
      </c>
      <c r="AB261" t="s">
        <v>46</v>
      </c>
      <c r="AC261" t="s">
        <v>47</v>
      </c>
      <c r="AF261" t="s">
        <v>48</v>
      </c>
      <c r="AJ261" t="s">
        <v>40</v>
      </c>
      <c r="AK261" t="s">
        <v>49</v>
      </c>
      <c r="AO261" s="1">
        <v>45938</v>
      </c>
      <c r="AP261" s="5">
        <v>0.29166666666666669</v>
      </c>
      <c r="AS261">
        <v>1</v>
      </c>
    </row>
    <row r="262" spans="1:45" x14ac:dyDescent="0.2">
      <c r="A262">
        <f t="shared" si="18"/>
        <v>2025</v>
      </c>
      <c r="B262">
        <f t="shared" si="19"/>
        <v>10</v>
      </c>
      <c r="C262">
        <f t="shared" si="20"/>
        <v>41</v>
      </c>
      <c r="D262" s="2">
        <f t="shared" si="21"/>
        <v>45938</v>
      </c>
      <c r="E262" s="1">
        <v>45938.333333333336</v>
      </c>
      <c r="F262" t="s">
        <v>963</v>
      </c>
      <c r="G262" t="s">
        <v>36</v>
      </c>
      <c r="H262">
        <v>456514</v>
      </c>
      <c r="I262" t="s">
        <v>51</v>
      </c>
      <c r="J262" t="s">
        <v>144</v>
      </c>
      <c r="M262" t="s">
        <v>40</v>
      </c>
      <c r="N262" t="s">
        <v>41</v>
      </c>
      <c r="O262" t="s">
        <v>53</v>
      </c>
      <c r="P262">
        <v>33</v>
      </c>
      <c r="Q262">
        <v>0</v>
      </c>
      <c r="R262">
        <v>0</v>
      </c>
      <c r="S262">
        <v>0</v>
      </c>
      <c r="T262" t="s">
        <v>54</v>
      </c>
      <c r="U262" t="s">
        <v>55</v>
      </c>
      <c r="W262" t="s">
        <v>357</v>
      </c>
      <c r="X262" t="s">
        <v>964</v>
      </c>
      <c r="Y262">
        <v>0</v>
      </c>
      <c r="AA262" t="s">
        <v>40</v>
      </c>
      <c r="AB262" t="s">
        <v>46</v>
      </c>
      <c r="AC262" t="s">
        <v>47</v>
      </c>
      <c r="AG262" t="s">
        <v>965</v>
      </c>
      <c r="AJ262" t="s">
        <v>40</v>
      </c>
      <c r="AK262">
        <v>5019111113</v>
      </c>
      <c r="AL262" t="s">
        <v>966</v>
      </c>
      <c r="AM262" t="s">
        <v>967</v>
      </c>
      <c r="AO262" s="1">
        <v>45938</v>
      </c>
      <c r="AP262" s="5">
        <v>0.33333333333333331</v>
      </c>
      <c r="AS262">
        <v>1</v>
      </c>
    </row>
    <row r="263" spans="1:45" x14ac:dyDescent="0.2">
      <c r="A263">
        <f t="shared" si="18"/>
        <v>2025</v>
      </c>
      <c r="B263">
        <f t="shared" si="19"/>
        <v>10</v>
      </c>
      <c r="C263">
        <f t="shared" si="20"/>
        <v>41</v>
      </c>
      <c r="D263" s="2">
        <f t="shared" si="21"/>
        <v>45938</v>
      </c>
      <c r="E263" s="1">
        <v>45938.333333333336</v>
      </c>
      <c r="F263" t="s">
        <v>968</v>
      </c>
      <c r="G263" t="s">
        <v>36</v>
      </c>
      <c r="H263">
        <v>455275</v>
      </c>
      <c r="I263" t="s">
        <v>51</v>
      </c>
      <c r="J263" t="s">
        <v>52</v>
      </c>
      <c r="M263" t="s">
        <v>40</v>
      </c>
      <c r="N263" t="s">
        <v>41</v>
      </c>
      <c r="O263" t="s">
        <v>268</v>
      </c>
      <c r="P263">
        <v>33</v>
      </c>
      <c r="Q263">
        <v>0</v>
      </c>
      <c r="R263">
        <v>0</v>
      </c>
      <c r="S263">
        <v>0</v>
      </c>
      <c r="T263" t="s">
        <v>54</v>
      </c>
      <c r="U263" t="s">
        <v>55</v>
      </c>
      <c r="W263" t="s">
        <v>969</v>
      </c>
      <c r="Y263">
        <v>0</v>
      </c>
      <c r="AA263" t="s">
        <v>40</v>
      </c>
      <c r="AB263" t="s">
        <v>46</v>
      </c>
      <c r="AC263" t="s">
        <v>47</v>
      </c>
      <c r="AG263" t="s">
        <v>970</v>
      </c>
      <c r="AJ263" t="s">
        <v>40</v>
      </c>
      <c r="AK263">
        <v>5019105505</v>
      </c>
      <c r="AO263" s="1">
        <v>45938</v>
      </c>
      <c r="AP263" s="5">
        <v>0.33333333333333331</v>
      </c>
      <c r="AS263">
        <v>1</v>
      </c>
    </row>
    <row r="264" spans="1:45" x14ac:dyDescent="0.2">
      <c r="A264">
        <f t="shared" si="18"/>
        <v>2025</v>
      </c>
      <c r="B264">
        <f t="shared" si="19"/>
        <v>10</v>
      </c>
      <c r="C264">
        <f t="shared" si="20"/>
        <v>41</v>
      </c>
      <c r="D264" s="2">
        <f t="shared" si="21"/>
        <v>45938</v>
      </c>
      <c r="E264" s="1">
        <v>45938.375</v>
      </c>
      <c r="F264" t="s">
        <v>971</v>
      </c>
      <c r="G264" t="s">
        <v>36</v>
      </c>
      <c r="H264" t="s">
        <v>972</v>
      </c>
      <c r="I264" t="s">
        <v>38</v>
      </c>
      <c r="J264" t="s">
        <v>60</v>
      </c>
      <c r="M264" t="s">
        <v>40</v>
      </c>
      <c r="N264" t="s">
        <v>41</v>
      </c>
      <c r="O264" t="s">
        <v>42</v>
      </c>
      <c r="P264">
        <v>20</v>
      </c>
      <c r="Q264">
        <v>0</v>
      </c>
      <c r="R264">
        <v>0</v>
      </c>
      <c r="S264">
        <v>0</v>
      </c>
      <c r="T264">
        <v>5019055649</v>
      </c>
      <c r="U264" t="s">
        <v>44</v>
      </c>
      <c r="W264" t="s">
        <v>959</v>
      </c>
      <c r="Y264">
        <v>0</v>
      </c>
      <c r="AA264" t="s">
        <v>40</v>
      </c>
      <c r="AB264" t="s">
        <v>46</v>
      </c>
      <c r="AC264" t="s">
        <v>47</v>
      </c>
      <c r="AF264" t="s">
        <v>62</v>
      </c>
      <c r="AJ264" t="s">
        <v>40</v>
      </c>
      <c r="AK264" t="s">
        <v>49</v>
      </c>
      <c r="AN264">
        <v>259816312</v>
      </c>
      <c r="AO264" s="1">
        <v>45938</v>
      </c>
      <c r="AP264" s="5">
        <v>0.375</v>
      </c>
      <c r="AS264">
        <v>1</v>
      </c>
    </row>
    <row r="265" spans="1:45" x14ac:dyDescent="0.2">
      <c r="A265">
        <f t="shared" si="18"/>
        <v>2025</v>
      </c>
      <c r="B265">
        <f t="shared" si="19"/>
        <v>10</v>
      </c>
      <c r="C265">
        <f t="shared" si="20"/>
        <v>41</v>
      </c>
      <c r="D265" s="2">
        <f t="shared" si="21"/>
        <v>45938</v>
      </c>
      <c r="E265" s="1">
        <v>45938.375</v>
      </c>
      <c r="F265" t="s">
        <v>973</v>
      </c>
      <c r="G265" t="s">
        <v>36</v>
      </c>
      <c r="H265" t="s">
        <v>974</v>
      </c>
      <c r="I265" t="s">
        <v>78</v>
      </c>
      <c r="J265" t="s">
        <v>52</v>
      </c>
      <c r="M265" t="s">
        <v>40</v>
      </c>
      <c r="N265" t="s">
        <v>41</v>
      </c>
      <c r="O265" t="s">
        <v>79</v>
      </c>
      <c r="P265">
        <v>66</v>
      </c>
      <c r="Q265">
        <v>0</v>
      </c>
      <c r="R265">
        <v>0</v>
      </c>
      <c r="S265">
        <v>0</v>
      </c>
      <c r="T265" t="s">
        <v>54</v>
      </c>
      <c r="U265" t="s">
        <v>55</v>
      </c>
      <c r="W265" t="s">
        <v>975</v>
      </c>
      <c r="Y265">
        <v>0</v>
      </c>
      <c r="AA265" t="s">
        <v>40</v>
      </c>
      <c r="AB265" t="s">
        <v>46</v>
      </c>
      <c r="AC265" t="s">
        <v>47</v>
      </c>
      <c r="AD265" t="s">
        <v>81</v>
      </c>
      <c r="AE265" t="s">
        <v>81</v>
      </c>
      <c r="AG265" t="s">
        <v>976</v>
      </c>
      <c r="AJ265" t="s">
        <v>40</v>
      </c>
      <c r="AK265" t="s">
        <v>977</v>
      </c>
      <c r="AO265" s="1">
        <v>45938</v>
      </c>
      <c r="AP265" s="5">
        <v>0.375</v>
      </c>
      <c r="AS265">
        <v>1</v>
      </c>
    </row>
    <row r="266" spans="1:45" x14ac:dyDescent="0.2">
      <c r="A266">
        <f t="shared" si="18"/>
        <v>2025</v>
      </c>
      <c r="B266">
        <f t="shared" si="19"/>
        <v>10</v>
      </c>
      <c r="C266">
        <f t="shared" si="20"/>
        <v>41</v>
      </c>
      <c r="D266" s="2">
        <f t="shared" si="21"/>
        <v>45938</v>
      </c>
      <c r="E266" s="1">
        <v>45938.375</v>
      </c>
      <c r="F266" t="s">
        <v>978</v>
      </c>
      <c r="G266" t="s">
        <v>36</v>
      </c>
      <c r="H266" t="s">
        <v>626</v>
      </c>
      <c r="I266" t="s">
        <v>38</v>
      </c>
      <c r="J266" t="s">
        <v>451</v>
      </c>
      <c r="M266" t="s">
        <v>40</v>
      </c>
      <c r="N266" t="s">
        <v>41</v>
      </c>
      <c r="O266" t="s">
        <v>42</v>
      </c>
      <c r="P266">
        <v>23</v>
      </c>
      <c r="Q266">
        <v>0</v>
      </c>
      <c r="R266">
        <v>0</v>
      </c>
      <c r="S266">
        <v>0</v>
      </c>
      <c r="T266" t="s">
        <v>979</v>
      </c>
      <c r="U266" t="s">
        <v>44</v>
      </c>
      <c r="W266" t="s">
        <v>962</v>
      </c>
      <c r="Y266">
        <v>0</v>
      </c>
      <c r="AA266" t="s">
        <v>40</v>
      </c>
      <c r="AB266" t="s">
        <v>46</v>
      </c>
      <c r="AC266" t="s">
        <v>47</v>
      </c>
      <c r="AF266" t="s">
        <v>48</v>
      </c>
      <c r="AJ266" t="s">
        <v>40</v>
      </c>
      <c r="AK266" t="s">
        <v>49</v>
      </c>
      <c r="AO266" s="1">
        <v>45938</v>
      </c>
      <c r="AP266" s="5">
        <v>0.375</v>
      </c>
      <c r="AS266">
        <v>1</v>
      </c>
    </row>
    <row r="267" spans="1:45" x14ac:dyDescent="0.2">
      <c r="A267">
        <f t="shared" si="18"/>
        <v>2025</v>
      </c>
      <c r="B267">
        <f t="shared" si="19"/>
        <v>10</v>
      </c>
      <c r="C267">
        <f t="shared" si="20"/>
        <v>41</v>
      </c>
      <c r="D267" s="2">
        <f t="shared" si="21"/>
        <v>45938</v>
      </c>
      <c r="E267" s="1">
        <v>45938.416666666664</v>
      </c>
      <c r="F267" t="s">
        <v>980</v>
      </c>
      <c r="G267" t="s">
        <v>36</v>
      </c>
      <c r="H267" t="s">
        <v>981</v>
      </c>
      <c r="I267" t="s">
        <v>38</v>
      </c>
      <c r="J267" t="s">
        <v>60</v>
      </c>
      <c r="M267" t="s">
        <v>40</v>
      </c>
      <c r="N267" t="s">
        <v>41</v>
      </c>
      <c r="O267" t="s">
        <v>42</v>
      </c>
      <c r="P267">
        <v>20</v>
      </c>
      <c r="Q267">
        <v>0</v>
      </c>
      <c r="R267">
        <v>0</v>
      </c>
      <c r="S267">
        <v>0</v>
      </c>
      <c r="T267">
        <v>5019002310</v>
      </c>
      <c r="U267" t="s">
        <v>44</v>
      </c>
      <c r="W267" t="s">
        <v>982</v>
      </c>
      <c r="Y267">
        <v>0</v>
      </c>
      <c r="AA267" t="s">
        <v>40</v>
      </c>
      <c r="AB267" t="s">
        <v>46</v>
      </c>
      <c r="AC267" t="s">
        <v>47</v>
      </c>
      <c r="AF267" t="s">
        <v>133</v>
      </c>
      <c r="AJ267" t="s">
        <v>40</v>
      </c>
      <c r="AK267" t="s">
        <v>49</v>
      </c>
      <c r="AN267">
        <v>259878360</v>
      </c>
      <c r="AO267" s="1">
        <v>45938</v>
      </c>
      <c r="AP267" s="5">
        <v>0.41666666666666669</v>
      </c>
      <c r="AS267">
        <v>1</v>
      </c>
    </row>
    <row r="268" spans="1:45" x14ac:dyDescent="0.2">
      <c r="A268">
        <f t="shared" si="18"/>
        <v>2025</v>
      </c>
      <c r="B268">
        <f t="shared" si="19"/>
        <v>10</v>
      </c>
      <c r="C268">
        <f t="shared" si="20"/>
        <v>41</v>
      </c>
      <c r="D268" s="2">
        <f t="shared" si="21"/>
        <v>45938</v>
      </c>
      <c r="E268" s="1">
        <v>45938.416666666664</v>
      </c>
      <c r="F268" t="s">
        <v>983</v>
      </c>
      <c r="G268" t="s">
        <v>36</v>
      </c>
      <c r="H268" t="s">
        <v>984</v>
      </c>
      <c r="I268" t="s">
        <v>38</v>
      </c>
      <c r="J268" t="s">
        <v>890</v>
      </c>
      <c r="M268" t="s">
        <v>40</v>
      </c>
      <c r="N268" t="s">
        <v>41</v>
      </c>
      <c r="O268" t="s">
        <v>42</v>
      </c>
      <c r="P268">
        <v>40</v>
      </c>
      <c r="Q268">
        <v>0</v>
      </c>
      <c r="R268">
        <v>0</v>
      </c>
      <c r="S268">
        <v>0</v>
      </c>
      <c r="T268" t="s">
        <v>985</v>
      </c>
      <c r="U268" t="s">
        <v>392</v>
      </c>
      <c r="W268" t="s">
        <v>986</v>
      </c>
      <c r="Y268">
        <v>0</v>
      </c>
      <c r="AA268" t="s">
        <v>40</v>
      </c>
      <c r="AB268" t="s">
        <v>46</v>
      </c>
      <c r="AC268" t="s">
        <v>47</v>
      </c>
      <c r="AF268" t="s">
        <v>987</v>
      </c>
      <c r="AJ268" t="s">
        <v>40</v>
      </c>
      <c r="AK268" t="s">
        <v>49</v>
      </c>
      <c r="AN268" t="s">
        <v>988</v>
      </c>
      <c r="AO268" s="1">
        <v>45938</v>
      </c>
      <c r="AP268" s="5">
        <v>0.41666666666666669</v>
      </c>
      <c r="AS268">
        <v>1</v>
      </c>
    </row>
    <row r="269" spans="1:45" x14ac:dyDescent="0.2">
      <c r="A269">
        <f t="shared" si="18"/>
        <v>2025</v>
      </c>
      <c r="B269">
        <f t="shared" si="19"/>
        <v>10</v>
      </c>
      <c r="C269">
        <f t="shared" si="20"/>
        <v>41</v>
      </c>
      <c r="D269" s="2">
        <f t="shared" si="21"/>
        <v>45938</v>
      </c>
      <c r="E269" s="1">
        <v>45938.416666666664</v>
      </c>
      <c r="F269" t="s">
        <v>989</v>
      </c>
      <c r="G269" t="s">
        <v>36</v>
      </c>
      <c r="H269" t="s">
        <v>990</v>
      </c>
      <c r="I269" t="s">
        <v>38</v>
      </c>
      <c r="J269" t="s">
        <v>60</v>
      </c>
      <c r="M269" t="s">
        <v>40</v>
      </c>
      <c r="N269" t="s">
        <v>41</v>
      </c>
      <c r="O269" t="s">
        <v>42</v>
      </c>
      <c r="P269">
        <v>20</v>
      </c>
      <c r="Q269">
        <v>0</v>
      </c>
      <c r="R269">
        <v>0</v>
      </c>
      <c r="S269">
        <v>0</v>
      </c>
      <c r="T269">
        <v>5019078164</v>
      </c>
      <c r="U269" t="s">
        <v>44</v>
      </c>
      <c r="W269" t="s">
        <v>959</v>
      </c>
      <c r="Y269">
        <v>0</v>
      </c>
      <c r="AA269" t="s">
        <v>40</v>
      </c>
      <c r="AB269" t="s">
        <v>46</v>
      </c>
      <c r="AC269" t="s">
        <v>47</v>
      </c>
      <c r="AF269" t="s">
        <v>62</v>
      </c>
      <c r="AJ269" t="s">
        <v>40</v>
      </c>
      <c r="AK269" t="s">
        <v>49</v>
      </c>
      <c r="AN269">
        <v>260110691</v>
      </c>
      <c r="AO269" s="1">
        <v>45938</v>
      </c>
      <c r="AP269" s="5">
        <v>0.41666666666666669</v>
      </c>
      <c r="AS269">
        <v>1</v>
      </c>
    </row>
    <row r="270" spans="1:45" x14ac:dyDescent="0.2">
      <c r="A270">
        <f t="shared" si="18"/>
        <v>2025</v>
      </c>
      <c r="B270">
        <f t="shared" si="19"/>
        <v>10</v>
      </c>
      <c r="C270">
        <f t="shared" si="20"/>
        <v>41</v>
      </c>
      <c r="D270" s="2">
        <f t="shared" si="21"/>
        <v>45938</v>
      </c>
      <c r="E270" s="1">
        <v>45938.416666666664</v>
      </c>
      <c r="F270" t="s">
        <v>991</v>
      </c>
      <c r="G270" t="s">
        <v>36</v>
      </c>
      <c r="H270">
        <v>451317</v>
      </c>
      <c r="I270" t="s">
        <v>51</v>
      </c>
      <c r="J270" t="s">
        <v>52</v>
      </c>
      <c r="M270" t="s">
        <v>40</v>
      </c>
      <c r="N270" t="s">
        <v>41</v>
      </c>
      <c r="O270" t="s">
        <v>992</v>
      </c>
      <c r="P270">
        <v>33</v>
      </c>
      <c r="Q270">
        <v>0</v>
      </c>
      <c r="R270">
        <v>0</v>
      </c>
      <c r="S270">
        <v>0</v>
      </c>
      <c r="T270" t="s">
        <v>54</v>
      </c>
      <c r="U270" t="s">
        <v>55</v>
      </c>
      <c r="W270" t="s">
        <v>975</v>
      </c>
      <c r="Y270">
        <v>0</v>
      </c>
      <c r="AA270" t="s">
        <v>40</v>
      </c>
      <c r="AB270" t="s">
        <v>46</v>
      </c>
      <c r="AC270" t="s">
        <v>47</v>
      </c>
      <c r="AG270" t="s">
        <v>993</v>
      </c>
      <c r="AJ270" t="s">
        <v>40</v>
      </c>
      <c r="AK270">
        <v>5019104356</v>
      </c>
      <c r="AO270" s="1">
        <v>45938</v>
      </c>
      <c r="AP270" s="5">
        <v>0.41666666666666669</v>
      </c>
      <c r="AS270">
        <v>1</v>
      </c>
    </row>
    <row r="271" spans="1:45" x14ac:dyDescent="0.2">
      <c r="A271">
        <f t="shared" si="18"/>
        <v>2025</v>
      </c>
      <c r="B271">
        <f t="shared" si="19"/>
        <v>10</v>
      </c>
      <c r="C271">
        <f t="shared" si="20"/>
        <v>41</v>
      </c>
      <c r="D271" s="2">
        <f t="shared" si="21"/>
        <v>45938</v>
      </c>
      <c r="E271" s="1">
        <v>45938.416666666664</v>
      </c>
      <c r="F271" t="s">
        <v>994</v>
      </c>
      <c r="G271" t="s">
        <v>36</v>
      </c>
      <c r="H271" t="s">
        <v>995</v>
      </c>
      <c r="I271" t="s">
        <v>38</v>
      </c>
      <c r="J271" t="s">
        <v>60</v>
      </c>
      <c r="M271" t="s">
        <v>40</v>
      </c>
      <c r="N271" t="s">
        <v>41</v>
      </c>
      <c r="O271" t="s">
        <v>42</v>
      </c>
      <c r="P271">
        <v>20</v>
      </c>
      <c r="Q271">
        <v>0</v>
      </c>
      <c r="R271">
        <v>0</v>
      </c>
      <c r="S271">
        <v>0</v>
      </c>
      <c r="T271">
        <v>5019015660</v>
      </c>
      <c r="U271" t="s">
        <v>44</v>
      </c>
      <c r="W271" t="s">
        <v>982</v>
      </c>
      <c r="Y271">
        <v>0</v>
      </c>
      <c r="AA271" t="s">
        <v>40</v>
      </c>
      <c r="AB271" t="s">
        <v>46</v>
      </c>
      <c r="AC271" t="s">
        <v>47</v>
      </c>
      <c r="AF271" t="s">
        <v>133</v>
      </c>
      <c r="AJ271" t="s">
        <v>40</v>
      </c>
      <c r="AK271" t="s">
        <v>49</v>
      </c>
      <c r="AN271">
        <v>259878360</v>
      </c>
      <c r="AO271" s="1">
        <v>45938</v>
      </c>
      <c r="AP271" s="5">
        <v>0.41666666666666669</v>
      </c>
      <c r="AS271">
        <v>1</v>
      </c>
    </row>
    <row r="272" spans="1:45" x14ac:dyDescent="0.2">
      <c r="A272">
        <f t="shared" si="18"/>
        <v>2025</v>
      </c>
      <c r="B272">
        <f t="shared" si="19"/>
        <v>10</v>
      </c>
      <c r="C272">
        <f t="shared" si="20"/>
        <v>41</v>
      </c>
      <c r="D272" s="2">
        <f t="shared" si="21"/>
        <v>45938</v>
      </c>
      <c r="E272" s="1">
        <v>45938.458333333336</v>
      </c>
      <c r="F272" t="s">
        <v>996</v>
      </c>
      <c r="G272" t="s">
        <v>36</v>
      </c>
      <c r="H272">
        <v>454257</v>
      </c>
      <c r="I272" t="s">
        <v>51</v>
      </c>
      <c r="J272" t="s">
        <v>52</v>
      </c>
      <c r="M272" t="s">
        <v>40</v>
      </c>
      <c r="N272" t="s">
        <v>41</v>
      </c>
      <c r="O272" t="s">
        <v>53</v>
      </c>
      <c r="P272">
        <v>33</v>
      </c>
      <c r="Q272">
        <v>0</v>
      </c>
      <c r="R272">
        <v>0</v>
      </c>
      <c r="S272">
        <v>0</v>
      </c>
      <c r="T272" t="s">
        <v>54</v>
      </c>
      <c r="U272" t="s">
        <v>55</v>
      </c>
      <c r="W272" t="s">
        <v>813</v>
      </c>
      <c r="Y272">
        <v>0</v>
      </c>
      <c r="AA272" t="s">
        <v>40</v>
      </c>
      <c r="AB272" t="s">
        <v>46</v>
      </c>
      <c r="AC272" t="s">
        <v>47</v>
      </c>
      <c r="AG272" t="s">
        <v>997</v>
      </c>
      <c r="AJ272" t="s">
        <v>40</v>
      </c>
      <c r="AK272">
        <v>5019111743</v>
      </c>
      <c r="AO272" s="1">
        <v>45938</v>
      </c>
      <c r="AP272" s="5">
        <v>0.45833333333333331</v>
      </c>
      <c r="AS272">
        <v>1</v>
      </c>
    </row>
    <row r="273" spans="1:45" x14ac:dyDescent="0.2">
      <c r="A273">
        <f t="shared" si="18"/>
        <v>2025</v>
      </c>
      <c r="B273">
        <f t="shared" si="19"/>
        <v>10</v>
      </c>
      <c r="C273">
        <f t="shared" si="20"/>
        <v>41</v>
      </c>
      <c r="D273" s="2">
        <f t="shared" si="21"/>
        <v>45938</v>
      </c>
      <c r="E273" s="1">
        <v>45938.458333333336</v>
      </c>
      <c r="F273" t="s">
        <v>998</v>
      </c>
      <c r="G273" t="s">
        <v>36</v>
      </c>
      <c r="H273" t="s">
        <v>347</v>
      </c>
      <c r="I273" t="s">
        <v>38</v>
      </c>
      <c r="J273" t="s">
        <v>39</v>
      </c>
      <c r="M273" t="s">
        <v>40</v>
      </c>
      <c r="N273" t="s">
        <v>41</v>
      </c>
      <c r="O273" t="s">
        <v>42</v>
      </c>
      <c r="P273">
        <v>8</v>
      </c>
      <c r="Q273">
        <v>0</v>
      </c>
      <c r="R273">
        <v>0</v>
      </c>
      <c r="S273">
        <v>0</v>
      </c>
      <c r="T273" t="s">
        <v>999</v>
      </c>
      <c r="U273" t="s">
        <v>101</v>
      </c>
      <c r="W273" t="s">
        <v>1000</v>
      </c>
      <c r="Y273">
        <v>0</v>
      </c>
      <c r="AA273" t="s">
        <v>40</v>
      </c>
      <c r="AB273" t="s">
        <v>46</v>
      </c>
      <c r="AC273" t="s">
        <v>47</v>
      </c>
      <c r="AF273" t="s">
        <v>1001</v>
      </c>
      <c r="AJ273" t="s">
        <v>40</v>
      </c>
      <c r="AK273" t="s">
        <v>49</v>
      </c>
      <c r="AO273" s="1">
        <v>45938</v>
      </c>
      <c r="AP273" s="5">
        <v>0.45833333333333331</v>
      </c>
      <c r="AS273">
        <v>1</v>
      </c>
    </row>
    <row r="274" spans="1:45" x14ac:dyDescent="0.2">
      <c r="A274">
        <f t="shared" si="18"/>
        <v>2025</v>
      </c>
      <c r="B274">
        <f t="shared" si="19"/>
        <v>10</v>
      </c>
      <c r="C274">
        <f t="shared" si="20"/>
        <v>41</v>
      </c>
      <c r="D274" s="2">
        <f t="shared" si="21"/>
        <v>45938</v>
      </c>
      <c r="E274" s="1">
        <v>45938.458333333336</v>
      </c>
      <c r="F274" t="s">
        <v>1002</v>
      </c>
      <c r="G274" t="s">
        <v>36</v>
      </c>
      <c r="H274" t="s">
        <v>1003</v>
      </c>
      <c r="I274" t="s">
        <v>78</v>
      </c>
      <c r="J274" t="s">
        <v>286</v>
      </c>
      <c r="M274" t="s">
        <v>40</v>
      </c>
      <c r="N274" t="s">
        <v>41</v>
      </c>
      <c r="O274" t="s">
        <v>287</v>
      </c>
      <c r="P274">
        <v>66</v>
      </c>
      <c r="Q274">
        <v>0</v>
      </c>
      <c r="R274">
        <v>0</v>
      </c>
      <c r="S274">
        <v>0</v>
      </c>
      <c r="T274" t="s">
        <v>54</v>
      </c>
      <c r="U274" t="s">
        <v>55</v>
      </c>
      <c r="W274" t="s">
        <v>1004</v>
      </c>
      <c r="Y274">
        <v>0</v>
      </c>
      <c r="AA274" t="s">
        <v>40</v>
      </c>
      <c r="AB274" t="s">
        <v>46</v>
      </c>
      <c r="AC274" t="s">
        <v>47</v>
      </c>
      <c r="AD274" t="s">
        <v>81</v>
      </c>
      <c r="AE274" t="s">
        <v>81</v>
      </c>
      <c r="AG274" t="s">
        <v>1005</v>
      </c>
      <c r="AJ274" t="s">
        <v>40</v>
      </c>
      <c r="AK274" t="s">
        <v>1006</v>
      </c>
      <c r="AO274" s="1">
        <v>45938</v>
      </c>
      <c r="AP274" s="5">
        <v>0.45833333333333331</v>
      </c>
      <c r="AS274">
        <v>1</v>
      </c>
    </row>
    <row r="275" spans="1:45" x14ac:dyDescent="0.2">
      <c r="A275">
        <f t="shared" si="18"/>
        <v>2025</v>
      </c>
      <c r="B275">
        <f t="shared" si="19"/>
        <v>10</v>
      </c>
      <c r="C275">
        <f t="shared" si="20"/>
        <v>41</v>
      </c>
      <c r="D275" s="2">
        <f t="shared" si="21"/>
        <v>45938</v>
      </c>
      <c r="E275" s="1">
        <v>45938.458333333336</v>
      </c>
      <c r="F275" t="s">
        <v>1007</v>
      </c>
      <c r="G275" t="s">
        <v>36</v>
      </c>
      <c r="H275" t="s">
        <v>1008</v>
      </c>
      <c r="I275" t="s">
        <v>38</v>
      </c>
      <c r="J275" t="s">
        <v>60</v>
      </c>
      <c r="M275" t="s">
        <v>40</v>
      </c>
      <c r="N275" t="s">
        <v>41</v>
      </c>
      <c r="O275" t="s">
        <v>42</v>
      </c>
      <c r="P275">
        <v>20</v>
      </c>
      <c r="Q275">
        <v>0</v>
      </c>
      <c r="R275">
        <v>0</v>
      </c>
      <c r="S275">
        <v>0</v>
      </c>
      <c r="T275">
        <v>5019070605</v>
      </c>
      <c r="U275" t="s">
        <v>44</v>
      </c>
      <c r="W275" t="s">
        <v>959</v>
      </c>
      <c r="Y275">
        <v>0</v>
      </c>
      <c r="AA275" t="s">
        <v>40</v>
      </c>
      <c r="AB275" t="s">
        <v>46</v>
      </c>
      <c r="AC275" t="s">
        <v>47</v>
      </c>
      <c r="AF275" t="s">
        <v>1009</v>
      </c>
      <c r="AJ275" t="s">
        <v>40</v>
      </c>
      <c r="AK275" t="s">
        <v>49</v>
      </c>
      <c r="AN275">
        <v>37525004</v>
      </c>
      <c r="AO275" s="1">
        <v>45938</v>
      </c>
      <c r="AP275" s="5">
        <v>0.45833333333333331</v>
      </c>
      <c r="AS275">
        <v>1</v>
      </c>
    </row>
    <row r="276" spans="1:45" x14ac:dyDescent="0.2">
      <c r="A276">
        <f t="shared" si="18"/>
        <v>2025</v>
      </c>
      <c r="B276">
        <f t="shared" si="19"/>
        <v>10</v>
      </c>
      <c r="C276">
        <f t="shared" si="20"/>
        <v>41</v>
      </c>
      <c r="D276" s="2">
        <f t="shared" si="21"/>
        <v>45938</v>
      </c>
      <c r="E276" s="1">
        <v>45938.458333333336</v>
      </c>
      <c r="F276" t="s">
        <v>1010</v>
      </c>
      <c r="G276" t="s">
        <v>36</v>
      </c>
      <c r="H276" t="s">
        <v>1011</v>
      </c>
      <c r="I276" t="s">
        <v>38</v>
      </c>
      <c r="J276" t="s">
        <v>60</v>
      </c>
      <c r="M276" t="s">
        <v>40</v>
      </c>
      <c r="N276" t="s">
        <v>41</v>
      </c>
      <c r="O276" t="s">
        <v>42</v>
      </c>
      <c r="P276">
        <v>20</v>
      </c>
      <c r="Q276">
        <v>0</v>
      </c>
      <c r="R276">
        <v>0</v>
      </c>
      <c r="S276">
        <v>0</v>
      </c>
      <c r="T276" t="s">
        <v>1012</v>
      </c>
      <c r="U276" t="s">
        <v>44</v>
      </c>
      <c r="W276" t="s">
        <v>959</v>
      </c>
      <c r="Y276">
        <v>0</v>
      </c>
      <c r="AA276" t="s">
        <v>40</v>
      </c>
      <c r="AB276" t="s">
        <v>46</v>
      </c>
      <c r="AC276" t="s">
        <v>47</v>
      </c>
      <c r="AF276" t="s">
        <v>62</v>
      </c>
      <c r="AJ276" t="s">
        <v>40</v>
      </c>
      <c r="AK276" t="s">
        <v>49</v>
      </c>
      <c r="AN276">
        <v>259933148</v>
      </c>
      <c r="AO276" s="1">
        <v>45938</v>
      </c>
      <c r="AP276" s="5">
        <v>0.45833333333333331</v>
      </c>
      <c r="AS276">
        <v>1</v>
      </c>
    </row>
    <row r="277" spans="1:45" x14ac:dyDescent="0.2">
      <c r="A277">
        <f t="shared" si="18"/>
        <v>2025</v>
      </c>
      <c r="B277">
        <f t="shared" si="19"/>
        <v>10</v>
      </c>
      <c r="C277">
        <f t="shared" si="20"/>
        <v>41</v>
      </c>
      <c r="D277" s="2">
        <f t="shared" si="21"/>
        <v>45938</v>
      </c>
      <c r="E277" s="1">
        <v>45938.5</v>
      </c>
      <c r="F277" t="s">
        <v>1013</v>
      </c>
      <c r="G277" t="s">
        <v>36</v>
      </c>
      <c r="H277" t="s">
        <v>864</v>
      </c>
      <c r="I277" t="s">
        <v>38</v>
      </c>
      <c r="J277" t="s">
        <v>99</v>
      </c>
      <c r="M277" t="s">
        <v>40</v>
      </c>
      <c r="N277" t="s">
        <v>41</v>
      </c>
      <c r="O277" t="s">
        <v>42</v>
      </c>
      <c r="P277">
        <v>10</v>
      </c>
      <c r="Q277">
        <v>0</v>
      </c>
      <c r="R277">
        <v>0</v>
      </c>
      <c r="S277">
        <v>0</v>
      </c>
      <c r="T277" t="s">
        <v>1014</v>
      </c>
      <c r="U277" t="s">
        <v>44</v>
      </c>
      <c r="W277" t="s">
        <v>962</v>
      </c>
      <c r="Y277">
        <v>0</v>
      </c>
      <c r="AA277" t="s">
        <v>40</v>
      </c>
      <c r="AB277" t="s">
        <v>46</v>
      </c>
      <c r="AC277" t="s">
        <v>47</v>
      </c>
      <c r="AF277" t="s">
        <v>1015</v>
      </c>
      <c r="AJ277" t="s">
        <v>40</v>
      </c>
      <c r="AK277" t="s">
        <v>49</v>
      </c>
      <c r="AO277" s="1">
        <v>45938</v>
      </c>
      <c r="AP277" s="5">
        <v>0.5</v>
      </c>
      <c r="AS277">
        <v>1</v>
      </c>
    </row>
    <row r="278" spans="1:45" x14ac:dyDescent="0.2">
      <c r="A278">
        <f t="shared" si="18"/>
        <v>2025</v>
      </c>
      <c r="B278">
        <f t="shared" si="19"/>
        <v>10</v>
      </c>
      <c r="C278">
        <f t="shared" si="20"/>
        <v>41</v>
      </c>
      <c r="D278" s="2">
        <f t="shared" si="21"/>
        <v>45938</v>
      </c>
      <c r="E278" s="1">
        <v>45938.5</v>
      </c>
      <c r="F278" t="s">
        <v>1016</v>
      </c>
      <c r="G278" t="s">
        <v>36</v>
      </c>
      <c r="H278">
        <v>454262</v>
      </c>
      <c r="I278" t="s">
        <v>51</v>
      </c>
      <c r="J278" t="s">
        <v>52</v>
      </c>
      <c r="M278" t="s">
        <v>40</v>
      </c>
      <c r="N278" t="s">
        <v>41</v>
      </c>
      <c r="O278" t="s">
        <v>53</v>
      </c>
      <c r="P278">
        <v>33</v>
      </c>
      <c r="Q278">
        <v>0</v>
      </c>
      <c r="R278">
        <v>0</v>
      </c>
      <c r="S278">
        <v>0</v>
      </c>
      <c r="T278" t="s">
        <v>54</v>
      </c>
      <c r="U278" t="s">
        <v>55</v>
      </c>
      <c r="W278" t="s">
        <v>1017</v>
      </c>
      <c r="Y278">
        <v>0</v>
      </c>
      <c r="AA278" t="s">
        <v>40</v>
      </c>
      <c r="AB278" t="s">
        <v>46</v>
      </c>
      <c r="AC278" t="s">
        <v>47</v>
      </c>
      <c r="AG278" t="s">
        <v>1018</v>
      </c>
      <c r="AJ278" t="s">
        <v>40</v>
      </c>
      <c r="AK278">
        <v>5019111744</v>
      </c>
      <c r="AO278" s="1">
        <v>45938</v>
      </c>
      <c r="AP278" s="5">
        <v>0.5</v>
      </c>
      <c r="AS278">
        <v>1</v>
      </c>
    </row>
    <row r="279" spans="1:45" x14ac:dyDescent="0.2">
      <c r="A279">
        <f t="shared" si="18"/>
        <v>2025</v>
      </c>
      <c r="B279">
        <f t="shared" si="19"/>
        <v>10</v>
      </c>
      <c r="C279">
        <f t="shared" si="20"/>
        <v>41</v>
      </c>
      <c r="D279" s="2">
        <f t="shared" si="21"/>
        <v>45938</v>
      </c>
      <c r="E279" s="1">
        <v>45938.5</v>
      </c>
      <c r="F279" t="s">
        <v>1019</v>
      </c>
      <c r="G279" t="s">
        <v>36</v>
      </c>
      <c r="H279">
        <v>454243</v>
      </c>
      <c r="I279" t="s">
        <v>51</v>
      </c>
      <c r="J279" t="s">
        <v>144</v>
      </c>
      <c r="M279" t="s">
        <v>40</v>
      </c>
      <c r="N279" t="s">
        <v>41</v>
      </c>
      <c r="O279" t="s">
        <v>53</v>
      </c>
      <c r="P279">
        <v>33</v>
      </c>
      <c r="Q279">
        <v>0</v>
      </c>
      <c r="R279">
        <v>0</v>
      </c>
      <c r="S279">
        <v>0</v>
      </c>
      <c r="T279" t="s">
        <v>54</v>
      </c>
      <c r="U279" t="s">
        <v>55</v>
      </c>
      <c r="W279" t="s">
        <v>759</v>
      </c>
      <c r="X279" t="s">
        <v>1020</v>
      </c>
      <c r="Y279">
        <v>0</v>
      </c>
      <c r="AA279" t="s">
        <v>40</v>
      </c>
      <c r="AB279" t="s">
        <v>46</v>
      </c>
      <c r="AC279" t="s">
        <v>47</v>
      </c>
      <c r="AG279" t="s">
        <v>1021</v>
      </c>
      <c r="AJ279" t="s">
        <v>40</v>
      </c>
      <c r="AK279">
        <v>5019126363</v>
      </c>
      <c r="AL279" t="s">
        <v>1022</v>
      </c>
      <c r="AM279" t="s">
        <v>1023</v>
      </c>
      <c r="AO279" s="1">
        <v>45938</v>
      </c>
      <c r="AP279" s="5">
        <v>0.5</v>
      </c>
      <c r="AS279">
        <v>1</v>
      </c>
    </row>
    <row r="280" spans="1:45" x14ac:dyDescent="0.2">
      <c r="A280">
        <f t="shared" si="18"/>
        <v>2025</v>
      </c>
      <c r="B280">
        <f t="shared" si="19"/>
        <v>10</v>
      </c>
      <c r="C280">
        <f t="shared" si="20"/>
        <v>41</v>
      </c>
      <c r="D280" s="2">
        <f t="shared" si="21"/>
        <v>45938</v>
      </c>
      <c r="E280" s="1">
        <v>45938.541666666664</v>
      </c>
      <c r="F280" t="s">
        <v>1024</v>
      </c>
      <c r="G280" t="s">
        <v>36</v>
      </c>
      <c r="H280">
        <v>454244</v>
      </c>
      <c r="I280" t="s">
        <v>51</v>
      </c>
      <c r="J280" t="s">
        <v>1025</v>
      </c>
      <c r="M280" t="s">
        <v>40</v>
      </c>
      <c r="N280" t="s">
        <v>41</v>
      </c>
      <c r="O280" t="s">
        <v>53</v>
      </c>
      <c r="P280">
        <v>33</v>
      </c>
      <c r="Q280">
        <v>0</v>
      </c>
      <c r="R280">
        <v>0</v>
      </c>
      <c r="S280">
        <v>0</v>
      </c>
      <c r="T280" t="s">
        <v>54</v>
      </c>
      <c r="U280" t="s">
        <v>55</v>
      </c>
      <c r="W280" t="s">
        <v>361</v>
      </c>
      <c r="Y280">
        <v>0</v>
      </c>
      <c r="AA280" t="s">
        <v>40</v>
      </c>
      <c r="AB280" t="s">
        <v>46</v>
      </c>
      <c r="AC280" t="s">
        <v>47</v>
      </c>
      <c r="AG280" t="s">
        <v>1026</v>
      </c>
      <c r="AJ280" t="s">
        <v>40</v>
      </c>
      <c r="AK280">
        <v>5019112777</v>
      </c>
      <c r="AO280" s="1">
        <v>45938</v>
      </c>
      <c r="AP280" s="5">
        <v>0.54166666666666663</v>
      </c>
      <c r="AS280">
        <v>1</v>
      </c>
    </row>
    <row r="281" spans="1:45" x14ac:dyDescent="0.2">
      <c r="A281">
        <f t="shared" si="18"/>
        <v>2025</v>
      </c>
      <c r="B281">
        <f t="shared" si="19"/>
        <v>10</v>
      </c>
      <c r="C281">
        <f t="shared" si="20"/>
        <v>41</v>
      </c>
      <c r="D281" s="2">
        <f t="shared" si="21"/>
        <v>45938</v>
      </c>
      <c r="E281" s="1">
        <v>45938.541666666664</v>
      </c>
      <c r="F281" t="s">
        <v>1027</v>
      </c>
      <c r="G281" t="s">
        <v>36</v>
      </c>
      <c r="H281" t="s">
        <v>1028</v>
      </c>
      <c r="I281" t="s">
        <v>38</v>
      </c>
      <c r="J281" t="s">
        <v>645</v>
      </c>
      <c r="M281" t="s">
        <v>40</v>
      </c>
      <c r="N281" t="s">
        <v>41</v>
      </c>
      <c r="O281" t="s">
        <v>42</v>
      </c>
      <c r="P281">
        <v>20</v>
      </c>
      <c r="Q281">
        <v>0</v>
      </c>
      <c r="R281">
        <v>0</v>
      </c>
      <c r="S281">
        <v>0</v>
      </c>
      <c r="T281">
        <v>5019006350</v>
      </c>
      <c r="U281" t="s">
        <v>44</v>
      </c>
      <c r="W281" t="s">
        <v>982</v>
      </c>
      <c r="Y281">
        <v>0</v>
      </c>
      <c r="AA281" t="s">
        <v>40</v>
      </c>
      <c r="AB281" t="s">
        <v>46</v>
      </c>
      <c r="AC281" t="s">
        <v>47</v>
      </c>
      <c r="AF281" t="s">
        <v>62</v>
      </c>
      <c r="AJ281" t="s">
        <v>40</v>
      </c>
      <c r="AK281" t="s">
        <v>49</v>
      </c>
      <c r="AN281">
        <v>38041565</v>
      </c>
      <c r="AO281" s="1">
        <v>45938</v>
      </c>
      <c r="AP281" s="5">
        <v>0.54166666666666663</v>
      </c>
      <c r="AS281">
        <v>1</v>
      </c>
    </row>
    <row r="282" spans="1:45" x14ac:dyDescent="0.2">
      <c r="A282">
        <f t="shared" si="18"/>
        <v>2025</v>
      </c>
      <c r="B282">
        <f t="shared" si="19"/>
        <v>10</v>
      </c>
      <c r="C282">
        <f t="shared" si="20"/>
        <v>41</v>
      </c>
      <c r="D282" s="2">
        <f t="shared" si="21"/>
        <v>45938</v>
      </c>
      <c r="E282" s="1">
        <v>45938.541666666664</v>
      </c>
      <c r="F282" t="s">
        <v>1029</v>
      </c>
      <c r="G282" t="s">
        <v>36</v>
      </c>
      <c r="H282" t="s">
        <v>663</v>
      </c>
      <c r="I282" t="s">
        <v>38</v>
      </c>
      <c r="J282" t="s">
        <v>265</v>
      </c>
      <c r="M282" t="s">
        <v>40</v>
      </c>
      <c r="N282" t="s">
        <v>41</v>
      </c>
      <c r="O282" t="s">
        <v>42</v>
      </c>
      <c r="P282">
        <v>28</v>
      </c>
      <c r="Q282">
        <v>0</v>
      </c>
      <c r="R282">
        <v>0</v>
      </c>
      <c r="S282">
        <v>0</v>
      </c>
      <c r="T282">
        <v>90020397</v>
      </c>
      <c r="U282" t="s">
        <v>44</v>
      </c>
      <c r="W282" t="s">
        <v>372</v>
      </c>
      <c r="Y282">
        <v>0</v>
      </c>
      <c r="AA282" t="s">
        <v>40</v>
      </c>
      <c r="AB282" t="s">
        <v>46</v>
      </c>
      <c r="AC282" t="s">
        <v>47</v>
      </c>
      <c r="AF282" t="s">
        <v>664</v>
      </c>
      <c r="AJ282" t="s">
        <v>40</v>
      </c>
      <c r="AK282" t="s">
        <v>49</v>
      </c>
      <c r="AO282" s="1">
        <v>45938</v>
      </c>
      <c r="AP282" s="5">
        <v>0.54166666666666663</v>
      </c>
      <c r="AS282">
        <v>1</v>
      </c>
    </row>
    <row r="283" spans="1:45" x14ac:dyDescent="0.2">
      <c r="A283">
        <f t="shared" si="18"/>
        <v>2025</v>
      </c>
      <c r="B283">
        <f t="shared" si="19"/>
        <v>10</v>
      </c>
      <c r="C283">
        <f t="shared" si="20"/>
        <v>41</v>
      </c>
      <c r="D283" s="2">
        <f t="shared" si="21"/>
        <v>45938</v>
      </c>
      <c r="E283" s="1">
        <v>45938.583333333336</v>
      </c>
      <c r="F283" t="s">
        <v>1030</v>
      </c>
      <c r="G283" t="s">
        <v>36</v>
      </c>
      <c r="H283" t="s">
        <v>1031</v>
      </c>
      <c r="I283" t="s">
        <v>162</v>
      </c>
      <c r="J283" t="s">
        <v>1032</v>
      </c>
      <c r="M283" t="s">
        <v>40</v>
      </c>
      <c r="N283" t="s">
        <v>41</v>
      </c>
      <c r="O283" t="s">
        <v>1033</v>
      </c>
      <c r="P283">
        <v>32</v>
      </c>
      <c r="Q283">
        <v>0</v>
      </c>
      <c r="R283">
        <v>0</v>
      </c>
      <c r="S283">
        <v>0</v>
      </c>
      <c r="T283" t="s">
        <v>54</v>
      </c>
      <c r="U283" t="s">
        <v>44</v>
      </c>
      <c r="W283" t="s">
        <v>1034</v>
      </c>
      <c r="X283" t="s">
        <v>1035</v>
      </c>
      <c r="Y283">
        <v>0</v>
      </c>
      <c r="AA283" t="s">
        <v>40</v>
      </c>
      <c r="AB283" t="s">
        <v>46</v>
      </c>
      <c r="AC283" t="s">
        <v>47</v>
      </c>
      <c r="AD283" t="s">
        <v>166</v>
      </c>
      <c r="AE283" t="s">
        <v>166</v>
      </c>
      <c r="AG283" t="s">
        <v>1036</v>
      </c>
      <c r="AJ283" t="s">
        <v>40</v>
      </c>
      <c r="AK283" t="s">
        <v>1037</v>
      </c>
      <c r="AL283" t="s">
        <v>1038</v>
      </c>
      <c r="AM283" t="s">
        <v>1039</v>
      </c>
      <c r="AO283" s="1">
        <v>45938</v>
      </c>
      <c r="AP283" s="5">
        <v>0.58333333333333337</v>
      </c>
      <c r="AS283">
        <v>1</v>
      </c>
    </row>
    <row r="284" spans="1:45" x14ac:dyDescent="0.2">
      <c r="A284">
        <f t="shared" si="18"/>
        <v>2025</v>
      </c>
      <c r="B284">
        <f t="shared" si="19"/>
        <v>10</v>
      </c>
      <c r="C284">
        <f t="shared" si="20"/>
        <v>41</v>
      </c>
      <c r="D284" s="2">
        <f t="shared" si="21"/>
        <v>45938</v>
      </c>
      <c r="E284" s="1">
        <v>45938.583333333336</v>
      </c>
      <c r="F284" t="s">
        <v>1040</v>
      </c>
      <c r="G284" t="s">
        <v>36</v>
      </c>
      <c r="H284" t="s">
        <v>1041</v>
      </c>
      <c r="I284" t="s">
        <v>1042</v>
      </c>
      <c r="J284" t="s">
        <v>451</v>
      </c>
      <c r="M284" t="s">
        <v>40</v>
      </c>
      <c r="N284" t="s">
        <v>41</v>
      </c>
      <c r="O284" t="s">
        <v>1043</v>
      </c>
      <c r="P284">
        <v>3</v>
      </c>
      <c r="Q284">
        <v>0</v>
      </c>
      <c r="R284">
        <v>0</v>
      </c>
      <c r="S284">
        <v>0</v>
      </c>
      <c r="T284" t="s">
        <v>1044</v>
      </c>
      <c r="U284" t="s">
        <v>101</v>
      </c>
      <c r="W284" t="s">
        <v>361</v>
      </c>
      <c r="Y284">
        <v>0</v>
      </c>
      <c r="AA284" t="s">
        <v>40</v>
      </c>
      <c r="AB284" t="s">
        <v>46</v>
      </c>
      <c r="AC284" t="s">
        <v>47</v>
      </c>
      <c r="AD284" t="s">
        <v>81</v>
      </c>
      <c r="AE284" t="s">
        <v>81</v>
      </c>
      <c r="AF284" t="s">
        <v>454</v>
      </c>
      <c r="AG284" t="s">
        <v>81</v>
      </c>
      <c r="AJ284" t="s">
        <v>40</v>
      </c>
      <c r="AK284" t="s">
        <v>49</v>
      </c>
      <c r="AL284" t="s">
        <v>1045</v>
      </c>
      <c r="AO284" s="1">
        <v>45938</v>
      </c>
      <c r="AP284" s="5">
        <v>0.58333333333333337</v>
      </c>
      <c r="AS284">
        <v>1</v>
      </c>
    </row>
    <row r="285" spans="1:45" x14ac:dyDescent="0.2">
      <c r="A285">
        <f t="shared" si="18"/>
        <v>2025</v>
      </c>
      <c r="B285">
        <f t="shared" si="19"/>
        <v>10</v>
      </c>
      <c r="C285">
        <f t="shared" si="20"/>
        <v>41</v>
      </c>
      <c r="D285" s="2">
        <f t="shared" si="21"/>
        <v>45938</v>
      </c>
      <c r="E285" s="1">
        <v>45938.583333333336</v>
      </c>
      <c r="F285" t="s">
        <v>1046</v>
      </c>
      <c r="G285" t="s">
        <v>36</v>
      </c>
      <c r="H285" t="s">
        <v>37</v>
      </c>
      <c r="I285" t="s">
        <v>38</v>
      </c>
      <c r="J285" t="s">
        <v>112</v>
      </c>
      <c r="M285" t="s">
        <v>40</v>
      </c>
      <c r="N285" t="s">
        <v>41</v>
      </c>
      <c r="O285" t="s">
        <v>42</v>
      </c>
      <c r="P285">
        <v>23</v>
      </c>
      <c r="Q285">
        <v>0</v>
      </c>
      <c r="R285">
        <v>0</v>
      </c>
      <c r="S285">
        <v>0</v>
      </c>
      <c r="T285" t="s">
        <v>1047</v>
      </c>
      <c r="U285" t="s">
        <v>44</v>
      </c>
      <c r="W285" t="s">
        <v>962</v>
      </c>
      <c r="Y285">
        <v>0</v>
      </c>
      <c r="AA285" t="s">
        <v>40</v>
      </c>
      <c r="AB285" t="s">
        <v>46</v>
      </c>
      <c r="AC285" t="s">
        <v>47</v>
      </c>
      <c r="AF285" t="s">
        <v>48</v>
      </c>
      <c r="AJ285" t="s">
        <v>40</v>
      </c>
      <c r="AK285" t="s">
        <v>49</v>
      </c>
      <c r="AO285" s="1">
        <v>45938</v>
      </c>
      <c r="AP285" s="5">
        <v>0.58333333333333337</v>
      </c>
      <c r="AS285">
        <v>1</v>
      </c>
    </row>
    <row r="286" spans="1:45" x14ac:dyDescent="0.2">
      <c r="A286">
        <f t="shared" si="18"/>
        <v>2025</v>
      </c>
      <c r="B286">
        <f t="shared" si="19"/>
        <v>10</v>
      </c>
      <c r="C286">
        <f t="shared" si="20"/>
        <v>41</v>
      </c>
      <c r="D286" s="2">
        <f t="shared" si="21"/>
        <v>45938</v>
      </c>
      <c r="E286" s="1">
        <v>45938.583333333336</v>
      </c>
      <c r="F286" t="s">
        <v>1048</v>
      </c>
      <c r="G286" t="s">
        <v>36</v>
      </c>
      <c r="H286">
        <v>451329</v>
      </c>
      <c r="I286" t="s">
        <v>51</v>
      </c>
      <c r="J286" t="s">
        <v>154</v>
      </c>
      <c r="M286" t="s">
        <v>40</v>
      </c>
      <c r="N286" t="s">
        <v>41</v>
      </c>
      <c r="O286" t="s">
        <v>155</v>
      </c>
      <c r="P286">
        <v>33</v>
      </c>
      <c r="Q286">
        <v>0</v>
      </c>
      <c r="R286">
        <v>0</v>
      </c>
      <c r="S286">
        <v>0</v>
      </c>
      <c r="T286" t="s">
        <v>54</v>
      </c>
      <c r="U286" t="s">
        <v>55</v>
      </c>
      <c r="W286" t="s">
        <v>962</v>
      </c>
      <c r="Y286">
        <v>0</v>
      </c>
      <c r="AA286" t="s">
        <v>40</v>
      </c>
      <c r="AB286" t="s">
        <v>46</v>
      </c>
      <c r="AC286" t="s">
        <v>47</v>
      </c>
      <c r="AG286" t="s">
        <v>1049</v>
      </c>
      <c r="AJ286" t="s">
        <v>40</v>
      </c>
      <c r="AK286">
        <v>5019111225</v>
      </c>
      <c r="AO286" s="1">
        <v>45938</v>
      </c>
      <c r="AP286" s="5">
        <v>0.58333333333333337</v>
      </c>
      <c r="AS286">
        <v>1</v>
      </c>
    </row>
    <row r="287" spans="1:45" x14ac:dyDescent="0.2">
      <c r="A287">
        <f t="shared" si="18"/>
        <v>2025</v>
      </c>
      <c r="B287">
        <f t="shared" si="19"/>
        <v>10</v>
      </c>
      <c r="C287">
        <f t="shared" si="20"/>
        <v>41</v>
      </c>
      <c r="D287" s="2">
        <f t="shared" si="21"/>
        <v>45938</v>
      </c>
      <c r="E287" s="1">
        <v>45938.625</v>
      </c>
      <c r="F287" t="s">
        <v>1050</v>
      </c>
      <c r="G287" t="s">
        <v>36</v>
      </c>
      <c r="H287">
        <v>451339</v>
      </c>
      <c r="I287" t="s">
        <v>51</v>
      </c>
      <c r="J287" t="s">
        <v>144</v>
      </c>
      <c r="M287" t="s">
        <v>40</v>
      </c>
      <c r="N287" t="s">
        <v>41</v>
      </c>
      <c r="O287" t="s">
        <v>172</v>
      </c>
      <c r="P287">
        <v>33</v>
      </c>
      <c r="Q287">
        <v>0</v>
      </c>
      <c r="R287">
        <v>0</v>
      </c>
      <c r="S287">
        <v>0</v>
      </c>
      <c r="T287" t="s">
        <v>54</v>
      </c>
      <c r="U287" t="s">
        <v>55</v>
      </c>
      <c r="W287" t="s">
        <v>1051</v>
      </c>
      <c r="Y287">
        <v>0</v>
      </c>
      <c r="AA287" t="s">
        <v>40</v>
      </c>
      <c r="AB287" t="s">
        <v>46</v>
      </c>
      <c r="AC287" t="s">
        <v>47</v>
      </c>
      <c r="AG287" t="s">
        <v>1052</v>
      </c>
      <c r="AJ287" t="s">
        <v>40</v>
      </c>
      <c r="AK287">
        <v>5019120409</v>
      </c>
      <c r="AO287" s="1">
        <v>45938</v>
      </c>
      <c r="AP287" s="5">
        <v>0.625</v>
      </c>
      <c r="AS287">
        <v>1</v>
      </c>
    </row>
    <row r="288" spans="1:45" x14ac:dyDescent="0.2">
      <c r="A288">
        <f t="shared" si="18"/>
        <v>2025</v>
      </c>
      <c r="B288">
        <f t="shared" si="19"/>
        <v>10</v>
      </c>
      <c r="C288">
        <f t="shared" si="20"/>
        <v>41</v>
      </c>
      <c r="D288" s="2">
        <f t="shared" si="21"/>
        <v>45938</v>
      </c>
      <c r="E288" s="1">
        <v>45938.625</v>
      </c>
      <c r="F288" t="s">
        <v>1053</v>
      </c>
      <c r="G288" t="s">
        <v>36</v>
      </c>
      <c r="H288" t="s">
        <v>1054</v>
      </c>
      <c r="I288" t="s">
        <v>38</v>
      </c>
      <c r="J288" t="s">
        <v>348</v>
      </c>
      <c r="M288" t="s">
        <v>40</v>
      </c>
      <c r="N288" t="s">
        <v>41</v>
      </c>
      <c r="O288" t="s">
        <v>42</v>
      </c>
      <c r="P288">
        <v>12</v>
      </c>
      <c r="Q288">
        <v>0</v>
      </c>
      <c r="R288">
        <v>0</v>
      </c>
      <c r="S288">
        <v>0</v>
      </c>
      <c r="T288" t="s">
        <v>1055</v>
      </c>
      <c r="U288" t="s">
        <v>44</v>
      </c>
      <c r="W288" t="s">
        <v>962</v>
      </c>
      <c r="Y288">
        <v>0</v>
      </c>
      <c r="AA288" t="s">
        <v>40</v>
      </c>
      <c r="AB288" t="s">
        <v>46</v>
      </c>
      <c r="AC288" t="s">
        <v>47</v>
      </c>
      <c r="AF288" t="s">
        <v>48</v>
      </c>
      <c r="AJ288" t="s">
        <v>40</v>
      </c>
      <c r="AK288" t="s">
        <v>49</v>
      </c>
      <c r="AO288" s="1">
        <v>45938</v>
      </c>
      <c r="AP288" s="5">
        <v>0.625</v>
      </c>
      <c r="AS288">
        <v>1</v>
      </c>
    </row>
    <row r="289" spans="1:45" x14ac:dyDescent="0.2">
      <c r="A289">
        <f t="shared" si="18"/>
        <v>2025</v>
      </c>
      <c r="B289">
        <f t="shared" si="19"/>
        <v>10</v>
      </c>
      <c r="C289">
        <f t="shared" si="20"/>
        <v>41</v>
      </c>
      <c r="D289" s="2">
        <f t="shared" si="21"/>
        <v>45938</v>
      </c>
      <c r="E289" s="1">
        <v>45938.625</v>
      </c>
      <c r="F289" t="s">
        <v>1056</v>
      </c>
      <c r="G289" t="s">
        <v>36</v>
      </c>
      <c r="H289" t="s">
        <v>37</v>
      </c>
      <c r="I289" t="s">
        <v>38</v>
      </c>
      <c r="J289" t="s">
        <v>112</v>
      </c>
      <c r="M289" t="s">
        <v>40</v>
      </c>
      <c r="N289" t="s">
        <v>41</v>
      </c>
      <c r="O289" t="s">
        <v>42</v>
      </c>
      <c r="P289">
        <v>23</v>
      </c>
      <c r="Q289">
        <v>0</v>
      </c>
      <c r="R289">
        <v>0</v>
      </c>
      <c r="S289">
        <v>0</v>
      </c>
      <c r="T289" t="s">
        <v>1057</v>
      </c>
      <c r="U289" t="s">
        <v>44</v>
      </c>
      <c r="W289" t="s">
        <v>962</v>
      </c>
      <c r="Y289">
        <v>0</v>
      </c>
      <c r="AA289" t="s">
        <v>40</v>
      </c>
      <c r="AB289" t="s">
        <v>46</v>
      </c>
      <c r="AC289" t="s">
        <v>47</v>
      </c>
      <c r="AF289" t="s">
        <v>48</v>
      </c>
      <c r="AJ289" t="s">
        <v>40</v>
      </c>
      <c r="AK289" t="s">
        <v>49</v>
      </c>
      <c r="AO289" s="1">
        <v>45938</v>
      </c>
      <c r="AP289" s="5">
        <v>0.625</v>
      </c>
      <c r="AS289">
        <v>1</v>
      </c>
    </row>
    <row r="290" spans="1:45" x14ac:dyDescent="0.2">
      <c r="A290">
        <f t="shared" si="18"/>
        <v>2025</v>
      </c>
      <c r="B290">
        <f t="shared" si="19"/>
        <v>10</v>
      </c>
      <c r="C290">
        <f t="shared" si="20"/>
        <v>41</v>
      </c>
      <c r="D290" s="2">
        <f t="shared" si="21"/>
        <v>45938</v>
      </c>
      <c r="E290" s="1">
        <v>45938.666666666664</v>
      </c>
      <c r="F290" t="s">
        <v>1058</v>
      </c>
      <c r="G290" t="s">
        <v>36</v>
      </c>
      <c r="H290">
        <v>451366</v>
      </c>
      <c r="I290" t="s">
        <v>51</v>
      </c>
      <c r="J290" t="s">
        <v>1059</v>
      </c>
      <c r="M290" t="s">
        <v>40</v>
      </c>
      <c r="N290" t="s">
        <v>41</v>
      </c>
      <c r="O290" t="s">
        <v>1060</v>
      </c>
      <c r="P290">
        <v>33</v>
      </c>
      <c r="Q290">
        <v>0</v>
      </c>
      <c r="R290">
        <v>0</v>
      </c>
      <c r="S290">
        <v>0</v>
      </c>
      <c r="T290" t="s">
        <v>54</v>
      </c>
      <c r="U290" t="s">
        <v>55</v>
      </c>
      <c r="W290" t="s">
        <v>1061</v>
      </c>
      <c r="X290" t="s">
        <v>1062</v>
      </c>
      <c r="Y290">
        <v>0</v>
      </c>
      <c r="AA290" t="s">
        <v>40</v>
      </c>
      <c r="AB290" t="s">
        <v>46</v>
      </c>
      <c r="AC290" t="s">
        <v>47</v>
      </c>
      <c r="AG290" t="s">
        <v>1063</v>
      </c>
      <c r="AJ290" t="s">
        <v>40</v>
      </c>
      <c r="AK290">
        <v>5019129240</v>
      </c>
      <c r="AL290" t="s">
        <v>1064</v>
      </c>
      <c r="AO290" s="1">
        <v>45938</v>
      </c>
      <c r="AP290" s="5">
        <v>0.66666666666666663</v>
      </c>
      <c r="AS290">
        <v>1</v>
      </c>
    </row>
    <row r="291" spans="1:45" x14ac:dyDescent="0.2">
      <c r="A291">
        <f t="shared" si="18"/>
        <v>2025</v>
      </c>
      <c r="B291">
        <f t="shared" si="19"/>
        <v>10</v>
      </c>
      <c r="C291">
        <f t="shared" si="20"/>
        <v>41</v>
      </c>
      <c r="D291" s="2">
        <f t="shared" si="21"/>
        <v>45938</v>
      </c>
      <c r="E291" s="1">
        <v>45938.666666666664</v>
      </c>
      <c r="F291" t="s">
        <v>1065</v>
      </c>
      <c r="G291" t="s">
        <v>36</v>
      </c>
      <c r="H291">
        <v>451326</v>
      </c>
      <c r="I291" t="s">
        <v>51</v>
      </c>
      <c r="J291" t="s">
        <v>154</v>
      </c>
      <c r="M291" t="s">
        <v>40</v>
      </c>
      <c r="N291" t="s">
        <v>41</v>
      </c>
      <c r="O291" t="s">
        <v>155</v>
      </c>
      <c r="P291">
        <v>33</v>
      </c>
      <c r="Q291">
        <v>0</v>
      </c>
      <c r="R291">
        <v>0</v>
      </c>
      <c r="S291">
        <v>0</v>
      </c>
      <c r="T291" t="s">
        <v>54</v>
      </c>
      <c r="U291" t="s">
        <v>55</v>
      </c>
      <c r="W291" t="s">
        <v>962</v>
      </c>
      <c r="Y291">
        <v>0</v>
      </c>
      <c r="AA291" t="s">
        <v>40</v>
      </c>
      <c r="AB291" t="s">
        <v>46</v>
      </c>
      <c r="AC291" t="s">
        <v>47</v>
      </c>
      <c r="AG291" t="s">
        <v>1066</v>
      </c>
      <c r="AJ291" t="s">
        <v>40</v>
      </c>
      <c r="AK291">
        <v>5019125523</v>
      </c>
      <c r="AO291" s="1">
        <v>45938</v>
      </c>
      <c r="AP291" s="5">
        <v>0.66666666666666663</v>
      </c>
      <c r="AS291">
        <v>1</v>
      </c>
    </row>
    <row r="292" spans="1:45" x14ac:dyDescent="0.2">
      <c r="A292">
        <f t="shared" si="18"/>
        <v>2025</v>
      </c>
      <c r="B292">
        <f t="shared" si="19"/>
        <v>10</v>
      </c>
      <c r="C292">
        <f t="shared" si="20"/>
        <v>41</v>
      </c>
      <c r="D292" s="2">
        <f t="shared" si="21"/>
        <v>45938</v>
      </c>
      <c r="E292" s="1">
        <v>45938.666666666664</v>
      </c>
      <c r="F292" t="s">
        <v>1067</v>
      </c>
      <c r="G292" t="s">
        <v>36</v>
      </c>
      <c r="H292" t="s">
        <v>1054</v>
      </c>
      <c r="I292" t="s">
        <v>38</v>
      </c>
      <c r="J292" t="s">
        <v>348</v>
      </c>
      <c r="M292" t="s">
        <v>40</v>
      </c>
      <c r="N292" t="s">
        <v>41</v>
      </c>
      <c r="O292" t="s">
        <v>42</v>
      </c>
      <c r="P292">
        <v>16</v>
      </c>
      <c r="Q292">
        <v>0</v>
      </c>
      <c r="R292">
        <v>0</v>
      </c>
      <c r="S292">
        <v>0</v>
      </c>
      <c r="T292" t="s">
        <v>1068</v>
      </c>
      <c r="U292" t="s">
        <v>44</v>
      </c>
      <c r="W292" t="s">
        <v>962</v>
      </c>
      <c r="Y292">
        <v>0</v>
      </c>
      <c r="AA292" t="s">
        <v>40</v>
      </c>
      <c r="AB292" t="s">
        <v>46</v>
      </c>
      <c r="AC292" t="s">
        <v>47</v>
      </c>
      <c r="AF292" t="s">
        <v>48</v>
      </c>
      <c r="AJ292" t="s">
        <v>40</v>
      </c>
      <c r="AK292" t="s">
        <v>49</v>
      </c>
      <c r="AO292" s="1">
        <v>45938</v>
      </c>
      <c r="AP292" s="5">
        <v>0.66666666666666663</v>
      </c>
      <c r="AS292">
        <v>1</v>
      </c>
    </row>
    <row r="293" spans="1:45" x14ac:dyDescent="0.2">
      <c r="A293">
        <f t="shared" si="18"/>
        <v>2025</v>
      </c>
      <c r="B293">
        <f t="shared" si="19"/>
        <v>10</v>
      </c>
      <c r="C293">
        <f t="shared" si="20"/>
        <v>41</v>
      </c>
      <c r="D293" s="2">
        <f t="shared" si="21"/>
        <v>45938</v>
      </c>
      <c r="E293" s="1">
        <v>45938.666666666664</v>
      </c>
      <c r="F293" t="s">
        <v>1069</v>
      </c>
      <c r="G293" t="s">
        <v>36</v>
      </c>
      <c r="H293" t="s">
        <v>1054</v>
      </c>
      <c r="I293" t="s">
        <v>38</v>
      </c>
      <c r="J293" t="s">
        <v>348</v>
      </c>
      <c r="M293" t="s">
        <v>40</v>
      </c>
      <c r="N293" t="s">
        <v>41</v>
      </c>
      <c r="O293" t="s">
        <v>42</v>
      </c>
      <c r="P293">
        <v>23</v>
      </c>
      <c r="Q293">
        <v>0</v>
      </c>
      <c r="R293">
        <v>0</v>
      </c>
      <c r="S293">
        <v>0</v>
      </c>
      <c r="T293" t="s">
        <v>1070</v>
      </c>
      <c r="U293" t="s">
        <v>44</v>
      </c>
      <c r="W293" t="s">
        <v>962</v>
      </c>
      <c r="Y293">
        <v>0</v>
      </c>
      <c r="AA293" t="s">
        <v>40</v>
      </c>
      <c r="AB293" t="s">
        <v>46</v>
      </c>
      <c r="AC293" t="s">
        <v>47</v>
      </c>
      <c r="AF293" t="s">
        <v>48</v>
      </c>
      <c r="AJ293" t="s">
        <v>40</v>
      </c>
      <c r="AK293" t="s">
        <v>49</v>
      </c>
      <c r="AO293" s="1">
        <v>45938</v>
      </c>
      <c r="AP293" s="5">
        <v>0.66666666666666663</v>
      </c>
      <c r="AS293">
        <v>1</v>
      </c>
    </row>
    <row r="294" spans="1:45" x14ac:dyDescent="0.2">
      <c r="A294">
        <f t="shared" si="18"/>
        <v>2025</v>
      </c>
      <c r="B294">
        <f t="shared" si="19"/>
        <v>10</v>
      </c>
      <c r="C294">
        <f t="shared" si="20"/>
        <v>41</v>
      </c>
      <c r="D294" s="2">
        <f t="shared" si="21"/>
        <v>45938</v>
      </c>
      <c r="E294" s="1">
        <v>45938.708333333336</v>
      </c>
      <c r="F294" t="s">
        <v>1071</v>
      </c>
      <c r="G294" t="s">
        <v>36</v>
      </c>
      <c r="H294">
        <v>451318</v>
      </c>
      <c r="I294" t="s">
        <v>51</v>
      </c>
      <c r="J294" t="s">
        <v>188</v>
      </c>
      <c r="M294" t="s">
        <v>40</v>
      </c>
      <c r="N294" t="s">
        <v>41</v>
      </c>
      <c r="O294" t="s">
        <v>189</v>
      </c>
      <c r="P294">
        <v>33</v>
      </c>
      <c r="Q294">
        <v>0</v>
      </c>
      <c r="R294">
        <v>0</v>
      </c>
      <c r="S294">
        <v>0</v>
      </c>
      <c r="T294" t="s">
        <v>54</v>
      </c>
      <c r="U294" t="s">
        <v>55</v>
      </c>
      <c r="W294" t="s">
        <v>1072</v>
      </c>
      <c r="Y294">
        <v>0</v>
      </c>
      <c r="AA294" t="s">
        <v>40</v>
      </c>
      <c r="AB294" t="s">
        <v>46</v>
      </c>
      <c r="AC294" t="s">
        <v>47</v>
      </c>
      <c r="AG294" t="s">
        <v>1073</v>
      </c>
      <c r="AJ294" t="s">
        <v>40</v>
      </c>
      <c r="AK294">
        <v>5019124842</v>
      </c>
      <c r="AO294" s="1">
        <v>45938</v>
      </c>
      <c r="AP294" s="5">
        <v>0.70833333333333337</v>
      </c>
      <c r="AS294">
        <v>1</v>
      </c>
    </row>
    <row r="295" spans="1:45" x14ac:dyDescent="0.2">
      <c r="A295">
        <f t="shared" si="18"/>
        <v>2025</v>
      </c>
      <c r="B295">
        <f t="shared" si="19"/>
        <v>10</v>
      </c>
      <c r="C295">
        <f t="shared" si="20"/>
        <v>41</v>
      </c>
      <c r="D295" s="2">
        <f t="shared" si="21"/>
        <v>45938</v>
      </c>
      <c r="E295" s="1">
        <v>45938.708333333336</v>
      </c>
      <c r="F295" t="s">
        <v>1074</v>
      </c>
      <c r="G295" t="s">
        <v>36</v>
      </c>
      <c r="H295">
        <v>451321</v>
      </c>
      <c r="I295" t="s">
        <v>51</v>
      </c>
      <c r="J295" t="s">
        <v>154</v>
      </c>
      <c r="M295" t="s">
        <v>40</v>
      </c>
      <c r="N295" t="s">
        <v>41</v>
      </c>
      <c r="O295" t="s">
        <v>155</v>
      </c>
      <c r="P295">
        <v>33</v>
      </c>
      <c r="Q295">
        <v>0</v>
      </c>
      <c r="R295">
        <v>0</v>
      </c>
      <c r="S295">
        <v>0</v>
      </c>
      <c r="T295" t="s">
        <v>54</v>
      </c>
      <c r="U295" t="s">
        <v>55</v>
      </c>
      <c r="W295" t="s">
        <v>1075</v>
      </c>
      <c r="Y295">
        <v>0</v>
      </c>
      <c r="AA295" t="s">
        <v>40</v>
      </c>
      <c r="AB295" t="s">
        <v>46</v>
      </c>
      <c r="AC295" t="s">
        <v>47</v>
      </c>
      <c r="AG295" t="s">
        <v>1076</v>
      </c>
      <c r="AJ295" t="s">
        <v>40</v>
      </c>
      <c r="AK295">
        <v>5019124459</v>
      </c>
      <c r="AO295" s="1">
        <v>45938</v>
      </c>
      <c r="AP295" s="5">
        <v>0.70833333333333337</v>
      </c>
      <c r="AS295">
        <v>1</v>
      </c>
    </row>
    <row r="296" spans="1:45" x14ac:dyDescent="0.2">
      <c r="A296">
        <f t="shared" si="18"/>
        <v>2025</v>
      </c>
      <c r="B296">
        <f t="shared" si="19"/>
        <v>10</v>
      </c>
      <c r="C296">
        <f t="shared" si="20"/>
        <v>41</v>
      </c>
      <c r="D296" s="2">
        <f t="shared" si="21"/>
        <v>45938</v>
      </c>
      <c r="E296" s="1">
        <v>45938.708333333336</v>
      </c>
      <c r="F296" t="s">
        <v>1077</v>
      </c>
      <c r="G296" t="s">
        <v>36</v>
      </c>
      <c r="H296">
        <v>451338</v>
      </c>
      <c r="I296" t="s">
        <v>51</v>
      </c>
      <c r="J296" t="s">
        <v>194</v>
      </c>
      <c r="M296" t="s">
        <v>40</v>
      </c>
      <c r="N296" t="s">
        <v>41</v>
      </c>
      <c r="O296" t="s">
        <v>189</v>
      </c>
      <c r="P296">
        <v>33</v>
      </c>
      <c r="Q296">
        <v>0</v>
      </c>
      <c r="R296">
        <v>0</v>
      </c>
      <c r="S296">
        <v>0</v>
      </c>
      <c r="T296" t="s">
        <v>54</v>
      </c>
      <c r="U296" t="s">
        <v>55</v>
      </c>
      <c r="W296" t="s">
        <v>1075</v>
      </c>
      <c r="Y296">
        <v>0</v>
      </c>
      <c r="AA296" t="s">
        <v>40</v>
      </c>
      <c r="AB296" t="s">
        <v>46</v>
      </c>
      <c r="AC296" t="s">
        <v>47</v>
      </c>
      <c r="AG296" t="s">
        <v>1078</v>
      </c>
      <c r="AJ296" t="s">
        <v>40</v>
      </c>
      <c r="AK296">
        <v>5019111789</v>
      </c>
      <c r="AO296" s="1">
        <v>45938</v>
      </c>
      <c r="AP296" s="5">
        <v>0.70833333333333337</v>
      </c>
      <c r="AS296">
        <v>1</v>
      </c>
    </row>
    <row r="297" spans="1:45" x14ac:dyDescent="0.2">
      <c r="A297">
        <f t="shared" si="18"/>
        <v>2025</v>
      </c>
      <c r="B297">
        <f t="shared" si="19"/>
        <v>10</v>
      </c>
      <c r="C297">
        <f t="shared" si="20"/>
        <v>41</v>
      </c>
      <c r="D297" s="2">
        <f t="shared" si="21"/>
        <v>45938</v>
      </c>
      <c r="E297" s="1">
        <v>45938.75</v>
      </c>
      <c r="F297" t="s">
        <v>1079</v>
      </c>
      <c r="G297" t="s">
        <v>36</v>
      </c>
      <c r="H297">
        <v>451331</v>
      </c>
      <c r="I297" t="s">
        <v>51</v>
      </c>
      <c r="J297" t="s">
        <v>154</v>
      </c>
      <c r="M297" t="s">
        <v>40</v>
      </c>
      <c r="N297" t="s">
        <v>41</v>
      </c>
      <c r="O297" t="s">
        <v>182</v>
      </c>
      <c r="P297">
        <v>33</v>
      </c>
      <c r="Q297">
        <v>0</v>
      </c>
      <c r="R297">
        <v>0</v>
      </c>
      <c r="S297">
        <v>0</v>
      </c>
      <c r="T297" t="s">
        <v>54</v>
      </c>
      <c r="U297" t="s">
        <v>55</v>
      </c>
      <c r="W297" t="s">
        <v>1080</v>
      </c>
      <c r="X297" t="s">
        <v>1081</v>
      </c>
      <c r="Y297">
        <v>0</v>
      </c>
      <c r="AA297" t="s">
        <v>40</v>
      </c>
      <c r="AB297" t="s">
        <v>46</v>
      </c>
      <c r="AC297" t="s">
        <v>47</v>
      </c>
      <c r="AG297" t="s">
        <v>1082</v>
      </c>
      <c r="AJ297" t="s">
        <v>40</v>
      </c>
      <c r="AK297">
        <v>5019121394</v>
      </c>
      <c r="AL297" t="s">
        <v>1083</v>
      </c>
      <c r="AM297" t="s">
        <v>1084</v>
      </c>
      <c r="AO297" s="1">
        <v>45938</v>
      </c>
      <c r="AP297" s="5">
        <v>0.75</v>
      </c>
      <c r="AS297">
        <v>1</v>
      </c>
    </row>
    <row r="298" spans="1:45" x14ac:dyDescent="0.2">
      <c r="A298">
        <f t="shared" si="18"/>
        <v>2025</v>
      </c>
      <c r="B298">
        <f t="shared" si="19"/>
        <v>10</v>
      </c>
      <c r="C298">
        <f t="shared" si="20"/>
        <v>41</v>
      </c>
      <c r="D298" s="2">
        <f t="shared" si="21"/>
        <v>45938</v>
      </c>
      <c r="E298" s="1">
        <v>45938.75</v>
      </c>
      <c r="F298" t="s">
        <v>1085</v>
      </c>
      <c r="G298" t="s">
        <v>36</v>
      </c>
      <c r="H298">
        <v>455298</v>
      </c>
      <c r="I298" t="s">
        <v>51</v>
      </c>
      <c r="J298" t="s">
        <v>144</v>
      </c>
      <c r="M298" t="s">
        <v>40</v>
      </c>
      <c r="N298" t="s">
        <v>41</v>
      </c>
      <c r="O298" t="s">
        <v>1086</v>
      </c>
      <c r="P298">
        <v>8</v>
      </c>
      <c r="Q298">
        <v>0</v>
      </c>
      <c r="R298">
        <v>0</v>
      </c>
      <c r="S298">
        <v>0</v>
      </c>
      <c r="T298" t="s">
        <v>54</v>
      </c>
      <c r="U298" t="s">
        <v>392</v>
      </c>
      <c r="W298" t="s">
        <v>1072</v>
      </c>
      <c r="X298" t="s">
        <v>1087</v>
      </c>
      <c r="Y298">
        <v>0</v>
      </c>
      <c r="AA298" t="s">
        <v>40</v>
      </c>
      <c r="AB298" t="s">
        <v>46</v>
      </c>
      <c r="AC298" t="s">
        <v>47</v>
      </c>
      <c r="AG298" t="s">
        <v>1088</v>
      </c>
      <c r="AJ298" t="s">
        <v>40</v>
      </c>
      <c r="AK298">
        <v>5019096863</v>
      </c>
      <c r="AL298" t="s">
        <v>1089</v>
      </c>
      <c r="AM298" t="s">
        <v>1090</v>
      </c>
      <c r="AO298" s="1">
        <v>45938</v>
      </c>
      <c r="AP298" s="5">
        <v>0.75</v>
      </c>
      <c r="AS298">
        <v>1</v>
      </c>
    </row>
    <row r="299" spans="1:45" x14ac:dyDescent="0.2">
      <c r="A299">
        <f t="shared" si="18"/>
        <v>2025</v>
      </c>
      <c r="B299">
        <f t="shared" si="19"/>
        <v>10</v>
      </c>
      <c r="C299">
        <f t="shared" si="20"/>
        <v>41</v>
      </c>
      <c r="D299" s="2">
        <f t="shared" si="21"/>
        <v>45938</v>
      </c>
      <c r="E299" s="1">
        <v>45938.75</v>
      </c>
      <c r="F299" t="s">
        <v>1091</v>
      </c>
      <c r="G299" t="s">
        <v>36</v>
      </c>
      <c r="H299">
        <v>451344</v>
      </c>
      <c r="I299" t="s">
        <v>51</v>
      </c>
      <c r="J299" t="s">
        <v>194</v>
      </c>
      <c r="M299" t="s">
        <v>40</v>
      </c>
      <c r="N299" t="s">
        <v>41</v>
      </c>
      <c r="O299" t="s">
        <v>189</v>
      </c>
      <c r="P299">
        <v>33</v>
      </c>
      <c r="Q299">
        <v>0</v>
      </c>
      <c r="R299">
        <v>0</v>
      </c>
      <c r="S299">
        <v>0</v>
      </c>
      <c r="T299" t="s">
        <v>54</v>
      </c>
      <c r="U299" t="s">
        <v>55</v>
      </c>
      <c r="W299" t="s">
        <v>1092</v>
      </c>
      <c r="Y299">
        <v>0</v>
      </c>
      <c r="AA299" t="s">
        <v>40</v>
      </c>
      <c r="AB299" t="s">
        <v>46</v>
      </c>
      <c r="AC299" t="s">
        <v>47</v>
      </c>
      <c r="AG299" t="s">
        <v>1093</v>
      </c>
      <c r="AJ299" t="s">
        <v>40</v>
      </c>
      <c r="AK299">
        <v>5019116332</v>
      </c>
      <c r="AO299" s="1">
        <v>45938</v>
      </c>
      <c r="AP299" s="5">
        <v>0.75</v>
      </c>
      <c r="AS299">
        <v>1</v>
      </c>
    </row>
    <row r="300" spans="1:45" x14ac:dyDescent="0.2">
      <c r="A300">
        <f t="shared" si="18"/>
        <v>2025</v>
      </c>
      <c r="B300">
        <f t="shared" si="19"/>
        <v>10</v>
      </c>
      <c r="C300">
        <f t="shared" si="20"/>
        <v>41</v>
      </c>
      <c r="D300" s="2">
        <f t="shared" si="21"/>
        <v>45938</v>
      </c>
      <c r="E300" s="1">
        <v>45938.75</v>
      </c>
      <c r="F300" t="s">
        <v>1094</v>
      </c>
      <c r="G300" t="s">
        <v>36</v>
      </c>
      <c r="H300">
        <v>451350</v>
      </c>
      <c r="I300" t="s">
        <v>51</v>
      </c>
      <c r="J300" t="s">
        <v>194</v>
      </c>
      <c r="M300" t="s">
        <v>40</v>
      </c>
      <c r="N300" t="s">
        <v>41</v>
      </c>
      <c r="O300" t="s">
        <v>210</v>
      </c>
      <c r="P300">
        <v>33</v>
      </c>
      <c r="Q300">
        <v>0</v>
      </c>
      <c r="R300">
        <v>0</v>
      </c>
      <c r="S300">
        <v>0</v>
      </c>
      <c r="T300" t="s">
        <v>54</v>
      </c>
      <c r="U300" t="s">
        <v>55</v>
      </c>
      <c r="W300" t="s">
        <v>897</v>
      </c>
      <c r="X300" t="s">
        <v>1095</v>
      </c>
      <c r="Y300">
        <v>0</v>
      </c>
      <c r="AA300" t="s">
        <v>40</v>
      </c>
      <c r="AB300" t="s">
        <v>46</v>
      </c>
      <c r="AC300" t="s">
        <v>47</v>
      </c>
      <c r="AG300" t="s">
        <v>1096</v>
      </c>
      <c r="AJ300" t="s">
        <v>40</v>
      </c>
      <c r="AK300">
        <v>5019123288</v>
      </c>
      <c r="AL300" t="s">
        <v>1097</v>
      </c>
      <c r="AM300" t="s">
        <v>1098</v>
      </c>
      <c r="AO300" s="1">
        <v>45938</v>
      </c>
      <c r="AP300" s="5">
        <v>0.75</v>
      </c>
      <c r="AS300">
        <v>1</v>
      </c>
    </row>
    <row r="301" spans="1:45" x14ac:dyDescent="0.2">
      <c r="A301">
        <f t="shared" si="18"/>
        <v>2025</v>
      </c>
      <c r="B301">
        <f t="shared" si="19"/>
        <v>10</v>
      </c>
      <c r="C301">
        <f t="shared" si="20"/>
        <v>41</v>
      </c>
      <c r="D301" s="2">
        <f t="shared" si="21"/>
        <v>45938</v>
      </c>
      <c r="E301" s="1">
        <v>45938.791666666664</v>
      </c>
      <c r="F301" t="s">
        <v>1099</v>
      </c>
      <c r="G301" t="s">
        <v>36</v>
      </c>
      <c r="H301" t="s">
        <v>1100</v>
      </c>
      <c r="I301" t="s">
        <v>78</v>
      </c>
      <c r="J301" t="s">
        <v>163</v>
      </c>
      <c r="M301" t="s">
        <v>40</v>
      </c>
      <c r="N301" t="s">
        <v>41</v>
      </c>
      <c r="O301" t="s">
        <v>1101</v>
      </c>
      <c r="P301">
        <v>66</v>
      </c>
      <c r="Q301">
        <v>0</v>
      </c>
      <c r="R301">
        <v>0</v>
      </c>
      <c r="S301">
        <v>0</v>
      </c>
      <c r="T301" t="s">
        <v>54</v>
      </c>
      <c r="U301" t="s">
        <v>55</v>
      </c>
      <c r="W301" t="s">
        <v>1102</v>
      </c>
      <c r="Y301">
        <v>0</v>
      </c>
      <c r="AA301" t="s">
        <v>40</v>
      </c>
      <c r="AB301" t="s">
        <v>46</v>
      </c>
      <c r="AC301" t="s">
        <v>47</v>
      </c>
      <c r="AD301" t="s">
        <v>81</v>
      </c>
      <c r="AE301" t="s">
        <v>81</v>
      </c>
      <c r="AG301" t="s">
        <v>1103</v>
      </c>
      <c r="AJ301" t="s">
        <v>40</v>
      </c>
      <c r="AK301" t="s">
        <v>1104</v>
      </c>
      <c r="AO301" s="1">
        <v>45938</v>
      </c>
      <c r="AP301" s="5">
        <v>0.79166666666666663</v>
      </c>
      <c r="AS301">
        <v>1</v>
      </c>
    </row>
    <row r="302" spans="1:45" x14ac:dyDescent="0.2">
      <c r="A302">
        <f t="shared" si="18"/>
        <v>2025</v>
      </c>
      <c r="B302">
        <f t="shared" si="19"/>
        <v>10</v>
      </c>
      <c r="C302">
        <f t="shared" si="20"/>
        <v>41</v>
      </c>
      <c r="D302" s="2">
        <f t="shared" si="21"/>
        <v>45938</v>
      </c>
      <c r="E302" s="1">
        <v>45938.791666666664</v>
      </c>
      <c r="F302" t="s">
        <v>1105</v>
      </c>
      <c r="G302" t="s">
        <v>36</v>
      </c>
      <c r="H302" t="s">
        <v>1106</v>
      </c>
      <c r="I302" t="s">
        <v>78</v>
      </c>
      <c r="J302" t="s">
        <v>126</v>
      </c>
      <c r="M302" t="s">
        <v>40</v>
      </c>
      <c r="N302" t="s">
        <v>41</v>
      </c>
      <c r="O302" t="s">
        <v>417</v>
      </c>
      <c r="P302">
        <v>66</v>
      </c>
      <c r="Q302">
        <v>0</v>
      </c>
      <c r="R302">
        <v>0</v>
      </c>
      <c r="S302">
        <v>0</v>
      </c>
      <c r="T302" t="s">
        <v>54</v>
      </c>
      <c r="U302" t="s">
        <v>55</v>
      </c>
      <c r="W302" t="s">
        <v>598</v>
      </c>
      <c r="X302" t="s">
        <v>1107</v>
      </c>
      <c r="Y302">
        <v>0</v>
      </c>
      <c r="AA302" t="s">
        <v>40</v>
      </c>
      <c r="AB302" t="s">
        <v>46</v>
      </c>
      <c r="AC302" t="s">
        <v>47</v>
      </c>
      <c r="AD302" t="s">
        <v>81</v>
      </c>
      <c r="AE302" t="s">
        <v>81</v>
      </c>
      <c r="AG302" t="s">
        <v>1108</v>
      </c>
      <c r="AJ302" t="s">
        <v>40</v>
      </c>
      <c r="AK302" t="s">
        <v>1109</v>
      </c>
      <c r="AL302" t="s">
        <v>1110</v>
      </c>
      <c r="AM302" t="s">
        <v>1111</v>
      </c>
      <c r="AO302" s="1">
        <v>45938</v>
      </c>
      <c r="AP302" s="5">
        <v>0.79166666666666663</v>
      </c>
      <c r="AS302">
        <v>1</v>
      </c>
    </row>
    <row r="303" spans="1:45" x14ac:dyDescent="0.2">
      <c r="A303">
        <f t="shared" si="18"/>
        <v>2025</v>
      </c>
      <c r="B303">
        <f t="shared" si="19"/>
        <v>10</v>
      </c>
      <c r="C303">
        <f t="shared" si="20"/>
        <v>41</v>
      </c>
      <c r="D303" s="2">
        <f t="shared" si="21"/>
        <v>45938</v>
      </c>
      <c r="E303" s="1">
        <v>45938.833333333336</v>
      </c>
      <c r="F303" t="s">
        <v>1112</v>
      </c>
      <c r="G303" t="s">
        <v>36</v>
      </c>
      <c r="H303" t="s">
        <v>1113</v>
      </c>
      <c r="I303" t="s">
        <v>218</v>
      </c>
      <c r="J303" t="s">
        <v>219</v>
      </c>
      <c r="M303" t="s">
        <v>40</v>
      </c>
      <c r="N303" t="s">
        <v>41</v>
      </c>
      <c r="O303" t="s">
        <v>220</v>
      </c>
      <c r="P303">
        <v>99</v>
      </c>
      <c r="Q303">
        <v>0</v>
      </c>
      <c r="R303">
        <v>0</v>
      </c>
      <c r="S303">
        <v>0</v>
      </c>
      <c r="T303" t="s">
        <v>54</v>
      </c>
      <c r="U303" t="s">
        <v>55</v>
      </c>
      <c r="W303" t="s">
        <v>531</v>
      </c>
      <c r="X303" t="s">
        <v>1114</v>
      </c>
      <c r="Y303">
        <v>0</v>
      </c>
      <c r="AA303" t="s">
        <v>40</v>
      </c>
      <c r="AB303" t="s">
        <v>46</v>
      </c>
      <c r="AC303" t="s">
        <v>47</v>
      </c>
      <c r="AD303" t="s">
        <v>223</v>
      </c>
      <c r="AE303" t="s">
        <v>223</v>
      </c>
      <c r="AG303" t="s">
        <v>1115</v>
      </c>
      <c r="AJ303" t="s">
        <v>40</v>
      </c>
      <c r="AK303" t="s">
        <v>1116</v>
      </c>
      <c r="AL303" t="s">
        <v>1117</v>
      </c>
      <c r="AM303" t="s">
        <v>1118</v>
      </c>
      <c r="AO303" s="1">
        <v>45938</v>
      </c>
      <c r="AP303" s="5">
        <v>0.83333333333333337</v>
      </c>
      <c r="AS303">
        <v>1</v>
      </c>
    </row>
    <row r="304" spans="1:45" x14ac:dyDescent="0.2">
      <c r="A304">
        <f t="shared" si="18"/>
        <v>2025</v>
      </c>
      <c r="B304">
        <f t="shared" si="19"/>
        <v>10</v>
      </c>
      <c r="C304">
        <f t="shared" si="20"/>
        <v>41</v>
      </c>
      <c r="D304" s="2">
        <f t="shared" si="21"/>
        <v>45939</v>
      </c>
      <c r="E304" s="1">
        <v>45939.25</v>
      </c>
      <c r="F304" t="s">
        <v>1119</v>
      </c>
      <c r="G304" t="s">
        <v>36</v>
      </c>
      <c r="H304" t="s">
        <v>1120</v>
      </c>
      <c r="I304" t="s">
        <v>38</v>
      </c>
      <c r="J304" t="s">
        <v>60</v>
      </c>
      <c r="M304" t="s">
        <v>40</v>
      </c>
      <c r="N304" t="s">
        <v>41</v>
      </c>
      <c r="O304" t="s">
        <v>42</v>
      </c>
      <c r="P304">
        <v>20</v>
      </c>
      <c r="Q304">
        <v>0</v>
      </c>
      <c r="R304">
        <v>0</v>
      </c>
      <c r="S304">
        <v>0</v>
      </c>
      <c r="T304">
        <v>5019066906</v>
      </c>
      <c r="U304" t="s">
        <v>44</v>
      </c>
      <c r="W304" t="s">
        <v>1121</v>
      </c>
      <c r="Y304">
        <v>0</v>
      </c>
      <c r="AA304" t="s">
        <v>40</v>
      </c>
      <c r="AB304" t="s">
        <v>46</v>
      </c>
      <c r="AC304" t="s">
        <v>47</v>
      </c>
      <c r="AF304" t="s">
        <v>133</v>
      </c>
      <c r="AJ304" t="s">
        <v>40</v>
      </c>
      <c r="AK304" t="s">
        <v>49</v>
      </c>
      <c r="AN304">
        <v>259555264</v>
      </c>
      <c r="AO304" s="1">
        <v>45939</v>
      </c>
      <c r="AP304" s="5">
        <v>0.25</v>
      </c>
      <c r="AS304">
        <v>1</v>
      </c>
    </row>
    <row r="305" spans="1:45" x14ac:dyDescent="0.2">
      <c r="A305">
        <f t="shared" si="18"/>
        <v>2025</v>
      </c>
      <c r="B305">
        <f t="shared" si="19"/>
        <v>10</v>
      </c>
      <c r="C305">
        <f t="shared" si="20"/>
        <v>41</v>
      </c>
      <c r="D305" s="2">
        <f t="shared" si="21"/>
        <v>45939</v>
      </c>
      <c r="E305" s="1">
        <v>45939.25</v>
      </c>
      <c r="F305" t="s">
        <v>1122</v>
      </c>
      <c r="G305" t="s">
        <v>36</v>
      </c>
      <c r="H305" t="s">
        <v>1123</v>
      </c>
      <c r="I305" t="s">
        <v>78</v>
      </c>
      <c r="J305" t="s">
        <v>52</v>
      </c>
      <c r="M305" t="s">
        <v>40</v>
      </c>
      <c r="N305" t="s">
        <v>41</v>
      </c>
      <c r="O305" t="s">
        <v>79</v>
      </c>
      <c r="P305">
        <v>66</v>
      </c>
      <c r="Q305">
        <v>0</v>
      </c>
      <c r="R305">
        <v>0</v>
      </c>
      <c r="S305">
        <v>0</v>
      </c>
      <c r="T305" t="s">
        <v>54</v>
      </c>
      <c r="U305" t="s">
        <v>55</v>
      </c>
      <c r="W305" t="s">
        <v>1124</v>
      </c>
      <c r="Y305">
        <v>0</v>
      </c>
      <c r="AA305" t="s">
        <v>40</v>
      </c>
      <c r="AB305" t="s">
        <v>46</v>
      </c>
      <c r="AC305" t="s">
        <v>47</v>
      </c>
      <c r="AD305" t="s">
        <v>81</v>
      </c>
      <c r="AE305" t="s">
        <v>81</v>
      </c>
      <c r="AG305" t="s">
        <v>1125</v>
      </c>
      <c r="AJ305" t="s">
        <v>40</v>
      </c>
      <c r="AK305" t="s">
        <v>1126</v>
      </c>
      <c r="AO305" s="1">
        <v>45939</v>
      </c>
      <c r="AP305" s="5">
        <v>0.25</v>
      </c>
      <c r="AS305">
        <v>1</v>
      </c>
    </row>
    <row r="306" spans="1:45" x14ac:dyDescent="0.2">
      <c r="A306">
        <f t="shared" si="18"/>
        <v>2025</v>
      </c>
      <c r="B306">
        <f t="shared" si="19"/>
        <v>10</v>
      </c>
      <c r="C306">
        <f t="shared" si="20"/>
        <v>41</v>
      </c>
      <c r="D306" s="2">
        <f t="shared" si="21"/>
        <v>45939</v>
      </c>
      <c r="E306" s="1">
        <v>45939.291666666664</v>
      </c>
      <c r="F306" t="s">
        <v>1127</v>
      </c>
      <c r="G306" t="s">
        <v>36</v>
      </c>
      <c r="H306" t="s">
        <v>253</v>
      </c>
      <c r="I306" t="s">
        <v>38</v>
      </c>
      <c r="J306" t="s">
        <v>254</v>
      </c>
      <c r="M306" t="s">
        <v>40</v>
      </c>
      <c r="N306" t="s">
        <v>41</v>
      </c>
      <c r="O306" t="s">
        <v>42</v>
      </c>
      <c r="P306">
        <v>1</v>
      </c>
      <c r="Q306">
        <v>0</v>
      </c>
      <c r="R306">
        <v>0</v>
      </c>
      <c r="S306">
        <v>0</v>
      </c>
      <c r="T306">
        <v>5019133950</v>
      </c>
      <c r="U306" t="s">
        <v>101</v>
      </c>
      <c r="W306" t="s">
        <v>1128</v>
      </c>
      <c r="Y306">
        <v>0</v>
      </c>
      <c r="AA306" t="s">
        <v>40</v>
      </c>
      <c r="AB306" t="s">
        <v>46</v>
      </c>
      <c r="AC306" t="s">
        <v>47</v>
      </c>
      <c r="AF306" t="s">
        <v>48</v>
      </c>
      <c r="AJ306" t="s">
        <v>40</v>
      </c>
      <c r="AK306" t="s">
        <v>49</v>
      </c>
      <c r="AO306" s="1">
        <v>45939</v>
      </c>
      <c r="AP306" s="5">
        <v>0.29166666666666669</v>
      </c>
      <c r="AS306">
        <v>1</v>
      </c>
    </row>
    <row r="307" spans="1:45" x14ac:dyDescent="0.2">
      <c r="A307">
        <f t="shared" si="18"/>
        <v>2025</v>
      </c>
      <c r="B307">
        <f t="shared" si="19"/>
        <v>10</v>
      </c>
      <c r="C307">
        <f t="shared" si="20"/>
        <v>41</v>
      </c>
      <c r="D307" s="2">
        <f t="shared" si="21"/>
        <v>45939</v>
      </c>
      <c r="E307" s="1">
        <v>45939.291666666664</v>
      </c>
      <c r="F307" t="s">
        <v>1129</v>
      </c>
      <c r="G307" t="s">
        <v>36</v>
      </c>
      <c r="H307" t="s">
        <v>1130</v>
      </c>
      <c r="I307" t="s">
        <v>218</v>
      </c>
      <c r="J307" t="s">
        <v>118</v>
      </c>
      <c r="M307" t="s">
        <v>40</v>
      </c>
      <c r="N307" t="s">
        <v>41</v>
      </c>
      <c r="O307" t="s">
        <v>1131</v>
      </c>
      <c r="P307">
        <v>99</v>
      </c>
      <c r="Q307">
        <v>0</v>
      </c>
      <c r="R307">
        <v>0</v>
      </c>
      <c r="S307">
        <v>0</v>
      </c>
      <c r="T307" t="s">
        <v>54</v>
      </c>
      <c r="U307" t="s">
        <v>233</v>
      </c>
      <c r="W307" t="s">
        <v>1132</v>
      </c>
      <c r="Y307">
        <v>0</v>
      </c>
      <c r="AA307" t="s">
        <v>40</v>
      </c>
      <c r="AB307" t="s">
        <v>46</v>
      </c>
      <c r="AC307" t="s">
        <v>47</v>
      </c>
      <c r="AD307" t="s">
        <v>223</v>
      </c>
      <c r="AE307" t="s">
        <v>223</v>
      </c>
      <c r="AG307" t="s">
        <v>1133</v>
      </c>
      <c r="AJ307" t="s">
        <v>40</v>
      </c>
      <c r="AK307" t="s">
        <v>1134</v>
      </c>
      <c r="AO307" s="1">
        <v>45939</v>
      </c>
      <c r="AP307" s="5">
        <v>0.29166666666666669</v>
      </c>
      <c r="AS307">
        <v>1</v>
      </c>
    </row>
    <row r="308" spans="1:45" x14ac:dyDescent="0.2">
      <c r="A308">
        <f t="shared" si="18"/>
        <v>2025</v>
      </c>
      <c r="B308">
        <f t="shared" si="19"/>
        <v>10</v>
      </c>
      <c r="C308">
        <f t="shared" si="20"/>
        <v>41</v>
      </c>
      <c r="D308" s="2">
        <f t="shared" si="21"/>
        <v>45939</v>
      </c>
      <c r="E308" s="1">
        <v>45939.291666666664</v>
      </c>
      <c r="F308" t="s">
        <v>1135</v>
      </c>
      <c r="G308" t="s">
        <v>36</v>
      </c>
      <c r="H308">
        <v>456912</v>
      </c>
      <c r="I308" t="s">
        <v>51</v>
      </c>
      <c r="J308" t="s">
        <v>52</v>
      </c>
      <c r="M308" t="s">
        <v>40</v>
      </c>
      <c r="N308" t="s">
        <v>41</v>
      </c>
      <c r="O308" t="s">
        <v>53</v>
      </c>
      <c r="P308">
        <v>33</v>
      </c>
      <c r="Q308">
        <v>0</v>
      </c>
      <c r="R308">
        <v>0</v>
      </c>
      <c r="S308">
        <v>0</v>
      </c>
      <c r="T308" t="s">
        <v>54</v>
      </c>
      <c r="U308" t="s">
        <v>55</v>
      </c>
      <c r="W308" t="s">
        <v>1136</v>
      </c>
      <c r="Y308">
        <v>0</v>
      </c>
      <c r="AA308" t="s">
        <v>40</v>
      </c>
      <c r="AB308" t="s">
        <v>46</v>
      </c>
      <c r="AC308" t="s">
        <v>47</v>
      </c>
      <c r="AG308" t="s">
        <v>1137</v>
      </c>
      <c r="AJ308" t="s">
        <v>40</v>
      </c>
      <c r="AK308">
        <v>5019051756</v>
      </c>
      <c r="AO308" s="1">
        <v>45939</v>
      </c>
      <c r="AP308" s="5">
        <v>0.29166666666666669</v>
      </c>
      <c r="AS308">
        <v>1</v>
      </c>
    </row>
    <row r="309" spans="1:45" x14ac:dyDescent="0.2">
      <c r="A309">
        <f t="shared" si="18"/>
        <v>2025</v>
      </c>
      <c r="B309">
        <f t="shared" si="19"/>
        <v>10</v>
      </c>
      <c r="C309">
        <f t="shared" si="20"/>
        <v>41</v>
      </c>
      <c r="D309" s="2">
        <f t="shared" si="21"/>
        <v>45939</v>
      </c>
      <c r="E309" s="1">
        <v>45939.291666666664</v>
      </c>
      <c r="F309" t="s">
        <v>1138</v>
      </c>
      <c r="G309" t="s">
        <v>36</v>
      </c>
      <c r="H309" t="s">
        <v>1139</v>
      </c>
      <c r="I309" t="s">
        <v>78</v>
      </c>
      <c r="J309" t="s">
        <v>52</v>
      </c>
      <c r="M309" t="s">
        <v>40</v>
      </c>
      <c r="N309" t="s">
        <v>41</v>
      </c>
      <c r="O309" t="s">
        <v>79</v>
      </c>
      <c r="P309">
        <v>66</v>
      </c>
      <c r="Q309">
        <v>0</v>
      </c>
      <c r="R309">
        <v>0</v>
      </c>
      <c r="S309">
        <v>0</v>
      </c>
      <c r="T309" t="s">
        <v>54</v>
      </c>
      <c r="U309" t="s">
        <v>55</v>
      </c>
      <c r="W309" t="s">
        <v>1124</v>
      </c>
      <c r="Y309">
        <v>0</v>
      </c>
      <c r="AA309" t="s">
        <v>40</v>
      </c>
      <c r="AB309" t="s">
        <v>46</v>
      </c>
      <c r="AC309" t="s">
        <v>47</v>
      </c>
      <c r="AD309" t="s">
        <v>81</v>
      </c>
      <c r="AE309" t="s">
        <v>81</v>
      </c>
      <c r="AG309" t="s">
        <v>1140</v>
      </c>
      <c r="AJ309" t="s">
        <v>40</v>
      </c>
      <c r="AK309" t="s">
        <v>1141</v>
      </c>
      <c r="AO309" s="1">
        <v>45939</v>
      </c>
      <c r="AP309" s="5">
        <v>0.29166666666666669</v>
      </c>
      <c r="AS309">
        <v>1</v>
      </c>
    </row>
    <row r="310" spans="1:45" x14ac:dyDescent="0.2">
      <c r="A310">
        <f t="shared" si="18"/>
        <v>2025</v>
      </c>
      <c r="B310">
        <f t="shared" si="19"/>
        <v>10</v>
      </c>
      <c r="C310">
        <f t="shared" si="20"/>
        <v>41</v>
      </c>
      <c r="D310" s="2">
        <f t="shared" si="21"/>
        <v>45939</v>
      </c>
      <c r="E310" s="1">
        <v>45939.333333333336</v>
      </c>
      <c r="F310" t="s">
        <v>1142</v>
      </c>
      <c r="G310" t="s">
        <v>36</v>
      </c>
      <c r="H310" t="s">
        <v>264</v>
      </c>
      <c r="I310" t="s">
        <v>38</v>
      </c>
      <c r="J310" t="s">
        <v>265</v>
      </c>
      <c r="M310" t="s">
        <v>40</v>
      </c>
      <c r="N310" t="s">
        <v>41</v>
      </c>
      <c r="O310" t="s">
        <v>42</v>
      </c>
      <c r="P310">
        <v>23</v>
      </c>
      <c r="Q310">
        <v>0</v>
      </c>
      <c r="R310">
        <v>0</v>
      </c>
      <c r="S310">
        <v>0</v>
      </c>
      <c r="T310" t="s">
        <v>1143</v>
      </c>
      <c r="U310" t="s">
        <v>55</v>
      </c>
      <c r="W310" t="s">
        <v>580</v>
      </c>
      <c r="Y310">
        <v>0</v>
      </c>
      <c r="AA310" t="s">
        <v>40</v>
      </c>
      <c r="AB310" t="s">
        <v>46</v>
      </c>
      <c r="AC310" t="s">
        <v>47</v>
      </c>
      <c r="AF310" t="s">
        <v>48</v>
      </c>
      <c r="AJ310" t="s">
        <v>40</v>
      </c>
      <c r="AK310" t="s">
        <v>49</v>
      </c>
      <c r="AO310" s="1">
        <v>45939</v>
      </c>
      <c r="AP310" s="5">
        <v>0.33333333333333331</v>
      </c>
      <c r="AS310">
        <v>1</v>
      </c>
    </row>
    <row r="311" spans="1:45" x14ac:dyDescent="0.2">
      <c r="A311">
        <f t="shared" si="18"/>
        <v>2025</v>
      </c>
      <c r="B311">
        <f t="shared" si="19"/>
        <v>10</v>
      </c>
      <c r="C311">
        <f t="shared" si="20"/>
        <v>41</v>
      </c>
      <c r="D311" s="2">
        <f t="shared" si="21"/>
        <v>45939</v>
      </c>
      <c r="E311" s="1">
        <v>45939.333333333336</v>
      </c>
      <c r="F311" t="s">
        <v>1144</v>
      </c>
      <c r="G311" t="s">
        <v>36</v>
      </c>
      <c r="H311" t="s">
        <v>1145</v>
      </c>
      <c r="I311" t="s">
        <v>38</v>
      </c>
      <c r="J311" t="s">
        <v>60</v>
      </c>
      <c r="M311" t="s">
        <v>40</v>
      </c>
      <c r="N311" t="s">
        <v>41</v>
      </c>
      <c r="O311" t="s">
        <v>42</v>
      </c>
      <c r="P311">
        <v>20</v>
      </c>
      <c r="Q311">
        <v>0</v>
      </c>
      <c r="R311">
        <v>0</v>
      </c>
      <c r="S311">
        <v>0</v>
      </c>
      <c r="T311">
        <v>5019080566</v>
      </c>
      <c r="U311" t="s">
        <v>44</v>
      </c>
      <c r="W311" t="s">
        <v>1146</v>
      </c>
      <c r="Y311">
        <v>0</v>
      </c>
      <c r="AA311" t="s">
        <v>40</v>
      </c>
      <c r="AB311" t="s">
        <v>46</v>
      </c>
      <c r="AC311" t="s">
        <v>47</v>
      </c>
      <c r="AF311" t="s">
        <v>62</v>
      </c>
      <c r="AJ311" t="s">
        <v>40</v>
      </c>
      <c r="AK311" t="s">
        <v>49</v>
      </c>
      <c r="AN311">
        <v>259610766</v>
      </c>
      <c r="AO311" s="1">
        <v>45939</v>
      </c>
      <c r="AP311" s="5">
        <v>0.33333333333333331</v>
      </c>
      <c r="AS311">
        <v>1</v>
      </c>
    </row>
    <row r="312" spans="1:45" x14ac:dyDescent="0.2">
      <c r="A312">
        <f t="shared" si="18"/>
        <v>2025</v>
      </c>
      <c r="B312">
        <f t="shared" si="19"/>
        <v>10</v>
      </c>
      <c r="C312">
        <f t="shared" si="20"/>
        <v>41</v>
      </c>
      <c r="D312" s="2">
        <f t="shared" si="21"/>
        <v>45939</v>
      </c>
      <c r="E312" s="1">
        <v>45939.375</v>
      </c>
      <c r="F312" t="s">
        <v>1147</v>
      </c>
      <c r="G312" t="s">
        <v>36</v>
      </c>
      <c r="H312" t="s">
        <v>1148</v>
      </c>
      <c r="I312" t="s">
        <v>78</v>
      </c>
      <c r="J312" t="s">
        <v>52</v>
      </c>
      <c r="M312" t="s">
        <v>40</v>
      </c>
      <c r="N312" t="s">
        <v>41</v>
      </c>
      <c r="O312" t="s">
        <v>1149</v>
      </c>
      <c r="P312">
        <v>66</v>
      </c>
      <c r="Q312">
        <v>0</v>
      </c>
      <c r="R312">
        <v>0</v>
      </c>
      <c r="S312">
        <v>0</v>
      </c>
      <c r="T312" t="s">
        <v>54</v>
      </c>
      <c r="U312" t="s">
        <v>55</v>
      </c>
      <c r="W312" t="s">
        <v>1150</v>
      </c>
      <c r="Y312">
        <v>0</v>
      </c>
      <c r="AA312" t="s">
        <v>40</v>
      </c>
      <c r="AB312" t="s">
        <v>46</v>
      </c>
      <c r="AC312" t="s">
        <v>47</v>
      </c>
      <c r="AD312" t="s">
        <v>81</v>
      </c>
      <c r="AE312" t="s">
        <v>81</v>
      </c>
      <c r="AG312" t="s">
        <v>1151</v>
      </c>
      <c r="AJ312" t="s">
        <v>40</v>
      </c>
      <c r="AK312" t="s">
        <v>1152</v>
      </c>
      <c r="AO312" s="1">
        <v>45939</v>
      </c>
      <c r="AP312" s="5">
        <v>0.375</v>
      </c>
      <c r="AS312">
        <v>1</v>
      </c>
    </row>
    <row r="313" spans="1:45" x14ac:dyDescent="0.2">
      <c r="A313">
        <f t="shared" si="18"/>
        <v>2025</v>
      </c>
      <c r="B313">
        <f t="shared" si="19"/>
        <v>10</v>
      </c>
      <c r="C313">
        <f t="shared" si="20"/>
        <v>41</v>
      </c>
      <c r="D313" s="2">
        <f t="shared" si="21"/>
        <v>45939</v>
      </c>
      <c r="E313" s="1">
        <v>45939.375</v>
      </c>
      <c r="F313" t="s">
        <v>1153</v>
      </c>
      <c r="G313" t="s">
        <v>36</v>
      </c>
      <c r="H313">
        <v>453320</v>
      </c>
      <c r="I313" t="s">
        <v>51</v>
      </c>
      <c r="J313" t="s">
        <v>188</v>
      </c>
      <c r="M313" t="s">
        <v>40</v>
      </c>
      <c r="N313" t="s">
        <v>41</v>
      </c>
      <c r="O313" t="s">
        <v>1154</v>
      </c>
      <c r="P313">
        <v>33</v>
      </c>
      <c r="Q313">
        <v>0</v>
      </c>
      <c r="R313">
        <v>0</v>
      </c>
      <c r="S313">
        <v>0</v>
      </c>
      <c r="T313" t="s">
        <v>54</v>
      </c>
      <c r="U313" t="s">
        <v>44</v>
      </c>
      <c r="W313" t="s">
        <v>1155</v>
      </c>
      <c r="Y313">
        <v>0</v>
      </c>
      <c r="AA313" t="s">
        <v>40</v>
      </c>
      <c r="AB313" t="s">
        <v>46</v>
      </c>
      <c r="AC313" t="s">
        <v>47</v>
      </c>
      <c r="AG313" t="s">
        <v>1156</v>
      </c>
      <c r="AJ313" t="s">
        <v>40</v>
      </c>
      <c r="AK313">
        <v>5019116478</v>
      </c>
      <c r="AO313" s="1">
        <v>45939</v>
      </c>
      <c r="AP313" s="5">
        <v>0.375</v>
      </c>
      <c r="AS313">
        <v>1</v>
      </c>
    </row>
    <row r="314" spans="1:45" x14ac:dyDescent="0.2">
      <c r="A314">
        <f t="shared" si="18"/>
        <v>2025</v>
      </c>
      <c r="B314">
        <f t="shared" si="19"/>
        <v>10</v>
      </c>
      <c r="C314">
        <f t="shared" si="20"/>
        <v>41</v>
      </c>
      <c r="D314" s="2">
        <f t="shared" si="21"/>
        <v>45939</v>
      </c>
      <c r="E314" s="1">
        <v>45939.375</v>
      </c>
      <c r="F314" t="s">
        <v>1157</v>
      </c>
      <c r="G314" t="s">
        <v>36</v>
      </c>
      <c r="H314" t="s">
        <v>1158</v>
      </c>
      <c r="I314" t="s">
        <v>38</v>
      </c>
      <c r="J314" t="s">
        <v>60</v>
      </c>
      <c r="M314" t="s">
        <v>40</v>
      </c>
      <c r="N314" t="s">
        <v>41</v>
      </c>
      <c r="O314" t="s">
        <v>42</v>
      </c>
      <c r="P314">
        <v>20</v>
      </c>
      <c r="Q314">
        <v>0</v>
      </c>
      <c r="R314">
        <v>0</v>
      </c>
      <c r="S314">
        <v>0</v>
      </c>
      <c r="T314" t="s">
        <v>1159</v>
      </c>
      <c r="U314" t="s">
        <v>44</v>
      </c>
      <c r="W314" t="s">
        <v>1146</v>
      </c>
      <c r="Y314">
        <v>0</v>
      </c>
      <c r="AA314" t="s">
        <v>40</v>
      </c>
      <c r="AB314" t="s">
        <v>46</v>
      </c>
      <c r="AC314" t="s">
        <v>47</v>
      </c>
      <c r="AF314" t="s">
        <v>62</v>
      </c>
      <c r="AJ314" t="s">
        <v>40</v>
      </c>
      <c r="AK314" t="s">
        <v>49</v>
      </c>
      <c r="AN314">
        <v>259610766</v>
      </c>
      <c r="AO314" s="1">
        <v>45939</v>
      </c>
      <c r="AP314" s="5">
        <v>0.375</v>
      </c>
      <c r="AS314">
        <v>1</v>
      </c>
    </row>
    <row r="315" spans="1:45" x14ac:dyDescent="0.2">
      <c r="A315">
        <f t="shared" si="18"/>
        <v>2025</v>
      </c>
      <c r="B315">
        <f t="shared" si="19"/>
        <v>10</v>
      </c>
      <c r="C315">
        <f t="shared" si="20"/>
        <v>41</v>
      </c>
      <c r="D315" s="2">
        <f t="shared" si="21"/>
        <v>45939</v>
      </c>
      <c r="E315" s="1">
        <v>45939.416666666664</v>
      </c>
      <c r="F315" t="s">
        <v>1160</v>
      </c>
      <c r="G315" t="s">
        <v>36</v>
      </c>
      <c r="H315" t="s">
        <v>663</v>
      </c>
      <c r="I315" t="s">
        <v>38</v>
      </c>
      <c r="J315" t="s">
        <v>265</v>
      </c>
      <c r="M315" t="s">
        <v>40</v>
      </c>
      <c r="N315" t="s">
        <v>41</v>
      </c>
      <c r="O315" t="s">
        <v>42</v>
      </c>
      <c r="P315">
        <v>32</v>
      </c>
      <c r="Q315">
        <v>0</v>
      </c>
      <c r="R315">
        <v>0</v>
      </c>
      <c r="S315">
        <v>0</v>
      </c>
      <c r="T315">
        <v>90021286</v>
      </c>
      <c r="U315" t="s">
        <v>44</v>
      </c>
      <c r="W315" t="s">
        <v>1051</v>
      </c>
      <c r="Y315">
        <v>0</v>
      </c>
      <c r="AA315" t="s">
        <v>40</v>
      </c>
      <c r="AB315" t="s">
        <v>46</v>
      </c>
      <c r="AC315" t="s">
        <v>47</v>
      </c>
      <c r="AF315" t="s">
        <v>664</v>
      </c>
      <c r="AJ315" t="s">
        <v>40</v>
      </c>
      <c r="AK315" t="s">
        <v>49</v>
      </c>
      <c r="AO315" s="1">
        <v>45939</v>
      </c>
      <c r="AP315" s="5">
        <v>0.41666666666666669</v>
      </c>
      <c r="AS315">
        <v>1</v>
      </c>
    </row>
    <row r="316" spans="1:45" x14ac:dyDescent="0.2">
      <c r="A316">
        <f t="shared" si="18"/>
        <v>2025</v>
      </c>
      <c r="B316">
        <f t="shared" si="19"/>
        <v>10</v>
      </c>
      <c r="C316">
        <f t="shared" si="20"/>
        <v>41</v>
      </c>
      <c r="D316" s="2">
        <f t="shared" si="21"/>
        <v>45939</v>
      </c>
      <c r="E316" s="1">
        <v>45939.416666666664</v>
      </c>
      <c r="F316" t="s">
        <v>1161</v>
      </c>
      <c r="G316" t="s">
        <v>36</v>
      </c>
      <c r="H316" t="s">
        <v>1162</v>
      </c>
      <c r="I316" t="s">
        <v>38</v>
      </c>
      <c r="J316" t="s">
        <v>60</v>
      </c>
      <c r="M316" t="s">
        <v>40</v>
      </c>
      <c r="N316" t="s">
        <v>41</v>
      </c>
      <c r="O316" t="s">
        <v>42</v>
      </c>
      <c r="P316">
        <v>20</v>
      </c>
      <c r="Q316">
        <v>0</v>
      </c>
      <c r="R316">
        <v>0</v>
      </c>
      <c r="S316">
        <v>0</v>
      </c>
      <c r="T316" t="s">
        <v>1163</v>
      </c>
      <c r="U316" t="s">
        <v>44</v>
      </c>
      <c r="W316" t="s">
        <v>1146</v>
      </c>
      <c r="Y316">
        <v>0</v>
      </c>
      <c r="AA316" t="s">
        <v>40</v>
      </c>
      <c r="AB316" t="s">
        <v>46</v>
      </c>
      <c r="AC316" t="s">
        <v>47</v>
      </c>
      <c r="AF316" t="s">
        <v>62</v>
      </c>
      <c r="AJ316" t="s">
        <v>40</v>
      </c>
      <c r="AK316" t="s">
        <v>49</v>
      </c>
      <c r="AN316">
        <v>260168459</v>
      </c>
      <c r="AO316" s="1">
        <v>45939</v>
      </c>
      <c r="AP316" s="5">
        <v>0.41666666666666669</v>
      </c>
      <c r="AS316">
        <v>1</v>
      </c>
    </row>
    <row r="317" spans="1:45" x14ac:dyDescent="0.2">
      <c r="A317">
        <f t="shared" si="18"/>
        <v>2025</v>
      </c>
      <c r="B317">
        <f t="shared" si="19"/>
        <v>10</v>
      </c>
      <c r="C317">
        <f t="shared" si="20"/>
        <v>41</v>
      </c>
      <c r="D317" s="2">
        <f t="shared" si="21"/>
        <v>45939</v>
      </c>
      <c r="E317" s="1">
        <v>45939.416666666664</v>
      </c>
      <c r="F317" t="s">
        <v>1164</v>
      </c>
      <c r="G317" t="s">
        <v>36</v>
      </c>
      <c r="H317">
        <v>454248</v>
      </c>
      <c r="I317" t="s">
        <v>51</v>
      </c>
      <c r="J317" t="s">
        <v>52</v>
      </c>
      <c r="M317" t="s">
        <v>40</v>
      </c>
      <c r="N317" t="s">
        <v>41</v>
      </c>
      <c r="O317" t="s">
        <v>53</v>
      </c>
      <c r="P317">
        <v>33</v>
      </c>
      <c r="Q317">
        <v>0</v>
      </c>
      <c r="R317">
        <v>0</v>
      </c>
      <c r="S317">
        <v>0</v>
      </c>
      <c r="T317" t="s">
        <v>54</v>
      </c>
      <c r="U317" t="s">
        <v>55</v>
      </c>
      <c r="W317" t="s">
        <v>1136</v>
      </c>
      <c r="Y317">
        <v>0</v>
      </c>
      <c r="AA317" t="s">
        <v>40</v>
      </c>
      <c r="AB317" t="s">
        <v>46</v>
      </c>
      <c r="AC317" t="s">
        <v>47</v>
      </c>
      <c r="AG317" t="s">
        <v>1165</v>
      </c>
      <c r="AJ317" t="s">
        <v>40</v>
      </c>
      <c r="AK317">
        <v>5019116351</v>
      </c>
      <c r="AO317" s="1">
        <v>45939</v>
      </c>
      <c r="AP317" s="5">
        <v>0.41666666666666669</v>
      </c>
      <c r="AS317">
        <v>1</v>
      </c>
    </row>
    <row r="318" spans="1:45" x14ac:dyDescent="0.2">
      <c r="A318">
        <f t="shared" si="18"/>
        <v>2025</v>
      </c>
      <c r="B318">
        <f t="shared" si="19"/>
        <v>10</v>
      </c>
      <c r="C318">
        <f t="shared" si="20"/>
        <v>41</v>
      </c>
      <c r="D318" s="2">
        <f t="shared" si="21"/>
        <v>45939</v>
      </c>
      <c r="E318" s="1">
        <v>45939.416666666664</v>
      </c>
      <c r="F318" t="s">
        <v>1166</v>
      </c>
      <c r="G318" t="s">
        <v>36</v>
      </c>
      <c r="H318" t="s">
        <v>1167</v>
      </c>
      <c r="I318" t="s">
        <v>38</v>
      </c>
      <c r="J318" t="s">
        <v>1168</v>
      </c>
      <c r="M318" t="s">
        <v>40</v>
      </c>
      <c r="N318" t="s">
        <v>41</v>
      </c>
      <c r="O318" t="s">
        <v>42</v>
      </c>
      <c r="P318">
        <v>33</v>
      </c>
      <c r="Q318">
        <v>0</v>
      </c>
      <c r="R318">
        <v>0</v>
      </c>
      <c r="S318">
        <v>0</v>
      </c>
      <c r="T318">
        <v>5019075771</v>
      </c>
      <c r="U318" t="s">
        <v>44</v>
      </c>
      <c r="W318" t="s">
        <v>1051</v>
      </c>
      <c r="Y318">
        <v>0</v>
      </c>
      <c r="AA318" t="s">
        <v>40</v>
      </c>
      <c r="AB318" t="s">
        <v>46</v>
      </c>
      <c r="AC318" t="s">
        <v>47</v>
      </c>
      <c r="AF318" t="s">
        <v>1169</v>
      </c>
      <c r="AJ318" t="s">
        <v>40</v>
      </c>
      <c r="AK318" t="s">
        <v>49</v>
      </c>
      <c r="AO318" s="1">
        <v>45939</v>
      </c>
      <c r="AP318" s="5">
        <v>0.41666666666666669</v>
      </c>
      <c r="AS318">
        <v>1</v>
      </c>
    </row>
    <row r="319" spans="1:45" x14ac:dyDescent="0.2">
      <c r="A319">
        <f t="shared" si="18"/>
        <v>2025</v>
      </c>
      <c r="B319">
        <f t="shared" si="19"/>
        <v>10</v>
      </c>
      <c r="C319">
        <f t="shared" si="20"/>
        <v>41</v>
      </c>
      <c r="D319" s="2">
        <f t="shared" si="21"/>
        <v>45939</v>
      </c>
      <c r="E319" s="1">
        <v>45939.458333333336</v>
      </c>
      <c r="F319" t="s">
        <v>1170</v>
      </c>
      <c r="G319" t="s">
        <v>36</v>
      </c>
      <c r="H319" t="s">
        <v>1171</v>
      </c>
      <c r="I319" t="s">
        <v>38</v>
      </c>
      <c r="J319" t="s">
        <v>1172</v>
      </c>
      <c r="M319" t="s">
        <v>40</v>
      </c>
      <c r="N319" t="s">
        <v>41</v>
      </c>
      <c r="O319" t="s">
        <v>42</v>
      </c>
      <c r="P319">
        <v>24</v>
      </c>
      <c r="Q319">
        <v>0</v>
      </c>
      <c r="R319">
        <v>0</v>
      </c>
      <c r="S319">
        <v>0</v>
      </c>
      <c r="T319">
        <v>5019062487</v>
      </c>
      <c r="U319" t="s">
        <v>44</v>
      </c>
      <c r="W319" t="s">
        <v>1051</v>
      </c>
      <c r="Y319">
        <v>0</v>
      </c>
      <c r="AA319" t="s">
        <v>40</v>
      </c>
      <c r="AB319" t="s">
        <v>46</v>
      </c>
      <c r="AC319" t="s">
        <v>47</v>
      </c>
      <c r="AF319" t="s">
        <v>1173</v>
      </c>
      <c r="AJ319" t="s">
        <v>40</v>
      </c>
      <c r="AK319" t="s">
        <v>49</v>
      </c>
      <c r="AO319" s="1">
        <v>45939</v>
      </c>
      <c r="AP319" s="5">
        <v>0.45833333333333331</v>
      </c>
      <c r="AS319">
        <v>1</v>
      </c>
    </row>
    <row r="320" spans="1:45" x14ac:dyDescent="0.2">
      <c r="A320">
        <f t="shared" si="18"/>
        <v>2025</v>
      </c>
      <c r="B320">
        <f t="shared" si="19"/>
        <v>10</v>
      </c>
      <c r="C320">
        <f t="shared" si="20"/>
        <v>41</v>
      </c>
      <c r="D320" s="2">
        <f t="shared" si="21"/>
        <v>45939</v>
      </c>
      <c r="E320" s="1">
        <v>45939.458333333336</v>
      </c>
      <c r="F320" t="s">
        <v>1174</v>
      </c>
      <c r="G320" t="s">
        <v>36</v>
      </c>
      <c r="H320" t="s">
        <v>37</v>
      </c>
      <c r="I320" t="s">
        <v>38</v>
      </c>
      <c r="J320" t="s">
        <v>112</v>
      </c>
      <c r="M320" t="s">
        <v>40</v>
      </c>
      <c r="N320" t="s">
        <v>41</v>
      </c>
      <c r="O320" t="s">
        <v>42</v>
      </c>
      <c r="P320">
        <v>23</v>
      </c>
      <c r="Q320">
        <v>0</v>
      </c>
      <c r="R320">
        <v>0</v>
      </c>
      <c r="S320">
        <v>0</v>
      </c>
      <c r="T320" t="s">
        <v>1175</v>
      </c>
      <c r="U320" t="s">
        <v>44</v>
      </c>
      <c r="W320" t="s">
        <v>580</v>
      </c>
      <c r="Y320">
        <v>0</v>
      </c>
      <c r="AA320" t="s">
        <v>40</v>
      </c>
      <c r="AB320" t="s">
        <v>46</v>
      </c>
      <c r="AC320" t="s">
        <v>47</v>
      </c>
      <c r="AF320" t="s">
        <v>48</v>
      </c>
      <c r="AJ320" t="s">
        <v>40</v>
      </c>
      <c r="AK320" t="s">
        <v>49</v>
      </c>
      <c r="AO320" s="1">
        <v>45939</v>
      </c>
      <c r="AP320" s="5">
        <v>0.45833333333333331</v>
      </c>
      <c r="AS320">
        <v>1</v>
      </c>
    </row>
    <row r="321" spans="1:45" x14ac:dyDescent="0.2">
      <c r="A321">
        <f t="shared" si="18"/>
        <v>2025</v>
      </c>
      <c r="B321">
        <f t="shared" si="19"/>
        <v>10</v>
      </c>
      <c r="C321">
        <f t="shared" si="20"/>
        <v>41</v>
      </c>
      <c r="D321" s="2">
        <f t="shared" si="21"/>
        <v>45939</v>
      </c>
      <c r="E321" s="1">
        <v>45939.458333333336</v>
      </c>
      <c r="F321" t="s">
        <v>1176</v>
      </c>
      <c r="G321" t="s">
        <v>36</v>
      </c>
      <c r="H321" t="s">
        <v>1177</v>
      </c>
      <c r="I321" t="s">
        <v>38</v>
      </c>
      <c r="J321" t="s">
        <v>99</v>
      </c>
      <c r="M321" t="s">
        <v>40</v>
      </c>
      <c r="N321" t="s">
        <v>41</v>
      </c>
      <c r="O321" t="s">
        <v>42</v>
      </c>
      <c r="P321">
        <v>2</v>
      </c>
      <c r="Q321">
        <v>0</v>
      </c>
      <c r="R321">
        <v>0</v>
      </c>
      <c r="S321">
        <v>0</v>
      </c>
      <c r="T321" t="s">
        <v>1178</v>
      </c>
      <c r="U321" t="s">
        <v>101</v>
      </c>
      <c r="W321" t="s">
        <v>1102</v>
      </c>
      <c r="Y321">
        <v>0</v>
      </c>
      <c r="AA321" t="s">
        <v>40</v>
      </c>
      <c r="AB321" t="s">
        <v>46</v>
      </c>
      <c r="AC321" t="s">
        <v>47</v>
      </c>
      <c r="AF321" t="s">
        <v>367</v>
      </c>
      <c r="AJ321" t="s">
        <v>40</v>
      </c>
      <c r="AK321" t="s">
        <v>49</v>
      </c>
      <c r="AM321" t="s">
        <v>1179</v>
      </c>
      <c r="AN321" t="s">
        <v>1180</v>
      </c>
      <c r="AO321" s="1">
        <v>45939</v>
      </c>
      <c r="AP321" s="5">
        <v>0.45833333333333331</v>
      </c>
      <c r="AS321">
        <v>1</v>
      </c>
    </row>
    <row r="322" spans="1:45" x14ac:dyDescent="0.2">
      <c r="A322">
        <f t="shared" ref="A322:A385" si="22">YEAR(D322)</f>
        <v>2025</v>
      </c>
      <c r="B322">
        <f t="shared" ref="B322:B385" si="23">MONTH(D322)</f>
        <v>10</v>
      </c>
      <c r="C322">
        <f t="shared" ref="C322:C385" si="24">WEEKNUM(D322)</f>
        <v>41</v>
      </c>
      <c r="D322" s="2">
        <f t="shared" ref="D322:D385" si="25">INT(E322)</f>
        <v>45939</v>
      </c>
      <c r="E322" s="1">
        <v>45939.458333333336</v>
      </c>
      <c r="F322" t="s">
        <v>1181</v>
      </c>
      <c r="G322" t="s">
        <v>36</v>
      </c>
      <c r="H322">
        <v>454255</v>
      </c>
      <c r="I322" t="s">
        <v>51</v>
      </c>
      <c r="J322" t="s">
        <v>52</v>
      </c>
      <c r="M322" t="s">
        <v>40</v>
      </c>
      <c r="N322" t="s">
        <v>41</v>
      </c>
      <c r="O322" t="s">
        <v>53</v>
      </c>
      <c r="P322">
        <v>33</v>
      </c>
      <c r="Q322">
        <v>0</v>
      </c>
      <c r="R322">
        <v>0</v>
      </c>
      <c r="S322">
        <v>0</v>
      </c>
      <c r="T322" t="s">
        <v>54</v>
      </c>
      <c r="U322" t="s">
        <v>55</v>
      </c>
      <c r="W322" t="s">
        <v>1136</v>
      </c>
      <c r="Y322">
        <v>0</v>
      </c>
      <c r="AA322" t="s">
        <v>40</v>
      </c>
      <c r="AB322" t="s">
        <v>46</v>
      </c>
      <c r="AC322" t="s">
        <v>47</v>
      </c>
      <c r="AG322" t="s">
        <v>1182</v>
      </c>
      <c r="AJ322" t="s">
        <v>40</v>
      </c>
      <c r="AK322">
        <v>5019115507</v>
      </c>
      <c r="AO322" s="1">
        <v>45939</v>
      </c>
      <c r="AP322" s="5">
        <v>0.45833333333333331</v>
      </c>
      <c r="AS322">
        <v>1</v>
      </c>
    </row>
    <row r="323" spans="1:45" x14ac:dyDescent="0.2">
      <c r="A323">
        <f t="shared" si="22"/>
        <v>2025</v>
      </c>
      <c r="B323">
        <f t="shared" si="23"/>
        <v>10</v>
      </c>
      <c r="C323">
        <f t="shared" si="24"/>
        <v>41</v>
      </c>
      <c r="D323" s="2">
        <f t="shared" si="25"/>
        <v>45939</v>
      </c>
      <c r="E323" s="1">
        <v>45939.5</v>
      </c>
      <c r="F323" t="s">
        <v>1183</v>
      </c>
      <c r="G323" t="s">
        <v>36</v>
      </c>
      <c r="H323">
        <v>456803</v>
      </c>
      <c r="I323" t="s">
        <v>51</v>
      </c>
      <c r="J323" t="s">
        <v>52</v>
      </c>
      <c r="M323" t="s">
        <v>40</v>
      </c>
      <c r="N323" t="s">
        <v>41</v>
      </c>
      <c r="O323" t="s">
        <v>53</v>
      </c>
      <c r="P323">
        <v>33</v>
      </c>
      <c r="Q323">
        <v>0</v>
      </c>
      <c r="R323">
        <v>0</v>
      </c>
      <c r="S323">
        <v>0</v>
      </c>
      <c r="T323" t="s">
        <v>54</v>
      </c>
      <c r="U323" t="s">
        <v>55</v>
      </c>
      <c r="W323" t="s">
        <v>1136</v>
      </c>
      <c r="Y323">
        <v>0</v>
      </c>
      <c r="AA323" t="s">
        <v>40</v>
      </c>
      <c r="AB323" t="s">
        <v>46</v>
      </c>
      <c r="AC323" t="s">
        <v>47</v>
      </c>
      <c r="AG323" t="s">
        <v>1184</v>
      </c>
      <c r="AJ323" t="s">
        <v>40</v>
      </c>
      <c r="AK323">
        <v>5019111838</v>
      </c>
      <c r="AO323" s="1">
        <v>45939</v>
      </c>
      <c r="AP323" s="5">
        <v>0.5</v>
      </c>
      <c r="AS323">
        <v>1</v>
      </c>
    </row>
    <row r="324" spans="1:45" x14ac:dyDescent="0.2">
      <c r="A324">
        <f t="shared" si="22"/>
        <v>2025</v>
      </c>
      <c r="B324">
        <f t="shared" si="23"/>
        <v>10</v>
      </c>
      <c r="C324">
        <f t="shared" si="24"/>
        <v>41</v>
      </c>
      <c r="D324" s="2">
        <f t="shared" si="25"/>
        <v>45939</v>
      </c>
      <c r="E324" s="1">
        <v>45939.5</v>
      </c>
      <c r="F324" t="s">
        <v>1185</v>
      </c>
      <c r="G324" t="s">
        <v>36</v>
      </c>
      <c r="H324" t="s">
        <v>106</v>
      </c>
      <c r="I324" t="s">
        <v>38</v>
      </c>
      <c r="J324" t="s">
        <v>107</v>
      </c>
      <c r="M324" t="s">
        <v>40</v>
      </c>
      <c r="N324" t="s">
        <v>41</v>
      </c>
      <c r="O324" t="s">
        <v>42</v>
      </c>
      <c r="P324">
        <v>33</v>
      </c>
      <c r="Q324">
        <v>0</v>
      </c>
      <c r="R324">
        <v>0</v>
      </c>
      <c r="S324">
        <v>0</v>
      </c>
      <c r="T324">
        <v>5019120750</v>
      </c>
      <c r="U324" t="s">
        <v>44</v>
      </c>
      <c r="W324" t="s">
        <v>1051</v>
      </c>
      <c r="Y324">
        <v>0</v>
      </c>
      <c r="AA324" t="s">
        <v>40</v>
      </c>
      <c r="AB324" t="s">
        <v>46</v>
      </c>
      <c r="AC324" t="s">
        <v>47</v>
      </c>
      <c r="AF324" t="s">
        <v>109</v>
      </c>
      <c r="AJ324" t="s">
        <v>40</v>
      </c>
      <c r="AK324" t="s">
        <v>49</v>
      </c>
      <c r="AO324" s="1">
        <v>45939</v>
      </c>
      <c r="AP324" s="5">
        <v>0.5</v>
      </c>
      <c r="AS324">
        <v>1</v>
      </c>
    </row>
    <row r="325" spans="1:45" x14ac:dyDescent="0.2">
      <c r="A325">
        <f t="shared" si="22"/>
        <v>2025</v>
      </c>
      <c r="B325">
        <f t="shared" si="23"/>
        <v>10</v>
      </c>
      <c r="C325">
        <f t="shared" si="24"/>
        <v>41</v>
      </c>
      <c r="D325" s="2">
        <f t="shared" si="25"/>
        <v>45939</v>
      </c>
      <c r="E325" s="1">
        <v>45939.5</v>
      </c>
      <c r="F325" t="s">
        <v>1186</v>
      </c>
      <c r="G325" t="s">
        <v>36</v>
      </c>
      <c r="H325">
        <v>451373</v>
      </c>
      <c r="I325" t="s">
        <v>51</v>
      </c>
      <c r="J325" t="s">
        <v>188</v>
      </c>
      <c r="M325" t="s">
        <v>40</v>
      </c>
      <c r="N325" t="s">
        <v>41</v>
      </c>
      <c r="O325" t="s">
        <v>189</v>
      </c>
      <c r="P325">
        <v>33</v>
      </c>
      <c r="Q325">
        <v>0</v>
      </c>
      <c r="R325">
        <v>0</v>
      </c>
      <c r="S325">
        <v>0</v>
      </c>
      <c r="T325" t="s">
        <v>54</v>
      </c>
      <c r="U325" t="s">
        <v>55</v>
      </c>
      <c r="W325" t="s">
        <v>1187</v>
      </c>
      <c r="Y325">
        <v>0</v>
      </c>
      <c r="AA325" t="s">
        <v>40</v>
      </c>
      <c r="AB325" t="s">
        <v>46</v>
      </c>
      <c r="AC325" t="s">
        <v>47</v>
      </c>
      <c r="AG325" t="s">
        <v>1188</v>
      </c>
      <c r="AJ325" t="s">
        <v>40</v>
      </c>
      <c r="AK325">
        <v>5019135044</v>
      </c>
      <c r="AO325" s="1">
        <v>45939</v>
      </c>
      <c r="AP325" s="5">
        <v>0.5</v>
      </c>
      <c r="AS325">
        <v>1</v>
      </c>
    </row>
    <row r="326" spans="1:45" x14ac:dyDescent="0.2">
      <c r="A326">
        <f t="shared" si="22"/>
        <v>2025</v>
      </c>
      <c r="B326">
        <f t="shared" si="23"/>
        <v>10</v>
      </c>
      <c r="C326">
        <f t="shared" si="24"/>
        <v>41</v>
      </c>
      <c r="D326" s="2">
        <f t="shared" si="25"/>
        <v>45939</v>
      </c>
      <c r="E326" s="1">
        <v>45939.5</v>
      </c>
      <c r="F326" t="s">
        <v>1189</v>
      </c>
      <c r="G326" t="s">
        <v>36</v>
      </c>
      <c r="H326" t="s">
        <v>37</v>
      </c>
      <c r="I326" t="s">
        <v>38</v>
      </c>
      <c r="J326" t="s">
        <v>112</v>
      </c>
      <c r="M326" t="s">
        <v>40</v>
      </c>
      <c r="N326" t="s">
        <v>41</v>
      </c>
      <c r="O326" t="s">
        <v>42</v>
      </c>
      <c r="P326">
        <v>23</v>
      </c>
      <c r="Q326">
        <v>0</v>
      </c>
      <c r="R326">
        <v>0</v>
      </c>
      <c r="S326">
        <v>0</v>
      </c>
      <c r="T326" t="s">
        <v>1190</v>
      </c>
      <c r="U326" t="s">
        <v>44</v>
      </c>
      <c r="W326" t="s">
        <v>580</v>
      </c>
      <c r="Y326">
        <v>0</v>
      </c>
      <c r="AA326" t="s">
        <v>40</v>
      </c>
      <c r="AB326" t="s">
        <v>46</v>
      </c>
      <c r="AC326" t="s">
        <v>47</v>
      </c>
      <c r="AF326" t="s">
        <v>48</v>
      </c>
      <c r="AJ326" t="s">
        <v>40</v>
      </c>
      <c r="AK326" t="s">
        <v>49</v>
      </c>
      <c r="AO326" s="1">
        <v>45939</v>
      </c>
      <c r="AP326" s="5">
        <v>0.5</v>
      </c>
      <c r="AS326">
        <v>1</v>
      </c>
    </row>
    <row r="327" spans="1:45" x14ac:dyDescent="0.2">
      <c r="A327">
        <f t="shared" si="22"/>
        <v>2025</v>
      </c>
      <c r="B327">
        <f t="shared" si="23"/>
        <v>10</v>
      </c>
      <c r="C327">
        <f t="shared" si="24"/>
        <v>41</v>
      </c>
      <c r="D327" s="2">
        <f t="shared" si="25"/>
        <v>45939</v>
      </c>
      <c r="E327" s="1">
        <v>45939.541666666664</v>
      </c>
      <c r="F327" t="s">
        <v>1191</v>
      </c>
      <c r="G327" t="s">
        <v>36</v>
      </c>
      <c r="H327" t="s">
        <v>37</v>
      </c>
      <c r="I327" t="s">
        <v>38</v>
      </c>
      <c r="J327" t="s">
        <v>112</v>
      </c>
      <c r="M327" t="s">
        <v>40</v>
      </c>
      <c r="N327" t="s">
        <v>41</v>
      </c>
      <c r="O327" t="s">
        <v>42</v>
      </c>
      <c r="P327">
        <v>23</v>
      </c>
      <c r="Q327">
        <v>0</v>
      </c>
      <c r="R327">
        <v>0</v>
      </c>
      <c r="S327">
        <v>0</v>
      </c>
      <c r="T327" t="s">
        <v>1192</v>
      </c>
      <c r="U327" t="s">
        <v>44</v>
      </c>
      <c r="W327" t="s">
        <v>580</v>
      </c>
      <c r="Y327">
        <v>0</v>
      </c>
      <c r="AA327" t="s">
        <v>40</v>
      </c>
      <c r="AB327" t="s">
        <v>46</v>
      </c>
      <c r="AC327" t="s">
        <v>47</v>
      </c>
      <c r="AF327" t="s">
        <v>48</v>
      </c>
      <c r="AJ327" t="s">
        <v>40</v>
      </c>
      <c r="AK327" t="s">
        <v>49</v>
      </c>
      <c r="AO327" s="1">
        <v>45939</v>
      </c>
      <c r="AP327" s="5">
        <v>0.54166666666666663</v>
      </c>
      <c r="AS327">
        <v>1</v>
      </c>
    </row>
    <row r="328" spans="1:45" x14ac:dyDescent="0.2">
      <c r="A328">
        <f t="shared" si="22"/>
        <v>2025</v>
      </c>
      <c r="B328">
        <f t="shared" si="23"/>
        <v>10</v>
      </c>
      <c r="C328">
        <f t="shared" si="24"/>
        <v>41</v>
      </c>
      <c r="D328" s="2">
        <f t="shared" si="25"/>
        <v>45939</v>
      </c>
      <c r="E328" s="1">
        <v>45939.541666666664</v>
      </c>
      <c r="F328" t="s">
        <v>1193</v>
      </c>
      <c r="G328" t="s">
        <v>36</v>
      </c>
      <c r="H328">
        <v>451368</v>
      </c>
      <c r="I328" t="s">
        <v>51</v>
      </c>
      <c r="J328" t="s">
        <v>355</v>
      </c>
      <c r="M328" t="s">
        <v>40</v>
      </c>
      <c r="N328" t="s">
        <v>41</v>
      </c>
      <c r="O328" t="s">
        <v>530</v>
      </c>
      <c r="P328">
        <v>33</v>
      </c>
      <c r="Q328">
        <v>0</v>
      </c>
      <c r="R328">
        <v>0</v>
      </c>
      <c r="S328">
        <v>0</v>
      </c>
      <c r="T328" t="s">
        <v>54</v>
      </c>
      <c r="U328" t="s">
        <v>55</v>
      </c>
      <c r="W328" t="s">
        <v>1150</v>
      </c>
      <c r="Y328">
        <v>0</v>
      </c>
      <c r="AA328" t="s">
        <v>40</v>
      </c>
      <c r="AB328" t="s">
        <v>46</v>
      </c>
      <c r="AC328" t="s">
        <v>47</v>
      </c>
      <c r="AG328" t="s">
        <v>1194</v>
      </c>
      <c r="AJ328" t="s">
        <v>40</v>
      </c>
      <c r="AK328">
        <v>5019134369</v>
      </c>
      <c r="AO328" s="1">
        <v>45939</v>
      </c>
      <c r="AP328" s="5">
        <v>0.54166666666666663</v>
      </c>
      <c r="AS328">
        <v>1</v>
      </c>
    </row>
    <row r="329" spans="1:45" x14ac:dyDescent="0.2">
      <c r="A329">
        <f t="shared" si="22"/>
        <v>2025</v>
      </c>
      <c r="B329">
        <f t="shared" si="23"/>
        <v>10</v>
      </c>
      <c r="C329">
        <f t="shared" si="24"/>
        <v>41</v>
      </c>
      <c r="D329" s="2">
        <f t="shared" si="25"/>
        <v>45939</v>
      </c>
      <c r="E329" s="1">
        <v>45939.541666666664</v>
      </c>
      <c r="F329" t="s">
        <v>1195</v>
      </c>
      <c r="G329" t="s">
        <v>36</v>
      </c>
      <c r="H329">
        <v>454247</v>
      </c>
      <c r="I329" t="s">
        <v>51</v>
      </c>
      <c r="J329" t="s">
        <v>154</v>
      </c>
      <c r="M329" t="s">
        <v>40</v>
      </c>
      <c r="N329" t="s">
        <v>41</v>
      </c>
      <c r="O329" t="s">
        <v>53</v>
      </c>
      <c r="P329">
        <v>33</v>
      </c>
      <c r="Q329">
        <v>0</v>
      </c>
      <c r="R329">
        <v>0</v>
      </c>
      <c r="S329">
        <v>0</v>
      </c>
      <c r="T329" t="s">
        <v>54</v>
      </c>
      <c r="U329" t="s">
        <v>55</v>
      </c>
      <c r="W329" t="s">
        <v>745</v>
      </c>
      <c r="Y329">
        <v>0</v>
      </c>
      <c r="AA329" t="s">
        <v>40</v>
      </c>
      <c r="AB329" t="s">
        <v>46</v>
      </c>
      <c r="AC329" t="s">
        <v>47</v>
      </c>
      <c r="AG329" t="s">
        <v>1196</v>
      </c>
      <c r="AJ329" t="s">
        <v>40</v>
      </c>
      <c r="AK329">
        <v>5019116350</v>
      </c>
      <c r="AO329" s="1">
        <v>45939</v>
      </c>
      <c r="AP329" s="5">
        <v>0.54166666666666663</v>
      </c>
      <c r="AS329">
        <v>1</v>
      </c>
    </row>
    <row r="330" spans="1:45" x14ac:dyDescent="0.2">
      <c r="A330">
        <f t="shared" si="22"/>
        <v>2025</v>
      </c>
      <c r="B330">
        <f t="shared" si="23"/>
        <v>10</v>
      </c>
      <c r="C330">
        <f t="shared" si="24"/>
        <v>41</v>
      </c>
      <c r="D330" s="2">
        <f t="shared" si="25"/>
        <v>45939</v>
      </c>
      <c r="E330" s="1">
        <v>45939.583333333336</v>
      </c>
      <c r="F330" t="s">
        <v>1197</v>
      </c>
      <c r="G330" t="s">
        <v>36</v>
      </c>
      <c r="H330">
        <v>456913</v>
      </c>
      <c r="I330" t="s">
        <v>51</v>
      </c>
      <c r="J330" t="s">
        <v>513</v>
      </c>
      <c r="M330" t="s">
        <v>40</v>
      </c>
      <c r="N330" t="s">
        <v>41</v>
      </c>
      <c r="O330" t="s">
        <v>514</v>
      </c>
      <c r="P330">
        <v>33</v>
      </c>
      <c r="Q330">
        <v>0</v>
      </c>
      <c r="R330">
        <v>0</v>
      </c>
      <c r="S330">
        <v>0</v>
      </c>
      <c r="T330" t="s">
        <v>54</v>
      </c>
      <c r="U330" t="s">
        <v>55</v>
      </c>
      <c r="W330" t="s">
        <v>1198</v>
      </c>
      <c r="Y330">
        <v>0</v>
      </c>
      <c r="AA330" t="s">
        <v>40</v>
      </c>
      <c r="AB330" t="s">
        <v>46</v>
      </c>
      <c r="AC330" t="s">
        <v>47</v>
      </c>
      <c r="AG330" t="s">
        <v>1199</v>
      </c>
      <c r="AJ330" t="s">
        <v>40</v>
      </c>
      <c r="AK330">
        <v>5019046370</v>
      </c>
      <c r="AO330" s="1">
        <v>45939</v>
      </c>
      <c r="AP330" s="5">
        <v>0.58333333333333337</v>
      </c>
      <c r="AS330">
        <v>1</v>
      </c>
    </row>
    <row r="331" spans="1:45" x14ac:dyDescent="0.2">
      <c r="A331">
        <f t="shared" si="22"/>
        <v>2025</v>
      </c>
      <c r="B331">
        <f t="shared" si="23"/>
        <v>10</v>
      </c>
      <c r="C331">
        <f t="shared" si="24"/>
        <v>41</v>
      </c>
      <c r="D331" s="2">
        <f t="shared" si="25"/>
        <v>45939</v>
      </c>
      <c r="E331" s="1">
        <v>45939.583333333336</v>
      </c>
      <c r="F331" t="s">
        <v>1200</v>
      </c>
      <c r="G331" t="s">
        <v>36</v>
      </c>
      <c r="H331" t="s">
        <v>1201</v>
      </c>
      <c r="I331" t="s">
        <v>78</v>
      </c>
      <c r="J331" t="s">
        <v>188</v>
      </c>
      <c r="M331" t="s">
        <v>40</v>
      </c>
      <c r="N331" t="s">
        <v>41</v>
      </c>
      <c r="O331" t="s">
        <v>195</v>
      </c>
      <c r="P331">
        <v>66</v>
      </c>
      <c r="Q331">
        <v>0</v>
      </c>
      <c r="R331">
        <v>0</v>
      </c>
      <c r="S331">
        <v>0</v>
      </c>
      <c r="T331" t="s">
        <v>54</v>
      </c>
      <c r="U331" t="s">
        <v>55</v>
      </c>
      <c r="W331" t="s">
        <v>1202</v>
      </c>
      <c r="Y331">
        <v>0</v>
      </c>
      <c r="AA331" t="s">
        <v>40</v>
      </c>
      <c r="AB331" t="s">
        <v>46</v>
      </c>
      <c r="AC331" t="s">
        <v>47</v>
      </c>
      <c r="AD331" t="s">
        <v>81</v>
      </c>
      <c r="AE331" t="s">
        <v>81</v>
      </c>
      <c r="AG331" t="s">
        <v>1203</v>
      </c>
      <c r="AJ331" t="s">
        <v>40</v>
      </c>
      <c r="AK331" t="s">
        <v>1204</v>
      </c>
      <c r="AO331" s="1">
        <v>45939</v>
      </c>
      <c r="AP331" s="5">
        <v>0.58333333333333337</v>
      </c>
      <c r="AS331">
        <v>1</v>
      </c>
    </row>
    <row r="332" spans="1:45" x14ac:dyDescent="0.2">
      <c r="A332">
        <f t="shared" si="22"/>
        <v>2025</v>
      </c>
      <c r="B332">
        <f t="shared" si="23"/>
        <v>10</v>
      </c>
      <c r="C332">
        <f t="shared" si="24"/>
        <v>41</v>
      </c>
      <c r="D332" s="2">
        <f t="shared" si="25"/>
        <v>45939</v>
      </c>
      <c r="E332" s="1">
        <v>45939.583333333336</v>
      </c>
      <c r="F332" t="s">
        <v>1205</v>
      </c>
      <c r="G332" t="s">
        <v>36</v>
      </c>
      <c r="H332" t="s">
        <v>1206</v>
      </c>
      <c r="I332" t="s">
        <v>38</v>
      </c>
      <c r="J332" t="s">
        <v>365</v>
      </c>
      <c r="M332" t="s">
        <v>40</v>
      </c>
      <c r="N332" t="s">
        <v>41</v>
      </c>
      <c r="O332" t="s">
        <v>42</v>
      </c>
      <c r="P332">
        <v>1</v>
      </c>
      <c r="Q332">
        <v>0</v>
      </c>
      <c r="R332">
        <v>0</v>
      </c>
      <c r="S332">
        <v>0</v>
      </c>
      <c r="T332">
        <v>5019078654</v>
      </c>
      <c r="U332" t="s">
        <v>44</v>
      </c>
      <c r="W332" t="s">
        <v>1051</v>
      </c>
      <c r="Y332">
        <v>0</v>
      </c>
      <c r="AA332" t="s">
        <v>40</v>
      </c>
      <c r="AB332" t="s">
        <v>46</v>
      </c>
      <c r="AC332" t="s">
        <v>47</v>
      </c>
      <c r="AF332" t="s">
        <v>1207</v>
      </c>
      <c r="AJ332" t="s">
        <v>40</v>
      </c>
      <c r="AK332" t="s">
        <v>49</v>
      </c>
      <c r="AO332" s="1">
        <v>45939</v>
      </c>
      <c r="AP332" s="5">
        <v>0.58333333333333337</v>
      </c>
      <c r="AS332">
        <v>1</v>
      </c>
    </row>
    <row r="333" spans="1:45" x14ac:dyDescent="0.2">
      <c r="A333">
        <f t="shared" si="22"/>
        <v>2025</v>
      </c>
      <c r="B333">
        <f t="shared" si="23"/>
        <v>10</v>
      </c>
      <c r="C333">
        <f t="shared" si="24"/>
        <v>41</v>
      </c>
      <c r="D333" s="2">
        <f t="shared" si="25"/>
        <v>45939</v>
      </c>
      <c r="E333" s="1">
        <v>45939.583333333336</v>
      </c>
      <c r="F333" t="s">
        <v>1208</v>
      </c>
      <c r="G333" t="s">
        <v>36</v>
      </c>
      <c r="H333" t="s">
        <v>1209</v>
      </c>
      <c r="I333" t="s">
        <v>38</v>
      </c>
      <c r="J333" t="s">
        <v>1210</v>
      </c>
      <c r="M333" t="s">
        <v>40</v>
      </c>
      <c r="N333" t="s">
        <v>41</v>
      </c>
      <c r="O333" t="s">
        <v>42</v>
      </c>
      <c r="P333">
        <v>1</v>
      </c>
      <c r="Q333">
        <v>0</v>
      </c>
      <c r="R333">
        <v>0</v>
      </c>
      <c r="S333">
        <v>0</v>
      </c>
      <c r="T333">
        <v>5019101270</v>
      </c>
      <c r="U333" t="s">
        <v>101</v>
      </c>
      <c r="W333" t="s">
        <v>1128</v>
      </c>
      <c r="Y333">
        <v>0</v>
      </c>
      <c r="AA333" t="s">
        <v>40</v>
      </c>
      <c r="AB333" t="s">
        <v>46</v>
      </c>
      <c r="AC333" t="s">
        <v>47</v>
      </c>
      <c r="AF333" t="s">
        <v>48</v>
      </c>
      <c r="AJ333" t="s">
        <v>40</v>
      </c>
      <c r="AK333" t="s">
        <v>49</v>
      </c>
      <c r="AO333" s="1">
        <v>45939</v>
      </c>
      <c r="AP333" s="5">
        <v>0.58333333333333337</v>
      </c>
      <c r="AS333">
        <v>1</v>
      </c>
    </row>
    <row r="334" spans="1:45" x14ac:dyDescent="0.2">
      <c r="A334">
        <f t="shared" si="22"/>
        <v>2025</v>
      </c>
      <c r="B334">
        <f t="shared" si="23"/>
        <v>10</v>
      </c>
      <c r="C334">
        <f t="shared" si="24"/>
        <v>41</v>
      </c>
      <c r="D334" s="2">
        <f t="shared" si="25"/>
        <v>45939</v>
      </c>
      <c r="E334" s="1">
        <v>45939.625</v>
      </c>
      <c r="F334" t="s">
        <v>1211</v>
      </c>
      <c r="G334" t="s">
        <v>36</v>
      </c>
      <c r="H334" t="s">
        <v>297</v>
      </c>
      <c r="I334" t="s">
        <v>38</v>
      </c>
      <c r="J334" t="s">
        <v>112</v>
      </c>
      <c r="M334" t="s">
        <v>40</v>
      </c>
      <c r="N334" t="s">
        <v>41</v>
      </c>
      <c r="O334" t="s">
        <v>42</v>
      </c>
      <c r="P334">
        <v>2</v>
      </c>
      <c r="Q334">
        <v>0</v>
      </c>
      <c r="R334">
        <v>0</v>
      </c>
      <c r="S334">
        <v>0</v>
      </c>
      <c r="T334" t="s">
        <v>1212</v>
      </c>
      <c r="U334" t="s">
        <v>101</v>
      </c>
      <c r="W334" t="s">
        <v>580</v>
      </c>
      <c r="Y334">
        <v>0</v>
      </c>
      <c r="AA334" t="s">
        <v>40</v>
      </c>
      <c r="AB334" t="s">
        <v>46</v>
      </c>
      <c r="AC334" t="s">
        <v>47</v>
      </c>
      <c r="AF334" t="s">
        <v>48</v>
      </c>
      <c r="AJ334" t="s">
        <v>40</v>
      </c>
      <c r="AK334" t="s">
        <v>49</v>
      </c>
      <c r="AO334" s="1">
        <v>45939</v>
      </c>
      <c r="AP334" s="5">
        <v>0.625</v>
      </c>
      <c r="AS334">
        <v>1</v>
      </c>
    </row>
    <row r="335" spans="1:45" x14ac:dyDescent="0.2">
      <c r="A335">
        <f t="shared" si="22"/>
        <v>2025</v>
      </c>
      <c r="B335">
        <f t="shared" si="23"/>
        <v>10</v>
      </c>
      <c r="C335">
        <f t="shared" si="24"/>
        <v>41</v>
      </c>
      <c r="D335" s="2">
        <f t="shared" si="25"/>
        <v>45939</v>
      </c>
      <c r="E335" s="1">
        <v>45939.625</v>
      </c>
      <c r="F335" t="s">
        <v>1213</v>
      </c>
      <c r="G335" t="s">
        <v>36</v>
      </c>
      <c r="H335">
        <v>451380</v>
      </c>
      <c r="I335" t="s">
        <v>51</v>
      </c>
      <c r="J335" t="s">
        <v>188</v>
      </c>
      <c r="M335" t="s">
        <v>40</v>
      </c>
      <c r="N335" t="s">
        <v>41</v>
      </c>
      <c r="O335" t="s">
        <v>172</v>
      </c>
      <c r="P335">
        <v>33</v>
      </c>
      <c r="Q335">
        <v>0</v>
      </c>
      <c r="R335">
        <v>0</v>
      </c>
      <c r="S335">
        <v>0</v>
      </c>
      <c r="T335" t="s">
        <v>54</v>
      </c>
      <c r="U335" t="s">
        <v>55</v>
      </c>
      <c r="W335" t="s">
        <v>357</v>
      </c>
      <c r="Y335">
        <v>0</v>
      </c>
      <c r="AA335" t="s">
        <v>40</v>
      </c>
      <c r="AB335" t="s">
        <v>46</v>
      </c>
      <c r="AC335" t="s">
        <v>47</v>
      </c>
      <c r="AG335" t="s">
        <v>1214</v>
      </c>
      <c r="AJ335" t="s">
        <v>40</v>
      </c>
      <c r="AK335">
        <v>5019111836</v>
      </c>
      <c r="AO335" s="1">
        <v>45939</v>
      </c>
      <c r="AP335" s="5">
        <v>0.625</v>
      </c>
      <c r="AS335">
        <v>1</v>
      </c>
    </row>
    <row r="336" spans="1:45" x14ac:dyDescent="0.2">
      <c r="A336">
        <f t="shared" si="22"/>
        <v>2025</v>
      </c>
      <c r="B336">
        <f t="shared" si="23"/>
        <v>10</v>
      </c>
      <c r="C336">
        <f t="shared" si="24"/>
        <v>41</v>
      </c>
      <c r="D336" s="2">
        <f t="shared" si="25"/>
        <v>45939</v>
      </c>
      <c r="E336" s="1">
        <v>45939.625</v>
      </c>
      <c r="F336" t="s">
        <v>1215</v>
      </c>
      <c r="G336" t="s">
        <v>36</v>
      </c>
      <c r="H336">
        <v>456916</v>
      </c>
      <c r="I336" t="s">
        <v>51</v>
      </c>
      <c r="J336" t="s">
        <v>513</v>
      </c>
      <c r="M336" t="s">
        <v>40</v>
      </c>
      <c r="N336" t="s">
        <v>41</v>
      </c>
      <c r="O336" t="s">
        <v>514</v>
      </c>
      <c r="P336">
        <v>33</v>
      </c>
      <c r="Q336">
        <v>0</v>
      </c>
      <c r="R336">
        <v>0</v>
      </c>
      <c r="S336">
        <v>0</v>
      </c>
      <c r="T336" t="s">
        <v>54</v>
      </c>
      <c r="U336" t="s">
        <v>55</v>
      </c>
      <c r="W336" t="s">
        <v>1198</v>
      </c>
      <c r="Y336">
        <v>0</v>
      </c>
      <c r="AA336" t="s">
        <v>40</v>
      </c>
      <c r="AB336" t="s">
        <v>46</v>
      </c>
      <c r="AC336" t="s">
        <v>47</v>
      </c>
      <c r="AG336" t="s">
        <v>1216</v>
      </c>
      <c r="AJ336" t="s">
        <v>40</v>
      </c>
      <c r="AK336">
        <v>5019110649</v>
      </c>
      <c r="AO336" s="1">
        <v>45939</v>
      </c>
      <c r="AP336" s="5">
        <v>0.625</v>
      </c>
      <c r="AS336">
        <v>1</v>
      </c>
    </row>
    <row r="337" spans="1:45" x14ac:dyDescent="0.2">
      <c r="A337">
        <f t="shared" si="22"/>
        <v>2025</v>
      </c>
      <c r="B337">
        <f t="shared" si="23"/>
        <v>10</v>
      </c>
      <c r="C337">
        <f t="shared" si="24"/>
        <v>41</v>
      </c>
      <c r="D337" s="2">
        <f t="shared" si="25"/>
        <v>45939</v>
      </c>
      <c r="E337" s="1">
        <v>45939.625</v>
      </c>
      <c r="F337" t="s">
        <v>1217</v>
      </c>
      <c r="G337" t="s">
        <v>36</v>
      </c>
      <c r="H337" t="s">
        <v>1167</v>
      </c>
      <c r="I337" t="s">
        <v>38</v>
      </c>
      <c r="J337" t="s">
        <v>1168</v>
      </c>
      <c r="M337" t="s">
        <v>40</v>
      </c>
      <c r="N337" t="s">
        <v>41</v>
      </c>
      <c r="O337" t="s">
        <v>42</v>
      </c>
      <c r="P337">
        <v>17</v>
      </c>
      <c r="Q337">
        <v>0</v>
      </c>
      <c r="R337">
        <v>0</v>
      </c>
      <c r="S337">
        <v>0</v>
      </c>
      <c r="T337">
        <v>5019018144</v>
      </c>
      <c r="U337" t="s">
        <v>44</v>
      </c>
      <c r="W337" t="s">
        <v>1051</v>
      </c>
      <c r="Y337">
        <v>0</v>
      </c>
      <c r="AA337" t="s">
        <v>40</v>
      </c>
      <c r="AB337" t="s">
        <v>46</v>
      </c>
      <c r="AC337" t="s">
        <v>47</v>
      </c>
      <c r="AF337" t="s">
        <v>1169</v>
      </c>
      <c r="AJ337" t="s">
        <v>40</v>
      </c>
      <c r="AK337" t="s">
        <v>49</v>
      </c>
      <c r="AO337" s="1">
        <v>45939</v>
      </c>
      <c r="AP337" s="5">
        <v>0.625</v>
      </c>
      <c r="AS337">
        <v>1</v>
      </c>
    </row>
    <row r="338" spans="1:45" x14ac:dyDescent="0.2">
      <c r="A338">
        <f t="shared" si="22"/>
        <v>2025</v>
      </c>
      <c r="B338">
        <f t="shared" si="23"/>
        <v>10</v>
      </c>
      <c r="C338">
        <f t="shared" si="24"/>
        <v>41</v>
      </c>
      <c r="D338" s="2">
        <f t="shared" si="25"/>
        <v>45939</v>
      </c>
      <c r="E338" s="1">
        <v>45939.666666666664</v>
      </c>
      <c r="F338" t="s">
        <v>1218</v>
      </c>
      <c r="G338" t="s">
        <v>36</v>
      </c>
      <c r="H338">
        <v>451376</v>
      </c>
      <c r="I338" t="s">
        <v>51</v>
      </c>
      <c r="J338" t="s">
        <v>154</v>
      </c>
      <c r="M338" t="s">
        <v>40</v>
      </c>
      <c r="N338" t="s">
        <v>41</v>
      </c>
      <c r="O338" t="s">
        <v>155</v>
      </c>
      <c r="P338">
        <v>33</v>
      </c>
      <c r="Q338">
        <v>0</v>
      </c>
      <c r="R338">
        <v>0</v>
      </c>
      <c r="S338">
        <v>0</v>
      </c>
      <c r="T338" t="s">
        <v>54</v>
      </c>
      <c r="U338" t="s">
        <v>55</v>
      </c>
      <c r="W338" t="s">
        <v>1102</v>
      </c>
      <c r="Y338">
        <v>0</v>
      </c>
      <c r="AA338" t="s">
        <v>40</v>
      </c>
      <c r="AB338" t="s">
        <v>46</v>
      </c>
      <c r="AC338" t="s">
        <v>47</v>
      </c>
      <c r="AG338" t="s">
        <v>1219</v>
      </c>
      <c r="AJ338" t="s">
        <v>40</v>
      </c>
      <c r="AK338">
        <v>5019131935</v>
      </c>
      <c r="AO338" s="1">
        <v>45939</v>
      </c>
      <c r="AP338" s="5">
        <v>0.66666666666666663</v>
      </c>
      <c r="AS338">
        <v>1</v>
      </c>
    </row>
    <row r="339" spans="1:45" x14ac:dyDescent="0.2">
      <c r="A339">
        <f t="shared" si="22"/>
        <v>2025</v>
      </c>
      <c r="B339">
        <f t="shared" si="23"/>
        <v>10</v>
      </c>
      <c r="C339">
        <f t="shared" si="24"/>
        <v>41</v>
      </c>
      <c r="D339" s="2">
        <f t="shared" si="25"/>
        <v>45939</v>
      </c>
      <c r="E339" s="1">
        <v>45939.666666666664</v>
      </c>
      <c r="F339" t="s">
        <v>1220</v>
      </c>
      <c r="G339" t="s">
        <v>36</v>
      </c>
      <c r="H339">
        <v>451385</v>
      </c>
      <c r="I339" t="s">
        <v>51</v>
      </c>
      <c r="J339" t="s">
        <v>154</v>
      </c>
      <c r="M339" t="s">
        <v>40</v>
      </c>
      <c r="N339" t="s">
        <v>41</v>
      </c>
      <c r="O339" t="s">
        <v>155</v>
      </c>
      <c r="P339">
        <v>33</v>
      </c>
      <c r="Q339">
        <v>0</v>
      </c>
      <c r="R339">
        <v>0</v>
      </c>
      <c r="S339">
        <v>0</v>
      </c>
      <c r="T339" t="s">
        <v>54</v>
      </c>
      <c r="U339" t="s">
        <v>55</v>
      </c>
      <c r="W339" t="s">
        <v>580</v>
      </c>
      <c r="Y339">
        <v>0</v>
      </c>
      <c r="AA339" t="s">
        <v>40</v>
      </c>
      <c r="AB339" t="s">
        <v>46</v>
      </c>
      <c r="AC339" t="s">
        <v>47</v>
      </c>
      <c r="AG339" t="s">
        <v>1221</v>
      </c>
      <c r="AJ339" t="s">
        <v>40</v>
      </c>
      <c r="AK339">
        <v>5019136009</v>
      </c>
      <c r="AO339" s="1">
        <v>45939</v>
      </c>
      <c r="AP339" s="5">
        <v>0.66666666666666663</v>
      </c>
      <c r="AS339">
        <v>1</v>
      </c>
    </row>
    <row r="340" spans="1:45" x14ac:dyDescent="0.2">
      <c r="A340">
        <f t="shared" si="22"/>
        <v>2025</v>
      </c>
      <c r="B340">
        <f t="shared" si="23"/>
        <v>10</v>
      </c>
      <c r="C340">
        <f t="shared" si="24"/>
        <v>41</v>
      </c>
      <c r="D340" s="2">
        <f t="shared" si="25"/>
        <v>45939</v>
      </c>
      <c r="E340" s="1">
        <v>45939.666666666664</v>
      </c>
      <c r="F340" t="s">
        <v>1222</v>
      </c>
      <c r="G340" t="s">
        <v>36</v>
      </c>
      <c r="H340" t="s">
        <v>1223</v>
      </c>
      <c r="I340" t="s">
        <v>38</v>
      </c>
      <c r="J340" t="s">
        <v>1224</v>
      </c>
      <c r="M340" t="s">
        <v>40</v>
      </c>
      <c r="N340" t="s">
        <v>41</v>
      </c>
      <c r="O340" t="s">
        <v>42</v>
      </c>
      <c r="P340">
        <v>13</v>
      </c>
      <c r="Q340">
        <v>0</v>
      </c>
      <c r="R340">
        <v>0</v>
      </c>
      <c r="S340">
        <v>0</v>
      </c>
      <c r="T340" t="s">
        <v>1225</v>
      </c>
      <c r="U340" t="s">
        <v>44</v>
      </c>
      <c r="W340" t="s">
        <v>1051</v>
      </c>
      <c r="Y340">
        <v>0</v>
      </c>
      <c r="AA340" t="s">
        <v>40</v>
      </c>
      <c r="AB340" t="s">
        <v>46</v>
      </c>
      <c r="AC340" t="s">
        <v>47</v>
      </c>
      <c r="AF340" t="s">
        <v>1226</v>
      </c>
      <c r="AJ340" t="s">
        <v>40</v>
      </c>
      <c r="AK340" t="s">
        <v>49</v>
      </c>
      <c r="AO340" s="1">
        <v>45939</v>
      </c>
      <c r="AP340" s="5">
        <v>0.66666666666666663</v>
      </c>
      <c r="AS340">
        <v>1</v>
      </c>
    </row>
    <row r="341" spans="1:45" x14ac:dyDescent="0.2">
      <c r="A341">
        <f t="shared" si="22"/>
        <v>2025</v>
      </c>
      <c r="B341">
        <f t="shared" si="23"/>
        <v>10</v>
      </c>
      <c r="C341">
        <f t="shared" si="24"/>
        <v>41</v>
      </c>
      <c r="D341" s="2">
        <f t="shared" si="25"/>
        <v>45939</v>
      </c>
      <c r="E341" s="1">
        <v>45939.666666666664</v>
      </c>
      <c r="F341" t="s">
        <v>1227</v>
      </c>
      <c r="G341" t="s">
        <v>36</v>
      </c>
      <c r="H341">
        <v>457064</v>
      </c>
      <c r="I341" t="s">
        <v>51</v>
      </c>
      <c r="J341" t="s">
        <v>144</v>
      </c>
      <c r="M341" t="s">
        <v>40</v>
      </c>
      <c r="N341" t="s">
        <v>41</v>
      </c>
      <c r="O341" t="s">
        <v>155</v>
      </c>
      <c r="P341">
        <v>33</v>
      </c>
      <c r="Q341">
        <v>0</v>
      </c>
      <c r="R341">
        <v>0</v>
      </c>
      <c r="S341">
        <v>0</v>
      </c>
      <c r="T341" t="s">
        <v>54</v>
      </c>
      <c r="U341" t="s">
        <v>55</v>
      </c>
      <c r="W341" t="s">
        <v>1228</v>
      </c>
      <c r="Y341">
        <v>0</v>
      </c>
      <c r="AA341" t="s">
        <v>40</v>
      </c>
      <c r="AB341" t="s">
        <v>46</v>
      </c>
      <c r="AC341" t="s">
        <v>47</v>
      </c>
      <c r="AG341" t="s">
        <v>1229</v>
      </c>
      <c r="AJ341" t="s">
        <v>40</v>
      </c>
      <c r="AK341">
        <v>5019067637</v>
      </c>
      <c r="AO341" s="1">
        <v>45939</v>
      </c>
      <c r="AP341" s="5">
        <v>0.66666666666666663</v>
      </c>
      <c r="AS341">
        <v>1</v>
      </c>
    </row>
    <row r="342" spans="1:45" x14ac:dyDescent="0.2">
      <c r="A342">
        <f t="shared" si="22"/>
        <v>2025</v>
      </c>
      <c r="B342">
        <f t="shared" si="23"/>
        <v>10</v>
      </c>
      <c r="C342">
        <f t="shared" si="24"/>
        <v>41</v>
      </c>
      <c r="D342" s="2">
        <f t="shared" si="25"/>
        <v>45939</v>
      </c>
      <c r="E342" s="1">
        <v>45939.708333333336</v>
      </c>
      <c r="F342" t="s">
        <v>1230</v>
      </c>
      <c r="G342" t="s">
        <v>36</v>
      </c>
      <c r="H342">
        <v>451367</v>
      </c>
      <c r="I342" t="s">
        <v>51</v>
      </c>
      <c r="J342" t="s">
        <v>154</v>
      </c>
      <c r="M342" t="s">
        <v>40</v>
      </c>
      <c r="N342" t="s">
        <v>41</v>
      </c>
      <c r="O342" t="s">
        <v>155</v>
      </c>
      <c r="P342">
        <v>33</v>
      </c>
      <c r="Q342">
        <v>0</v>
      </c>
      <c r="R342">
        <v>0</v>
      </c>
      <c r="S342">
        <v>0</v>
      </c>
      <c r="T342" t="s">
        <v>54</v>
      </c>
      <c r="U342" t="s">
        <v>55</v>
      </c>
      <c r="W342" t="s">
        <v>1061</v>
      </c>
      <c r="Y342">
        <v>0</v>
      </c>
      <c r="AA342" t="s">
        <v>40</v>
      </c>
      <c r="AB342" t="s">
        <v>46</v>
      </c>
      <c r="AC342" t="s">
        <v>47</v>
      </c>
      <c r="AG342" t="s">
        <v>1231</v>
      </c>
      <c r="AJ342" t="s">
        <v>40</v>
      </c>
      <c r="AK342">
        <v>5019135248</v>
      </c>
      <c r="AO342" s="1">
        <v>45939</v>
      </c>
      <c r="AP342" s="5">
        <v>0.70833333333333337</v>
      </c>
      <c r="AS342">
        <v>1</v>
      </c>
    </row>
    <row r="343" spans="1:45" x14ac:dyDescent="0.2">
      <c r="A343">
        <f t="shared" si="22"/>
        <v>2025</v>
      </c>
      <c r="B343">
        <f t="shared" si="23"/>
        <v>10</v>
      </c>
      <c r="C343">
        <f t="shared" si="24"/>
        <v>41</v>
      </c>
      <c r="D343" s="2">
        <f t="shared" si="25"/>
        <v>45939</v>
      </c>
      <c r="E343" s="1">
        <v>45939.708333333336</v>
      </c>
      <c r="F343" t="s">
        <v>1232</v>
      </c>
      <c r="G343" t="s">
        <v>36</v>
      </c>
      <c r="H343" t="s">
        <v>1233</v>
      </c>
      <c r="I343" t="s">
        <v>162</v>
      </c>
      <c r="J343" t="s">
        <v>144</v>
      </c>
      <c r="M343" t="s">
        <v>40</v>
      </c>
      <c r="N343" t="s">
        <v>41</v>
      </c>
      <c r="O343" t="s">
        <v>1234</v>
      </c>
      <c r="P343">
        <v>132</v>
      </c>
      <c r="Q343">
        <v>0</v>
      </c>
      <c r="R343">
        <v>0</v>
      </c>
      <c r="S343">
        <v>0</v>
      </c>
      <c r="T343" t="s">
        <v>54</v>
      </c>
      <c r="U343" t="s">
        <v>55</v>
      </c>
      <c r="W343" t="s">
        <v>1235</v>
      </c>
      <c r="Y343">
        <v>0</v>
      </c>
      <c r="AA343" t="s">
        <v>40</v>
      </c>
      <c r="AB343" t="s">
        <v>46</v>
      </c>
      <c r="AC343" t="s">
        <v>47</v>
      </c>
      <c r="AD343" t="s">
        <v>166</v>
      </c>
      <c r="AE343" t="s">
        <v>166</v>
      </c>
      <c r="AG343" t="s">
        <v>1236</v>
      </c>
      <c r="AJ343" t="s">
        <v>40</v>
      </c>
      <c r="AK343" t="s">
        <v>1237</v>
      </c>
      <c r="AO343" s="1">
        <v>45939</v>
      </c>
      <c r="AP343" s="5">
        <v>0.70833333333333337</v>
      </c>
      <c r="AS343">
        <v>1</v>
      </c>
    </row>
    <row r="344" spans="1:45" x14ac:dyDescent="0.2">
      <c r="A344">
        <f t="shared" si="22"/>
        <v>2025</v>
      </c>
      <c r="B344">
        <f t="shared" si="23"/>
        <v>10</v>
      </c>
      <c r="C344">
        <f t="shared" si="24"/>
        <v>41</v>
      </c>
      <c r="D344" s="2">
        <f t="shared" si="25"/>
        <v>45939</v>
      </c>
      <c r="E344" s="1">
        <v>45939.708333333336</v>
      </c>
      <c r="F344" t="s">
        <v>1238</v>
      </c>
      <c r="G344" t="s">
        <v>36</v>
      </c>
      <c r="H344">
        <v>451365</v>
      </c>
      <c r="I344" t="s">
        <v>51</v>
      </c>
      <c r="J344" t="s">
        <v>194</v>
      </c>
      <c r="M344" t="s">
        <v>40</v>
      </c>
      <c r="N344" t="s">
        <v>41</v>
      </c>
      <c r="O344" t="s">
        <v>189</v>
      </c>
      <c r="P344">
        <v>33</v>
      </c>
      <c r="Q344">
        <v>0</v>
      </c>
      <c r="R344">
        <v>0</v>
      </c>
      <c r="S344">
        <v>0</v>
      </c>
      <c r="T344" t="s">
        <v>54</v>
      </c>
      <c r="U344" t="s">
        <v>55</v>
      </c>
      <c r="W344" t="s">
        <v>1239</v>
      </c>
      <c r="Y344">
        <v>0</v>
      </c>
      <c r="AA344" t="s">
        <v>40</v>
      </c>
      <c r="AB344" t="s">
        <v>46</v>
      </c>
      <c r="AC344" t="s">
        <v>47</v>
      </c>
      <c r="AG344" t="s">
        <v>1240</v>
      </c>
      <c r="AJ344" t="s">
        <v>40</v>
      </c>
      <c r="AK344">
        <v>5019124547</v>
      </c>
      <c r="AO344" s="1">
        <v>45939</v>
      </c>
      <c r="AP344" s="5">
        <v>0.70833333333333337</v>
      </c>
      <c r="AS344">
        <v>1</v>
      </c>
    </row>
    <row r="345" spans="1:45" x14ac:dyDescent="0.2">
      <c r="A345">
        <f t="shared" si="22"/>
        <v>2025</v>
      </c>
      <c r="B345">
        <f t="shared" si="23"/>
        <v>10</v>
      </c>
      <c r="C345">
        <f t="shared" si="24"/>
        <v>41</v>
      </c>
      <c r="D345" s="2">
        <f t="shared" si="25"/>
        <v>45939</v>
      </c>
      <c r="E345" s="1">
        <v>45939.75</v>
      </c>
      <c r="F345" t="s">
        <v>1241</v>
      </c>
      <c r="G345" t="s">
        <v>36</v>
      </c>
      <c r="H345">
        <v>457489</v>
      </c>
      <c r="I345" t="s">
        <v>51</v>
      </c>
      <c r="J345" t="s">
        <v>188</v>
      </c>
      <c r="M345" t="s">
        <v>40</v>
      </c>
      <c r="N345" t="s">
        <v>41</v>
      </c>
      <c r="O345" t="s">
        <v>172</v>
      </c>
      <c r="P345">
        <v>33</v>
      </c>
      <c r="Q345">
        <v>0</v>
      </c>
      <c r="R345">
        <v>0</v>
      </c>
      <c r="S345">
        <v>0</v>
      </c>
      <c r="T345" t="s">
        <v>54</v>
      </c>
      <c r="U345" t="s">
        <v>55</v>
      </c>
      <c r="W345" t="s">
        <v>1124</v>
      </c>
      <c r="Y345">
        <v>0</v>
      </c>
      <c r="AA345" t="s">
        <v>40</v>
      </c>
      <c r="AB345" t="s">
        <v>46</v>
      </c>
      <c r="AC345" t="s">
        <v>47</v>
      </c>
      <c r="AG345" t="s">
        <v>1242</v>
      </c>
      <c r="AJ345" t="s">
        <v>40</v>
      </c>
      <c r="AK345">
        <v>5019124634</v>
      </c>
      <c r="AO345" s="1">
        <v>45939</v>
      </c>
      <c r="AP345" s="5">
        <v>0.75</v>
      </c>
      <c r="AS345">
        <v>1</v>
      </c>
    </row>
    <row r="346" spans="1:45" x14ac:dyDescent="0.2">
      <c r="A346">
        <f t="shared" si="22"/>
        <v>2025</v>
      </c>
      <c r="B346">
        <f t="shared" si="23"/>
        <v>10</v>
      </c>
      <c r="C346">
        <f t="shared" si="24"/>
        <v>41</v>
      </c>
      <c r="D346" s="2">
        <f t="shared" si="25"/>
        <v>45939</v>
      </c>
      <c r="E346" s="1">
        <v>45939.75</v>
      </c>
      <c r="F346" t="s">
        <v>1243</v>
      </c>
      <c r="G346" t="s">
        <v>36</v>
      </c>
      <c r="H346">
        <v>451375</v>
      </c>
      <c r="I346" t="s">
        <v>51</v>
      </c>
      <c r="J346" t="s">
        <v>144</v>
      </c>
      <c r="M346" t="s">
        <v>40</v>
      </c>
      <c r="N346" t="s">
        <v>41</v>
      </c>
      <c r="O346" t="s">
        <v>155</v>
      </c>
      <c r="P346">
        <v>33</v>
      </c>
      <c r="Q346">
        <v>0</v>
      </c>
      <c r="R346">
        <v>0</v>
      </c>
      <c r="S346">
        <v>0</v>
      </c>
      <c r="T346" t="s">
        <v>54</v>
      </c>
      <c r="U346" t="s">
        <v>55</v>
      </c>
      <c r="W346" t="s">
        <v>926</v>
      </c>
      <c r="Y346">
        <v>0</v>
      </c>
      <c r="AA346" t="s">
        <v>40</v>
      </c>
      <c r="AB346" t="s">
        <v>46</v>
      </c>
      <c r="AC346" t="s">
        <v>47</v>
      </c>
      <c r="AG346" t="s">
        <v>1244</v>
      </c>
      <c r="AJ346" t="s">
        <v>40</v>
      </c>
      <c r="AK346">
        <v>5019136008</v>
      </c>
      <c r="AO346" s="1">
        <v>45939</v>
      </c>
      <c r="AP346" s="5">
        <v>0.75</v>
      </c>
      <c r="AS346">
        <v>1</v>
      </c>
    </row>
    <row r="347" spans="1:45" x14ac:dyDescent="0.2">
      <c r="A347">
        <f t="shared" si="22"/>
        <v>2025</v>
      </c>
      <c r="B347">
        <f t="shared" si="23"/>
        <v>10</v>
      </c>
      <c r="C347">
        <f t="shared" si="24"/>
        <v>41</v>
      </c>
      <c r="D347" s="2">
        <f t="shared" si="25"/>
        <v>45939</v>
      </c>
      <c r="E347" s="1">
        <v>45939.791666666664</v>
      </c>
      <c r="F347" t="s">
        <v>1245</v>
      </c>
      <c r="G347" t="s">
        <v>36</v>
      </c>
      <c r="H347">
        <v>451357</v>
      </c>
      <c r="I347" t="s">
        <v>51</v>
      </c>
      <c r="J347" t="s">
        <v>219</v>
      </c>
      <c r="M347" t="s">
        <v>40</v>
      </c>
      <c r="N347" t="s">
        <v>41</v>
      </c>
      <c r="O347" t="s">
        <v>90</v>
      </c>
      <c r="P347">
        <v>33</v>
      </c>
      <c r="Q347">
        <v>0</v>
      </c>
      <c r="R347">
        <v>0</v>
      </c>
      <c r="S347">
        <v>0</v>
      </c>
      <c r="T347" t="s">
        <v>54</v>
      </c>
      <c r="U347" t="s">
        <v>55</v>
      </c>
      <c r="W347" t="s">
        <v>1246</v>
      </c>
      <c r="X347" t="s">
        <v>1247</v>
      </c>
      <c r="Y347">
        <v>0</v>
      </c>
      <c r="AA347" t="s">
        <v>40</v>
      </c>
      <c r="AB347" t="s">
        <v>46</v>
      </c>
      <c r="AC347" t="s">
        <v>47</v>
      </c>
      <c r="AG347" t="s">
        <v>1248</v>
      </c>
      <c r="AJ347" t="s">
        <v>40</v>
      </c>
      <c r="AK347">
        <v>5019134773</v>
      </c>
      <c r="AL347" t="s">
        <v>1249</v>
      </c>
      <c r="AM347" t="s">
        <v>1250</v>
      </c>
      <c r="AO347" s="1">
        <v>45939</v>
      </c>
      <c r="AP347" s="5">
        <v>0.79166666666666663</v>
      </c>
      <c r="AS347">
        <v>1</v>
      </c>
    </row>
    <row r="348" spans="1:45" x14ac:dyDescent="0.2">
      <c r="A348">
        <f t="shared" si="22"/>
        <v>2025</v>
      </c>
      <c r="B348">
        <f t="shared" si="23"/>
        <v>10</v>
      </c>
      <c r="C348">
        <f t="shared" si="24"/>
        <v>41</v>
      </c>
      <c r="D348" s="2">
        <f t="shared" si="25"/>
        <v>45939</v>
      </c>
      <c r="E348" s="1">
        <v>45939.791666666664</v>
      </c>
      <c r="F348" t="s">
        <v>1251</v>
      </c>
      <c r="G348" t="s">
        <v>36</v>
      </c>
      <c r="H348" t="s">
        <v>1252</v>
      </c>
      <c r="I348" t="s">
        <v>78</v>
      </c>
      <c r="J348" t="s">
        <v>126</v>
      </c>
      <c r="M348" t="s">
        <v>40</v>
      </c>
      <c r="N348" t="s">
        <v>41</v>
      </c>
      <c r="O348" t="s">
        <v>417</v>
      </c>
      <c r="P348">
        <v>66</v>
      </c>
      <c r="Q348">
        <v>0</v>
      </c>
      <c r="R348">
        <v>0</v>
      </c>
      <c r="S348">
        <v>0</v>
      </c>
      <c r="T348" t="s">
        <v>54</v>
      </c>
      <c r="U348" t="s">
        <v>55</v>
      </c>
      <c r="W348" t="s">
        <v>1136</v>
      </c>
      <c r="X348" t="s">
        <v>1253</v>
      </c>
      <c r="Y348">
        <v>0</v>
      </c>
      <c r="AA348" t="s">
        <v>40</v>
      </c>
      <c r="AB348" t="s">
        <v>46</v>
      </c>
      <c r="AC348" t="s">
        <v>47</v>
      </c>
      <c r="AD348" t="s">
        <v>81</v>
      </c>
      <c r="AE348" t="s">
        <v>81</v>
      </c>
      <c r="AG348" t="s">
        <v>1254</v>
      </c>
      <c r="AJ348" t="s">
        <v>40</v>
      </c>
      <c r="AK348" t="s">
        <v>1255</v>
      </c>
      <c r="AL348" t="s">
        <v>1256</v>
      </c>
      <c r="AM348" t="s">
        <v>1257</v>
      </c>
      <c r="AO348" s="1">
        <v>45939</v>
      </c>
      <c r="AP348" s="5">
        <v>0.79166666666666663</v>
      </c>
      <c r="AS348">
        <v>1</v>
      </c>
    </row>
    <row r="349" spans="1:45" x14ac:dyDescent="0.2">
      <c r="A349">
        <f t="shared" si="22"/>
        <v>2025</v>
      </c>
      <c r="B349">
        <f t="shared" si="23"/>
        <v>10</v>
      </c>
      <c r="C349">
        <f t="shared" si="24"/>
        <v>41</v>
      </c>
      <c r="D349" s="2">
        <f t="shared" si="25"/>
        <v>45939</v>
      </c>
      <c r="E349" s="1">
        <v>45939.833333333336</v>
      </c>
      <c r="F349" t="s">
        <v>1258</v>
      </c>
      <c r="G349" t="s">
        <v>36</v>
      </c>
      <c r="H349">
        <v>451359</v>
      </c>
      <c r="I349" t="s">
        <v>51</v>
      </c>
      <c r="J349" t="s">
        <v>200</v>
      </c>
      <c r="M349" t="s">
        <v>40</v>
      </c>
      <c r="N349" t="s">
        <v>41</v>
      </c>
      <c r="O349" t="s">
        <v>182</v>
      </c>
      <c r="P349">
        <v>33</v>
      </c>
      <c r="Q349">
        <v>0</v>
      </c>
      <c r="R349">
        <v>0</v>
      </c>
      <c r="S349">
        <v>0</v>
      </c>
      <c r="T349" t="s">
        <v>54</v>
      </c>
      <c r="U349" t="s">
        <v>55</v>
      </c>
      <c r="W349" t="s">
        <v>1259</v>
      </c>
      <c r="Y349">
        <v>0</v>
      </c>
      <c r="AA349" t="s">
        <v>40</v>
      </c>
      <c r="AB349" t="s">
        <v>46</v>
      </c>
      <c r="AC349" t="s">
        <v>47</v>
      </c>
      <c r="AG349" t="s">
        <v>1260</v>
      </c>
      <c r="AJ349" t="s">
        <v>40</v>
      </c>
      <c r="AK349">
        <v>5019129272</v>
      </c>
      <c r="AO349" s="1">
        <v>45939</v>
      </c>
      <c r="AP349" s="5">
        <v>0.83333333333333337</v>
      </c>
      <c r="AS349">
        <v>1</v>
      </c>
    </row>
    <row r="350" spans="1:45" x14ac:dyDescent="0.2">
      <c r="A350">
        <f t="shared" si="22"/>
        <v>2025</v>
      </c>
      <c r="B350">
        <f t="shared" si="23"/>
        <v>10</v>
      </c>
      <c r="C350">
        <f t="shared" si="24"/>
        <v>41</v>
      </c>
      <c r="D350" s="2">
        <f t="shared" si="25"/>
        <v>45940</v>
      </c>
      <c r="E350" s="1">
        <v>45940.25</v>
      </c>
      <c r="F350" t="s">
        <v>1261</v>
      </c>
      <c r="G350" t="s">
        <v>36</v>
      </c>
      <c r="H350">
        <v>454258</v>
      </c>
      <c r="I350" t="s">
        <v>51</v>
      </c>
      <c r="J350" t="s">
        <v>52</v>
      </c>
      <c r="M350" t="s">
        <v>40</v>
      </c>
      <c r="N350" t="s">
        <v>41</v>
      </c>
      <c r="O350" t="s">
        <v>53</v>
      </c>
      <c r="P350">
        <v>33</v>
      </c>
      <c r="Q350">
        <v>0</v>
      </c>
      <c r="R350">
        <v>0</v>
      </c>
      <c r="S350">
        <v>0</v>
      </c>
      <c r="T350" t="s">
        <v>54</v>
      </c>
      <c r="U350" t="s">
        <v>55</v>
      </c>
      <c r="W350" t="s">
        <v>1017</v>
      </c>
      <c r="Y350">
        <v>0</v>
      </c>
      <c r="AA350" t="s">
        <v>40</v>
      </c>
      <c r="AB350" t="s">
        <v>46</v>
      </c>
      <c r="AC350" t="s">
        <v>47</v>
      </c>
      <c r="AG350" t="s">
        <v>1262</v>
      </c>
      <c r="AJ350" t="s">
        <v>40</v>
      </c>
      <c r="AK350">
        <v>5019130076</v>
      </c>
      <c r="AO350" s="1">
        <v>45940</v>
      </c>
      <c r="AP350" s="5">
        <v>0.25</v>
      </c>
      <c r="AS350">
        <v>1</v>
      </c>
    </row>
    <row r="351" spans="1:45" x14ac:dyDescent="0.2">
      <c r="A351">
        <f t="shared" si="22"/>
        <v>2025</v>
      </c>
      <c r="B351">
        <f t="shared" si="23"/>
        <v>10</v>
      </c>
      <c r="C351">
        <f t="shared" si="24"/>
        <v>41</v>
      </c>
      <c r="D351" s="2">
        <f t="shared" si="25"/>
        <v>45940</v>
      </c>
      <c r="E351" s="1">
        <v>45940.25</v>
      </c>
      <c r="F351" t="s">
        <v>1263</v>
      </c>
      <c r="G351" t="s">
        <v>36</v>
      </c>
      <c r="H351" t="s">
        <v>1264</v>
      </c>
      <c r="I351" t="s">
        <v>38</v>
      </c>
      <c r="J351" t="s">
        <v>60</v>
      </c>
      <c r="M351" t="s">
        <v>40</v>
      </c>
      <c r="N351" t="s">
        <v>41</v>
      </c>
      <c r="O351" t="s">
        <v>42</v>
      </c>
      <c r="P351">
        <v>20</v>
      </c>
      <c r="Q351">
        <v>0</v>
      </c>
      <c r="R351">
        <v>0</v>
      </c>
      <c r="S351">
        <v>0</v>
      </c>
      <c r="T351" t="s">
        <v>1265</v>
      </c>
      <c r="U351" t="s">
        <v>44</v>
      </c>
      <c r="W351" t="s">
        <v>1266</v>
      </c>
      <c r="Y351">
        <v>0</v>
      </c>
      <c r="AA351" t="s">
        <v>40</v>
      </c>
      <c r="AB351" t="s">
        <v>46</v>
      </c>
      <c r="AC351" t="s">
        <v>47</v>
      </c>
      <c r="AF351" t="s">
        <v>133</v>
      </c>
      <c r="AJ351" t="s">
        <v>40</v>
      </c>
      <c r="AK351" t="s">
        <v>49</v>
      </c>
      <c r="AN351">
        <v>259267453</v>
      </c>
      <c r="AO351" s="1">
        <v>45940</v>
      </c>
      <c r="AP351" s="5">
        <v>0.25</v>
      </c>
      <c r="AS351">
        <v>1</v>
      </c>
    </row>
    <row r="352" spans="1:45" x14ac:dyDescent="0.2">
      <c r="A352">
        <f t="shared" si="22"/>
        <v>2025</v>
      </c>
      <c r="B352">
        <f t="shared" si="23"/>
        <v>10</v>
      </c>
      <c r="C352">
        <f t="shared" si="24"/>
        <v>41</v>
      </c>
      <c r="D352" s="2">
        <f t="shared" si="25"/>
        <v>45940</v>
      </c>
      <c r="E352" s="1">
        <v>45940.291666666664</v>
      </c>
      <c r="F352" t="s">
        <v>1267</v>
      </c>
      <c r="G352" t="s">
        <v>36</v>
      </c>
      <c r="H352" t="s">
        <v>264</v>
      </c>
      <c r="I352" t="s">
        <v>38</v>
      </c>
      <c r="J352" t="s">
        <v>265</v>
      </c>
      <c r="M352" t="s">
        <v>40</v>
      </c>
      <c r="N352" t="s">
        <v>41</v>
      </c>
      <c r="O352" t="s">
        <v>42</v>
      </c>
      <c r="P352">
        <v>23</v>
      </c>
      <c r="Q352">
        <v>0</v>
      </c>
      <c r="R352">
        <v>0</v>
      </c>
      <c r="S352">
        <v>0</v>
      </c>
      <c r="T352" t="s">
        <v>1268</v>
      </c>
      <c r="U352" t="s">
        <v>55</v>
      </c>
      <c r="W352" t="s">
        <v>1269</v>
      </c>
      <c r="Y352">
        <v>0</v>
      </c>
      <c r="AA352" t="s">
        <v>40</v>
      </c>
      <c r="AB352" t="s">
        <v>46</v>
      </c>
      <c r="AC352" t="s">
        <v>47</v>
      </c>
      <c r="AF352" t="s">
        <v>48</v>
      </c>
      <c r="AJ352" t="s">
        <v>40</v>
      </c>
      <c r="AK352" t="s">
        <v>49</v>
      </c>
      <c r="AO352" s="1">
        <v>45940</v>
      </c>
      <c r="AP352" s="5">
        <v>0.29166666666666669</v>
      </c>
      <c r="AS352">
        <v>1</v>
      </c>
    </row>
    <row r="353" spans="1:45" x14ac:dyDescent="0.2">
      <c r="A353">
        <f t="shared" si="22"/>
        <v>2025</v>
      </c>
      <c r="B353">
        <f t="shared" si="23"/>
        <v>10</v>
      </c>
      <c r="C353">
        <f t="shared" si="24"/>
        <v>41</v>
      </c>
      <c r="D353" s="2">
        <f t="shared" si="25"/>
        <v>45940</v>
      </c>
      <c r="E353" s="1">
        <v>45940.291666666664</v>
      </c>
      <c r="F353" t="s">
        <v>1270</v>
      </c>
      <c r="G353" t="s">
        <v>36</v>
      </c>
      <c r="H353">
        <v>457118</v>
      </c>
      <c r="I353" t="s">
        <v>51</v>
      </c>
      <c r="J353" t="s">
        <v>188</v>
      </c>
      <c r="M353" t="s">
        <v>40</v>
      </c>
      <c r="N353" t="s">
        <v>41</v>
      </c>
      <c r="O353" t="s">
        <v>172</v>
      </c>
      <c r="P353">
        <v>33</v>
      </c>
      <c r="Q353">
        <v>0</v>
      </c>
      <c r="R353">
        <v>0</v>
      </c>
      <c r="S353">
        <v>0</v>
      </c>
      <c r="T353" t="s">
        <v>54</v>
      </c>
      <c r="U353" t="s">
        <v>233</v>
      </c>
      <c r="W353" t="s">
        <v>1271</v>
      </c>
      <c r="Y353">
        <v>0</v>
      </c>
      <c r="AA353" t="s">
        <v>40</v>
      </c>
      <c r="AB353" t="s">
        <v>46</v>
      </c>
      <c r="AC353" t="s">
        <v>47</v>
      </c>
      <c r="AG353" t="s">
        <v>1272</v>
      </c>
      <c r="AJ353" t="s">
        <v>40</v>
      </c>
      <c r="AK353">
        <v>5019099910</v>
      </c>
      <c r="AO353" s="1">
        <v>45940</v>
      </c>
      <c r="AP353" s="5">
        <v>0.29166666666666669</v>
      </c>
      <c r="AS353">
        <v>1</v>
      </c>
    </row>
    <row r="354" spans="1:45" x14ac:dyDescent="0.2">
      <c r="A354">
        <f t="shared" si="22"/>
        <v>2025</v>
      </c>
      <c r="B354">
        <f t="shared" si="23"/>
        <v>10</v>
      </c>
      <c r="C354">
        <f t="shared" si="24"/>
        <v>41</v>
      </c>
      <c r="D354" s="2">
        <f t="shared" si="25"/>
        <v>45940</v>
      </c>
      <c r="E354" s="1">
        <v>45940.291666666664</v>
      </c>
      <c r="F354" t="s">
        <v>1273</v>
      </c>
      <c r="G354" t="s">
        <v>36</v>
      </c>
      <c r="H354" t="s">
        <v>1274</v>
      </c>
      <c r="I354" t="s">
        <v>38</v>
      </c>
      <c r="J354" t="s">
        <v>99</v>
      </c>
      <c r="M354" t="s">
        <v>40</v>
      </c>
      <c r="N354" t="s">
        <v>41</v>
      </c>
      <c r="O354" t="s">
        <v>42</v>
      </c>
      <c r="P354">
        <v>11</v>
      </c>
      <c r="Q354">
        <v>0</v>
      </c>
      <c r="R354">
        <v>0</v>
      </c>
      <c r="S354">
        <v>0</v>
      </c>
      <c r="T354" t="s">
        <v>1275</v>
      </c>
      <c r="U354" t="s">
        <v>44</v>
      </c>
      <c r="W354" t="s">
        <v>1276</v>
      </c>
      <c r="Y354">
        <v>0</v>
      </c>
      <c r="AA354" t="s">
        <v>40</v>
      </c>
      <c r="AB354" t="s">
        <v>46</v>
      </c>
      <c r="AC354" t="s">
        <v>47</v>
      </c>
      <c r="AF354" t="s">
        <v>367</v>
      </c>
      <c r="AJ354" t="s">
        <v>40</v>
      </c>
      <c r="AK354" t="s">
        <v>49</v>
      </c>
      <c r="AM354" t="s">
        <v>1277</v>
      </c>
      <c r="AN354" t="s">
        <v>1278</v>
      </c>
      <c r="AO354" s="1">
        <v>45940</v>
      </c>
      <c r="AP354" s="5">
        <v>0.29166666666666669</v>
      </c>
      <c r="AS354">
        <v>1</v>
      </c>
    </row>
    <row r="355" spans="1:45" x14ac:dyDescent="0.2">
      <c r="A355">
        <f t="shared" si="22"/>
        <v>2025</v>
      </c>
      <c r="B355">
        <f t="shared" si="23"/>
        <v>10</v>
      </c>
      <c r="C355">
        <f t="shared" si="24"/>
        <v>41</v>
      </c>
      <c r="D355" s="2">
        <f t="shared" si="25"/>
        <v>45940</v>
      </c>
      <c r="E355" s="1">
        <v>45940.291666666664</v>
      </c>
      <c r="F355" t="s">
        <v>1279</v>
      </c>
      <c r="G355" t="s">
        <v>36</v>
      </c>
      <c r="H355" t="s">
        <v>253</v>
      </c>
      <c r="I355" t="s">
        <v>38</v>
      </c>
      <c r="J355" t="s">
        <v>254</v>
      </c>
      <c r="M355" t="s">
        <v>40</v>
      </c>
      <c r="N355" t="s">
        <v>41</v>
      </c>
      <c r="O355" t="s">
        <v>42</v>
      </c>
      <c r="P355">
        <v>1</v>
      </c>
      <c r="Q355">
        <v>0</v>
      </c>
      <c r="R355">
        <v>0</v>
      </c>
      <c r="S355">
        <v>0</v>
      </c>
      <c r="T355">
        <v>5019150098</v>
      </c>
      <c r="U355" t="s">
        <v>101</v>
      </c>
      <c r="W355" t="s">
        <v>1280</v>
      </c>
      <c r="Y355">
        <v>0</v>
      </c>
      <c r="AA355" t="s">
        <v>40</v>
      </c>
      <c r="AB355" t="s">
        <v>46</v>
      </c>
      <c r="AC355" t="s">
        <v>47</v>
      </c>
      <c r="AF355" t="s">
        <v>48</v>
      </c>
      <c r="AJ355" t="s">
        <v>40</v>
      </c>
      <c r="AK355" t="s">
        <v>49</v>
      </c>
      <c r="AO355" s="1">
        <v>45940</v>
      </c>
      <c r="AP355" s="5">
        <v>0.29166666666666669</v>
      </c>
      <c r="AS355">
        <v>1</v>
      </c>
    </row>
    <row r="356" spans="1:45" x14ac:dyDescent="0.2">
      <c r="A356">
        <f t="shared" si="22"/>
        <v>2025</v>
      </c>
      <c r="B356">
        <f t="shared" si="23"/>
        <v>10</v>
      </c>
      <c r="C356">
        <f t="shared" si="24"/>
        <v>41</v>
      </c>
      <c r="D356" s="2">
        <f t="shared" si="25"/>
        <v>45940</v>
      </c>
      <c r="E356" s="1">
        <v>45940.333333333336</v>
      </c>
      <c r="F356" t="s">
        <v>1281</v>
      </c>
      <c r="G356" t="s">
        <v>36</v>
      </c>
      <c r="H356">
        <v>451384</v>
      </c>
      <c r="I356" t="s">
        <v>51</v>
      </c>
      <c r="J356" t="s">
        <v>52</v>
      </c>
      <c r="M356" t="s">
        <v>40</v>
      </c>
      <c r="N356" t="s">
        <v>41</v>
      </c>
      <c r="O356" t="s">
        <v>172</v>
      </c>
      <c r="P356">
        <v>33</v>
      </c>
      <c r="Q356">
        <v>0</v>
      </c>
      <c r="R356">
        <v>0</v>
      </c>
      <c r="S356">
        <v>0</v>
      </c>
      <c r="T356" t="s">
        <v>54</v>
      </c>
      <c r="U356" t="s">
        <v>55</v>
      </c>
      <c r="W356" t="s">
        <v>1282</v>
      </c>
      <c r="Y356">
        <v>0</v>
      </c>
      <c r="AA356" t="s">
        <v>40</v>
      </c>
      <c r="AB356" t="s">
        <v>46</v>
      </c>
      <c r="AC356" t="s">
        <v>47</v>
      </c>
      <c r="AG356" t="s">
        <v>1283</v>
      </c>
      <c r="AJ356" t="s">
        <v>40</v>
      </c>
      <c r="AK356">
        <v>5019135929</v>
      </c>
      <c r="AO356" s="1">
        <v>45940</v>
      </c>
      <c r="AP356" s="5">
        <v>0.33333333333333331</v>
      </c>
      <c r="AS356">
        <v>1</v>
      </c>
    </row>
    <row r="357" spans="1:45" x14ac:dyDescent="0.2">
      <c r="A357">
        <f t="shared" si="22"/>
        <v>2025</v>
      </c>
      <c r="B357">
        <f t="shared" si="23"/>
        <v>10</v>
      </c>
      <c r="C357">
        <f t="shared" si="24"/>
        <v>41</v>
      </c>
      <c r="D357" s="2">
        <f t="shared" si="25"/>
        <v>45940</v>
      </c>
      <c r="E357" s="1">
        <v>45940.333333333336</v>
      </c>
      <c r="F357" t="s">
        <v>1284</v>
      </c>
      <c r="G357" t="s">
        <v>36</v>
      </c>
      <c r="H357" t="s">
        <v>626</v>
      </c>
      <c r="I357" t="s">
        <v>38</v>
      </c>
      <c r="J357" t="s">
        <v>451</v>
      </c>
      <c r="M357" t="s">
        <v>40</v>
      </c>
      <c r="N357" t="s">
        <v>41</v>
      </c>
      <c r="O357" t="s">
        <v>42</v>
      </c>
      <c r="P357">
        <v>23</v>
      </c>
      <c r="Q357">
        <v>0</v>
      </c>
      <c r="R357">
        <v>0</v>
      </c>
      <c r="S357">
        <v>0</v>
      </c>
      <c r="T357" t="s">
        <v>1285</v>
      </c>
      <c r="U357" t="s">
        <v>44</v>
      </c>
      <c r="W357" t="s">
        <v>1269</v>
      </c>
      <c r="Y357">
        <v>0</v>
      </c>
      <c r="AA357" t="s">
        <v>40</v>
      </c>
      <c r="AB357" t="s">
        <v>46</v>
      </c>
      <c r="AC357" t="s">
        <v>47</v>
      </c>
      <c r="AF357" t="s">
        <v>48</v>
      </c>
      <c r="AJ357" t="s">
        <v>40</v>
      </c>
      <c r="AK357" t="s">
        <v>49</v>
      </c>
      <c r="AO357" s="1">
        <v>45940</v>
      </c>
      <c r="AP357" s="5">
        <v>0.33333333333333331</v>
      </c>
      <c r="AS357">
        <v>1</v>
      </c>
    </row>
    <row r="358" spans="1:45" x14ac:dyDescent="0.2">
      <c r="A358">
        <f t="shared" si="22"/>
        <v>2025</v>
      </c>
      <c r="B358">
        <f t="shared" si="23"/>
        <v>10</v>
      </c>
      <c r="C358">
        <f t="shared" si="24"/>
        <v>41</v>
      </c>
      <c r="D358" s="2">
        <f t="shared" si="25"/>
        <v>45940</v>
      </c>
      <c r="E358" s="1">
        <v>45940.375</v>
      </c>
      <c r="F358" t="s">
        <v>1286</v>
      </c>
      <c r="G358" t="s">
        <v>36</v>
      </c>
      <c r="H358" t="s">
        <v>1287</v>
      </c>
      <c r="I358" t="s">
        <v>78</v>
      </c>
      <c r="J358" t="s">
        <v>52</v>
      </c>
      <c r="M358" t="s">
        <v>40</v>
      </c>
      <c r="N358" t="s">
        <v>41</v>
      </c>
      <c r="O358" t="s">
        <v>1288</v>
      </c>
      <c r="P358">
        <v>66</v>
      </c>
      <c r="Q358">
        <v>0</v>
      </c>
      <c r="R358">
        <v>0</v>
      </c>
      <c r="S358">
        <v>0</v>
      </c>
      <c r="T358" t="s">
        <v>54</v>
      </c>
      <c r="U358" t="s">
        <v>55</v>
      </c>
      <c r="W358" t="s">
        <v>1289</v>
      </c>
      <c r="Y358">
        <v>0</v>
      </c>
      <c r="AA358" t="s">
        <v>40</v>
      </c>
      <c r="AB358" t="s">
        <v>46</v>
      </c>
      <c r="AC358" t="s">
        <v>47</v>
      </c>
      <c r="AD358" t="s">
        <v>81</v>
      </c>
      <c r="AE358" t="s">
        <v>81</v>
      </c>
      <c r="AG358" t="s">
        <v>1290</v>
      </c>
      <c r="AJ358" t="s">
        <v>40</v>
      </c>
      <c r="AK358" t="s">
        <v>1291</v>
      </c>
      <c r="AO358" s="1">
        <v>45940</v>
      </c>
      <c r="AP358" s="5">
        <v>0.375</v>
      </c>
      <c r="AS358">
        <v>1</v>
      </c>
    </row>
    <row r="359" spans="1:45" x14ac:dyDescent="0.2">
      <c r="A359">
        <f t="shared" si="22"/>
        <v>2025</v>
      </c>
      <c r="B359">
        <f t="shared" si="23"/>
        <v>10</v>
      </c>
      <c r="C359">
        <f t="shared" si="24"/>
        <v>41</v>
      </c>
      <c r="D359" s="2">
        <f t="shared" si="25"/>
        <v>45940</v>
      </c>
      <c r="E359" s="1">
        <v>45940.375</v>
      </c>
      <c r="F359" t="s">
        <v>1292</v>
      </c>
      <c r="G359" t="s">
        <v>36</v>
      </c>
      <c r="H359" t="s">
        <v>37</v>
      </c>
      <c r="I359" t="s">
        <v>38</v>
      </c>
      <c r="J359" t="s">
        <v>112</v>
      </c>
      <c r="M359" t="s">
        <v>40</v>
      </c>
      <c r="N359" t="s">
        <v>41</v>
      </c>
      <c r="O359" t="s">
        <v>42</v>
      </c>
      <c r="P359">
        <v>23</v>
      </c>
      <c r="Q359">
        <v>0</v>
      </c>
      <c r="R359">
        <v>0</v>
      </c>
      <c r="S359">
        <v>0</v>
      </c>
      <c r="T359" t="s">
        <v>1293</v>
      </c>
      <c r="U359" t="s">
        <v>44</v>
      </c>
      <c r="W359" t="s">
        <v>1269</v>
      </c>
      <c r="Y359">
        <v>0</v>
      </c>
      <c r="AA359" t="s">
        <v>40</v>
      </c>
      <c r="AB359" t="s">
        <v>46</v>
      </c>
      <c r="AC359" t="s">
        <v>47</v>
      </c>
      <c r="AF359" t="s">
        <v>48</v>
      </c>
      <c r="AJ359" t="s">
        <v>40</v>
      </c>
      <c r="AK359" t="s">
        <v>49</v>
      </c>
      <c r="AO359" s="1">
        <v>45940</v>
      </c>
      <c r="AP359" s="5">
        <v>0.375</v>
      </c>
      <c r="AS359">
        <v>1</v>
      </c>
    </row>
    <row r="360" spans="1:45" x14ac:dyDescent="0.2">
      <c r="A360">
        <f t="shared" si="22"/>
        <v>2025</v>
      </c>
      <c r="B360">
        <f t="shared" si="23"/>
        <v>10</v>
      </c>
      <c r="C360">
        <f t="shared" si="24"/>
        <v>41</v>
      </c>
      <c r="D360" s="2">
        <f t="shared" si="25"/>
        <v>45940</v>
      </c>
      <c r="E360" s="1">
        <v>45940.375</v>
      </c>
      <c r="F360" t="s">
        <v>1294</v>
      </c>
      <c r="G360" t="s">
        <v>36</v>
      </c>
      <c r="H360" t="s">
        <v>626</v>
      </c>
      <c r="I360" t="s">
        <v>38</v>
      </c>
      <c r="J360" t="s">
        <v>451</v>
      </c>
      <c r="M360" t="s">
        <v>40</v>
      </c>
      <c r="N360" t="s">
        <v>41</v>
      </c>
      <c r="O360" t="s">
        <v>42</v>
      </c>
      <c r="P360">
        <v>23</v>
      </c>
      <c r="Q360">
        <v>0</v>
      </c>
      <c r="R360">
        <v>0</v>
      </c>
      <c r="S360">
        <v>0</v>
      </c>
      <c r="T360" t="s">
        <v>1295</v>
      </c>
      <c r="U360" t="s">
        <v>44</v>
      </c>
      <c r="W360" t="s">
        <v>1269</v>
      </c>
      <c r="Y360">
        <v>0</v>
      </c>
      <c r="AA360" t="s">
        <v>40</v>
      </c>
      <c r="AB360" t="s">
        <v>46</v>
      </c>
      <c r="AC360" t="s">
        <v>47</v>
      </c>
      <c r="AF360" t="s">
        <v>48</v>
      </c>
      <c r="AJ360" t="s">
        <v>40</v>
      </c>
      <c r="AK360" t="s">
        <v>49</v>
      </c>
      <c r="AO360" s="1">
        <v>45940</v>
      </c>
      <c r="AP360" s="5">
        <v>0.375</v>
      </c>
      <c r="AS360">
        <v>1</v>
      </c>
    </row>
    <row r="361" spans="1:45" x14ac:dyDescent="0.2">
      <c r="A361">
        <f t="shared" si="22"/>
        <v>2025</v>
      </c>
      <c r="B361">
        <f t="shared" si="23"/>
        <v>10</v>
      </c>
      <c r="C361">
        <f t="shared" si="24"/>
        <v>41</v>
      </c>
      <c r="D361" s="2">
        <f t="shared" si="25"/>
        <v>45940</v>
      </c>
      <c r="E361" s="1">
        <v>45940.416666666664</v>
      </c>
      <c r="F361" t="s">
        <v>1296</v>
      </c>
      <c r="G361" t="s">
        <v>36</v>
      </c>
      <c r="H361" t="s">
        <v>111</v>
      </c>
      <c r="I361" t="s">
        <v>38</v>
      </c>
      <c r="J361" t="s">
        <v>99</v>
      </c>
      <c r="M361" t="s">
        <v>40</v>
      </c>
      <c r="N361" t="s">
        <v>41</v>
      </c>
      <c r="O361" t="s">
        <v>42</v>
      </c>
      <c r="P361">
        <v>23</v>
      </c>
      <c r="Q361">
        <v>0</v>
      </c>
      <c r="R361">
        <v>0</v>
      </c>
      <c r="S361">
        <v>0</v>
      </c>
      <c r="T361" t="s">
        <v>1297</v>
      </c>
      <c r="U361" t="s">
        <v>44</v>
      </c>
      <c r="W361" t="s">
        <v>1269</v>
      </c>
      <c r="Y361">
        <v>0</v>
      </c>
      <c r="AA361" t="s">
        <v>40</v>
      </c>
      <c r="AB361" t="s">
        <v>46</v>
      </c>
      <c r="AC361" t="s">
        <v>47</v>
      </c>
      <c r="AF361" t="s">
        <v>48</v>
      </c>
      <c r="AJ361" t="s">
        <v>40</v>
      </c>
      <c r="AK361" t="s">
        <v>49</v>
      </c>
      <c r="AO361" s="1">
        <v>45940</v>
      </c>
      <c r="AP361" s="5">
        <v>0.41666666666666669</v>
      </c>
      <c r="AS361">
        <v>1</v>
      </c>
    </row>
    <row r="362" spans="1:45" x14ac:dyDescent="0.2">
      <c r="A362">
        <f t="shared" si="22"/>
        <v>2025</v>
      </c>
      <c r="B362">
        <f t="shared" si="23"/>
        <v>10</v>
      </c>
      <c r="C362">
        <f t="shared" si="24"/>
        <v>41</v>
      </c>
      <c r="D362" s="2">
        <f t="shared" si="25"/>
        <v>45940</v>
      </c>
      <c r="E362" s="1">
        <v>45940.416666666664</v>
      </c>
      <c r="F362" t="s">
        <v>1298</v>
      </c>
      <c r="G362" t="s">
        <v>36</v>
      </c>
      <c r="H362" t="s">
        <v>1171</v>
      </c>
      <c r="I362" t="s">
        <v>38</v>
      </c>
      <c r="J362" t="s">
        <v>1172</v>
      </c>
      <c r="M362" t="s">
        <v>40</v>
      </c>
      <c r="N362" t="s">
        <v>41</v>
      </c>
      <c r="O362" t="s">
        <v>42</v>
      </c>
      <c r="P362">
        <v>24</v>
      </c>
      <c r="Q362">
        <v>0</v>
      </c>
      <c r="R362">
        <v>0</v>
      </c>
      <c r="S362">
        <v>0</v>
      </c>
      <c r="T362" t="s">
        <v>1299</v>
      </c>
      <c r="U362" t="s">
        <v>44</v>
      </c>
      <c r="W362" t="s">
        <v>1276</v>
      </c>
      <c r="Y362">
        <v>0</v>
      </c>
      <c r="AA362" t="s">
        <v>40</v>
      </c>
      <c r="AB362" t="s">
        <v>46</v>
      </c>
      <c r="AC362" t="s">
        <v>47</v>
      </c>
      <c r="AF362" t="s">
        <v>1173</v>
      </c>
      <c r="AJ362" t="s">
        <v>40</v>
      </c>
      <c r="AK362" t="s">
        <v>49</v>
      </c>
      <c r="AO362" s="1">
        <v>45940</v>
      </c>
      <c r="AP362" s="5">
        <v>0.41666666666666669</v>
      </c>
      <c r="AS362">
        <v>1</v>
      </c>
    </row>
    <row r="363" spans="1:45" x14ac:dyDescent="0.2">
      <c r="A363">
        <f t="shared" si="22"/>
        <v>2025</v>
      </c>
      <c r="B363">
        <f t="shared" si="23"/>
        <v>10</v>
      </c>
      <c r="C363">
        <f t="shared" si="24"/>
        <v>41</v>
      </c>
      <c r="D363" s="2">
        <f t="shared" si="25"/>
        <v>45940</v>
      </c>
      <c r="E363" s="1">
        <v>45940.416666666664</v>
      </c>
      <c r="F363" t="s">
        <v>1300</v>
      </c>
      <c r="G363" t="s">
        <v>36</v>
      </c>
      <c r="H363" t="s">
        <v>663</v>
      </c>
      <c r="I363" t="s">
        <v>38</v>
      </c>
      <c r="J363" t="s">
        <v>265</v>
      </c>
      <c r="M363" t="s">
        <v>40</v>
      </c>
      <c r="N363" t="s">
        <v>41</v>
      </c>
      <c r="O363" t="s">
        <v>42</v>
      </c>
      <c r="P363">
        <v>33</v>
      </c>
      <c r="Q363">
        <v>0</v>
      </c>
      <c r="R363">
        <v>0</v>
      </c>
      <c r="S363">
        <v>0</v>
      </c>
      <c r="T363" t="s">
        <v>1301</v>
      </c>
      <c r="U363" t="s">
        <v>44</v>
      </c>
      <c r="W363" t="s">
        <v>1276</v>
      </c>
      <c r="Y363">
        <v>0</v>
      </c>
      <c r="AA363" t="s">
        <v>40</v>
      </c>
      <c r="AB363" t="s">
        <v>46</v>
      </c>
      <c r="AC363" t="s">
        <v>47</v>
      </c>
      <c r="AF363" t="s">
        <v>664</v>
      </c>
      <c r="AJ363" t="s">
        <v>40</v>
      </c>
      <c r="AK363" t="s">
        <v>49</v>
      </c>
      <c r="AO363" s="1">
        <v>45940</v>
      </c>
      <c r="AP363" s="5">
        <v>0.41666666666666669</v>
      </c>
      <c r="AS363">
        <v>1</v>
      </c>
    </row>
    <row r="364" spans="1:45" x14ac:dyDescent="0.2">
      <c r="A364">
        <f t="shared" si="22"/>
        <v>2025</v>
      </c>
      <c r="B364">
        <f t="shared" si="23"/>
        <v>10</v>
      </c>
      <c r="C364">
        <f t="shared" si="24"/>
        <v>41</v>
      </c>
      <c r="D364" s="2">
        <f t="shared" si="25"/>
        <v>45940</v>
      </c>
      <c r="E364" s="1">
        <v>45940.416666666664</v>
      </c>
      <c r="F364" t="s">
        <v>1302</v>
      </c>
      <c r="G364" t="s">
        <v>36</v>
      </c>
      <c r="H364">
        <v>454250</v>
      </c>
      <c r="I364" t="s">
        <v>51</v>
      </c>
      <c r="J364" t="s">
        <v>52</v>
      </c>
      <c r="M364" t="s">
        <v>40</v>
      </c>
      <c r="N364" t="s">
        <v>41</v>
      </c>
      <c r="O364" t="s">
        <v>53</v>
      </c>
      <c r="P364">
        <v>33</v>
      </c>
      <c r="Q364">
        <v>0</v>
      </c>
      <c r="R364">
        <v>0</v>
      </c>
      <c r="S364">
        <v>0</v>
      </c>
      <c r="T364" t="s">
        <v>54</v>
      </c>
      <c r="U364" t="s">
        <v>55</v>
      </c>
      <c r="W364" t="s">
        <v>1017</v>
      </c>
      <c r="Y364">
        <v>0</v>
      </c>
      <c r="AA364" t="s">
        <v>40</v>
      </c>
      <c r="AB364" t="s">
        <v>46</v>
      </c>
      <c r="AC364" t="s">
        <v>47</v>
      </c>
      <c r="AG364" t="s">
        <v>1303</v>
      </c>
      <c r="AJ364" t="s">
        <v>40</v>
      </c>
      <c r="AK364">
        <v>5019112139</v>
      </c>
      <c r="AO364" s="1">
        <v>45940</v>
      </c>
      <c r="AP364" s="5">
        <v>0.41666666666666669</v>
      </c>
      <c r="AS364">
        <v>1</v>
      </c>
    </row>
    <row r="365" spans="1:45" x14ac:dyDescent="0.2">
      <c r="A365">
        <f t="shared" si="22"/>
        <v>2025</v>
      </c>
      <c r="B365">
        <f t="shared" si="23"/>
        <v>10</v>
      </c>
      <c r="C365">
        <f t="shared" si="24"/>
        <v>41</v>
      </c>
      <c r="D365" s="2">
        <f t="shared" si="25"/>
        <v>45940</v>
      </c>
      <c r="E365" s="1">
        <v>45940.458333333336</v>
      </c>
      <c r="F365" t="s">
        <v>1304</v>
      </c>
      <c r="G365" t="s">
        <v>36</v>
      </c>
      <c r="H365" t="s">
        <v>320</v>
      </c>
      <c r="I365" t="s">
        <v>38</v>
      </c>
      <c r="J365" t="s">
        <v>321</v>
      </c>
      <c r="M365" t="s">
        <v>40</v>
      </c>
      <c r="N365" t="s">
        <v>41</v>
      </c>
      <c r="O365" t="s">
        <v>42</v>
      </c>
      <c r="P365">
        <v>33</v>
      </c>
      <c r="Q365">
        <v>0</v>
      </c>
      <c r="R365">
        <v>0</v>
      </c>
      <c r="S365">
        <v>0</v>
      </c>
      <c r="T365" t="s">
        <v>1305</v>
      </c>
      <c r="U365" t="s">
        <v>44</v>
      </c>
      <c r="W365" t="s">
        <v>1276</v>
      </c>
      <c r="Y365">
        <v>0</v>
      </c>
      <c r="AA365" t="s">
        <v>40</v>
      </c>
      <c r="AB365" t="s">
        <v>46</v>
      </c>
      <c r="AC365" t="s">
        <v>47</v>
      </c>
      <c r="AF365" t="s">
        <v>322</v>
      </c>
      <c r="AJ365" t="s">
        <v>40</v>
      </c>
      <c r="AK365" t="s">
        <v>49</v>
      </c>
      <c r="AO365" s="1">
        <v>45940</v>
      </c>
      <c r="AP365" s="5">
        <v>0.45833333333333331</v>
      </c>
      <c r="AS365">
        <v>1</v>
      </c>
    </row>
    <row r="366" spans="1:45" x14ac:dyDescent="0.2">
      <c r="A366">
        <f t="shared" si="22"/>
        <v>2025</v>
      </c>
      <c r="B366">
        <f t="shared" si="23"/>
        <v>10</v>
      </c>
      <c r="C366">
        <f t="shared" si="24"/>
        <v>41</v>
      </c>
      <c r="D366" s="2">
        <f t="shared" si="25"/>
        <v>45940</v>
      </c>
      <c r="E366" s="1">
        <v>45940.458333333336</v>
      </c>
      <c r="F366" t="s">
        <v>1306</v>
      </c>
      <c r="G366" t="s">
        <v>36</v>
      </c>
      <c r="H366">
        <v>454263</v>
      </c>
      <c r="I366" t="s">
        <v>51</v>
      </c>
      <c r="J366" t="s">
        <v>52</v>
      </c>
      <c r="M366" t="s">
        <v>40</v>
      </c>
      <c r="N366" t="s">
        <v>41</v>
      </c>
      <c r="O366" t="s">
        <v>53</v>
      </c>
      <c r="P366">
        <v>33</v>
      </c>
      <c r="Q366">
        <v>0</v>
      </c>
      <c r="R366">
        <v>0</v>
      </c>
      <c r="S366">
        <v>0</v>
      </c>
      <c r="T366" t="s">
        <v>54</v>
      </c>
      <c r="U366" t="s">
        <v>55</v>
      </c>
      <c r="W366" t="s">
        <v>1017</v>
      </c>
      <c r="Y366">
        <v>0</v>
      </c>
      <c r="AA366" t="s">
        <v>40</v>
      </c>
      <c r="AB366" t="s">
        <v>46</v>
      </c>
      <c r="AC366" t="s">
        <v>47</v>
      </c>
      <c r="AG366" t="s">
        <v>1307</v>
      </c>
      <c r="AJ366" t="s">
        <v>40</v>
      </c>
      <c r="AK366">
        <v>5019130075</v>
      </c>
      <c r="AO366" s="1">
        <v>45940</v>
      </c>
      <c r="AP366" s="5">
        <v>0.45833333333333331</v>
      </c>
      <c r="AS366">
        <v>1</v>
      </c>
    </row>
    <row r="367" spans="1:45" x14ac:dyDescent="0.2">
      <c r="A367">
        <f t="shared" si="22"/>
        <v>2025</v>
      </c>
      <c r="B367">
        <f t="shared" si="23"/>
        <v>10</v>
      </c>
      <c r="C367">
        <f t="shared" si="24"/>
        <v>41</v>
      </c>
      <c r="D367" s="2">
        <f t="shared" si="25"/>
        <v>45940</v>
      </c>
      <c r="E367" s="1">
        <v>45940.458333333336</v>
      </c>
      <c r="F367" t="s">
        <v>1308</v>
      </c>
      <c r="G367" t="s">
        <v>36</v>
      </c>
      <c r="H367" t="s">
        <v>106</v>
      </c>
      <c r="I367" t="s">
        <v>38</v>
      </c>
      <c r="J367" t="s">
        <v>107</v>
      </c>
      <c r="M367" t="s">
        <v>40</v>
      </c>
      <c r="N367" t="s">
        <v>41</v>
      </c>
      <c r="O367" t="s">
        <v>42</v>
      </c>
      <c r="P367">
        <v>33</v>
      </c>
      <c r="Q367">
        <v>0</v>
      </c>
      <c r="R367">
        <v>0</v>
      </c>
      <c r="S367">
        <v>0</v>
      </c>
      <c r="T367">
        <v>5019114199</v>
      </c>
      <c r="U367" t="s">
        <v>44</v>
      </c>
      <c r="W367" t="s">
        <v>1276</v>
      </c>
      <c r="Y367">
        <v>0</v>
      </c>
      <c r="AA367" t="s">
        <v>40</v>
      </c>
      <c r="AB367" t="s">
        <v>46</v>
      </c>
      <c r="AC367" t="s">
        <v>47</v>
      </c>
      <c r="AF367" t="s">
        <v>109</v>
      </c>
      <c r="AJ367" t="s">
        <v>40</v>
      </c>
      <c r="AK367" t="s">
        <v>49</v>
      </c>
      <c r="AO367" s="1">
        <v>45940</v>
      </c>
      <c r="AP367" s="5">
        <v>0.45833333333333331</v>
      </c>
      <c r="AS367">
        <v>1</v>
      </c>
    </row>
    <row r="368" spans="1:45" x14ac:dyDescent="0.2">
      <c r="A368">
        <f t="shared" si="22"/>
        <v>2025</v>
      </c>
      <c r="B368">
        <f t="shared" si="23"/>
        <v>10</v>
      </c>
      <c r="C368">
        <f t="shared" si="24"/>
        <v>41</v>
      </c>
      <c r="D368" s="2">
        <f t="shared" si="25"/>
        <v>45940</v>
      </c>
      <c r="E368" s="1">
        <v>45940.458333333336</v>
      </c>
      <c r="F368" t="s">
        <v>1309</v>
      </c>
      <c r="G368" t="s">
        <v>36</v>
      </c>
      <c r="H368" t="s">
        <v>1310</v>
      </c>
      <c r="I368" t="s">
        <v>78</v>
      </c>
      <c r="J368" t="s">
        <v>52</v>
      </c>
      <c r="L368" t="s">
        <v>1311</v>
      </c>
      <c r="M368" t="s">
        <v>40</v>
      </c>
      <c r="N368" t="s">
        <v>41</v>
      </c>
      <c r="O368" t="s">
        <v>145</v>
      </c>
      <c r="P368">
        <v>66</v>
      </c>
      <c r="Q368">
        <v>0</v>
      </c>
      <c r="R368">
        <v>0</v>
      </c>
      <c r="S368">
        <v>0</v>
      </c>
      <c r="T368" t="s">
        <v>54</v>
      </c>
      <c r="U368" t="s">
        <v>55</v>
      </c>
      <c r="W368" t="s">
        <v>1017</v>
      </c>
      <c r="Y368">
        <v>0</v>
      </c>
      <c r="AA368" t="s">
        <v>40</v>
      </c>
      <c r="AB368" t="s">
        <v>46</v>
      </c>
      <c r="AC368" t="s">
        <v>47</v>
      </c>
      <c r="AD368" t="s">
        <v>81</v>
      </c>
      <c r="AE368" t="s">
        <v>81</v>
      </c>
      <c r="AG368" t="s">
        <v>1312</v>
      </c>
      <c r="AJ368" t="s">
        <v>40</v>
      </c>
      <c r="AK368" t="s">
        <v>1313</v>
      </c>
      <c r="AO368" s="1">
        <v>45940</v>
      </c>
      <c r="AP368" s="5">
        <v>0.45833333333333331</v>
      </c>
      <c r="AS368">
        <v>1</v>
      </c>
    </row>
    <row r="369" spans="1:45" x14ac:dyDescent="0.2">
      <c r="A369">
        <f t="shared" si="22"/>
        <v>2025</v>
      </c>
      <c r="B369">
        <f t="shared" si="23"/>
        <v>10</v>
      </c>
      <c r="C369">
        <f t="shared" si="24"/>
        <v>41</v>
      </c>
      <c r="D369" s="2">
        <f t="shared" si="25"/>
        <v>45940</v>
      </c>
      <c r="E369" s="1">
        <v>45940.458333333336</v>
      </c>
      <c r="F369" t="s">
        <v>1314</v>
      </c>
      <c r="G369" t="s">
        <v>36</v>
      </c>
      <c r="H369" t="s">
        <v>1315</v>
      </c>
      <c r="I369" t="s">
        <v>38</v>
      </c>
      <c r="J369" t="s">
        <v>1316</v>
      </c>
      <c r="M369" t="s">
        <v>40</v>
      </c>
      <c r="N369" t="s">
        <v>41</v>
      </c>
      <c r="O369" t="s">
        <v>42</v>
      </c>
      <c r="P369">
        <v>27</v>
      </c>
      <c r="Q369">
        <v>0</v>
      </c>
      <c r="R369">
        <v>0</v>
      </c>
      <c r="S369">
        <v>0</v>
      </c>
      <c r="T369" t="s">
        <v>1317</v>
      </c>
      <c r="U369" t="s">
        <v>392</v>
      </c>
      <c r="W369" t="s">
        <v>1318</v>
      </c>
      <c r="Y369">
        <v>0</v>
      </c>
      <c r="AA369" t="s">
        <v>40</v>
      </c>
      <c r="AB369" t="s">
        <v>46</v>
      </c>
      <c r="AC369" t="s">
        <v>47</v>
      </c>
      <c r="AF369" t="s">
        <v>295</v>
      </c>
      <c r="AJ369" t="s">
        <v>40</v>
      </c>
      <c r="AK369" t="s">
        <v>49</v>
      </c>
      <c r="AO369" s="1">
        <v>45940</v>
      </c>
      <c r="AP369" s="5">
        <v>0.45833333333333331</v>
      </c>
      <c r="AS369">
        <v>1</v>
      </c>
    </row>
    <row r="370" spans="1:45" x14ac:dyDescent="0.2">
      <c r="A370">
        <f t="shared" si="22"/>
        <v>2025</v>
      </c>
      <c r="B370">
        <f t="shared" si="23"/>
        <v>10</v>
      </c>
      <c r="C370">
        <f t="shared" si="24"/>
        <v>41</v>
      </c>
      <c r="D370" s="2">
        <f t="shared" si="25"/>
        <v>45940</v>
      </c>
      <c r="E370" s="1">
        <v>45940.5</v>
      </c>
      <c r="F370" t="s">
        <v>1319</v>
      </c>
      <c r="G370" t="s">
        <v>36</v>
      </c>
      <c r="H370">
        <v>451372</v>
      </c>
      <c r="I370" t="s">
        <v>51</v>
      </c>
      <c r="J370" t="s">
        <v>154</v>
      </c>
      <c r="M370" t="s">
        <v>40</v>
      </c>
      <c r="N370" t="s">
        <v>41</v>
      </c>
      <c r="O370" t="s">
        <v>155</v>
      </c>
      <c r="P370">
        <v>33</v>
      </c>
      <c r="Q370">
        <v>0</v>
      </c>
      <c r="R370">
        <v>0</v>
      </c>
      <c r="S370">
        <v>0</v>
      </c>
      <c r="T370" t="s">
        <v>54</v>
      </c>
      <c r="U370" t="s">
        <v>55</v>
      </c>
      <c r="W370" t="s">
        <v>1320</v>
      </c>
      <c r="Y370">
        <v>0</v>
      </c>
      <c r="AA370" t="s">
        <v>40</v>
      </c>
      <c r="AB370" t="s">
        <v>46</v>
      </c>
      <c r="AC370" t="s">
        <v>47</v>
      </c>
      <c r="AG370" t="s">
        <v>1321</v>
      </c>
      <c r="AJ370" t="s">
        <v>40</v>
      </c>
      <c r="AK370">
        <v>5019116552</v>
      </c>
      <c r="AO370" s="1">
        <v>45940</v>
      </c>
      <c r="AP370" s="5">
        <v>0.5</v>
      </c>
      <c r="AS370">
        <v>1</v>
      </c>
    </row>
    <row r="371" spans="1:45" x14ac:dyDescent="0.2">
      <c r="A371">
        <f t="shared" si="22"/>
        <v>2025</v>
      </c>
      <c r="B371">
        <f t="shared" si="23"/>
        <v>10</v>
      </c>
      <c r="C371">
        <f t="shared" si="24"/>
        <v>41</v>
      </c>
      <c r="D371" s="2">
        <f t="shared" si="25"/>
        <v>45940</v>
      </c>
      <c r="E371" s="1">
        <v>45940.5</v>
      </c>
      <c r="F371" t="s">
        <v>1322</v>
      </c>
      <c r="G371" t="s">
        <v>36</v>
      </c>
      <c r="H371" t="s">
        <v>320</v>
      </c>
      <c r="I371" t="s">
        <v>38</v>
      </c>
      <c r="J371" t="s">
        <v>321</v>
      </c>
      <c r="M371" t="s">
        <v>40</v>
      </c>
      <c r="N371" t="s">
        <v>41</v>
      </c>
      <c r="O371" t="s">
        <v>42</v>
      </c>
      <c r="P371">
        <v>33</v>
      </c>
      <c r="Q371">
        <v>0</v>
      </c>
      <c r="R371">
        <v>0</v>
      </c>
      <c r="S371">
        <v>0</v>
      </c>
      <c r="T371">
        <v>5019134888</v>
      </c>
      <c r="U371" t="s">
        <v>44</v>
      </c>
      <c r="W371" t="s">
        <v>1276</v>
      </c>
      <c r="Y371">
        <v>0</v>
      </c>
      <c r="AA371" t="s">
        <v>40</v>
      </c>
      <c r="AB371" t="s">
        <v>46</v>
      </c>
      <c r="AC371" t="s">
        <v>47</v>
      </c>
      <c r="AF371" t="s">
        <v>322</v>
      </c>
      <c r="AJ371" t="s">
        <v>40</v>
      </c>
      <c r="AK371" t="s">
        <v>49</v>
      </c>
      <c r="AO371" s="1">
        <v>45940</v>
      </c>
      <c r="AP371" s="5">
        <v>0.5</v>
      </c>
      <c r="AS371">
        <v>1</v>
      </c>
    </row>
    <row r="372" spans="1:45" x14ac:dyDescent="0.2">
      <c r="A372">
        <f t="shared" si="22"/>
        <v>2025</v>
      </c>
      <c r="B372">
        <f t="shared" si="23"/>
        <v>10</v>
      </c>
      <c r="C372">
        <f t="shared" si="24"/>
        <v>41</v>
      </c>
      <c r="D372" s="2">
        <f t="shared" si="25"/>
        <v>45940</v>
      </c>
      <c r="E372" s="1">
        <v>45940.5</v>
      </c>
      <c r="F372" t="s">
        <v>1323</v>
      </c>
      <c r="G372" t="s">
        <v>36</v>
      </c>
      <c r="H372" t="s">
        <v>1054</v>
      </c>
      <c r="I372" t="s">
        <v>38</v>
      </c>
      <c r="J372" t="s">
        <v>348</v>
      </c>
      <c r="M372" t="s">
        <v>40</v>
      </c>
      <c r="N372" t="s">
        <v>41</v>
      </c>
      <c r="O372" t="s">
        <v>42</v>
      </c>
      <c r="P372">
        <v>19</v>
      </c>
      <c r="Q372">
        <v>0</v>
      </c>
      <c r="R372">
        <v>0</v>
      </c>
      <c r="S372">
        <v>0</v>
      </c>
      <c r="T372" t="s">
        <v>1324</v>
      </c>
      <c r="U372" t="s">
        <v>44</v>
      </c>
      <c r="W372" t="s">
        <v>1269</v>
      </c>
      <c r="Y372">
        <v>0</v>
      </c>
      <c r="AA372" t="s">
        <v>40</v>
      </c>
      <c r="AB372" t="s">
        <v>46</v>
      </c>
      <c r="AC372" t="s">
        <v>47</v>
      </c>
      <c r="AF372" t="s">
        <v>48</v>
      </c>
      <c r="AJ372" t="s">
        <v>40</v>
      </c>
      <c r="AK372" t="s">
        <v>49</v>
      </c>
      <c r="AO372" s="1">
        <v>45940</v>
      </c>
      <c r="AP372" s="5">
        <v>0.5</v>
      </c>
      <c r="AS372">
        <v>1</v>
      </c>
    </row>
    <row r="373" spans="1:45" x14ac:dyDescent="0.2">
      <c r="A373">
        <f t="shared" si="22"/>
        <v>2025</v>
      </c>
      <c r="B373">
        <f t="shared" si="23"/>
        <v>10</v>
      </c>
      <c r="C373">
        <f t="shared" si="24"/>
        <v>41</v>
      </c>
      <c r="D373" s="2">
        <f t="shared" si="25"/>
        <v>45940</v>
      </c>
      <c r="E373" s="1">
        <v>45940.5</v>
      </c>
      <c r="F373" t="s">
        <v>1325</v>
      </c>
      <c r="G373" t="s">
        <v>36</v>
      </c>
      <c r="H373">
        <v>458100</v>
      </c>
      <c r="I373" t="s">
        <v>51</v>
      </c>
      <c r="J373" t="s">
        <v>355</v>
      </c>
      <c r="M373" t="s">
        <v>40</v>
      </c>
      <c r="N373" t="s">
        <v>41</v>
      </c>
      <c r="O373" t="s">
        <v>530</v>
      </c>
      <c r="P373">
        <v>33</v>
      </c>
      <c r="Q373">
        <v>0</v>
      </c>
      <c r="R373">
        <v>0</v>
      </c>
      <c r="S373">
        <v>0</v>
      </c>
      <c r="T373" t="s">
        <v>54</v>
      </c>
      <c r="U373" t="s">
        <v>55</v>
      </c>
      <c r="W373" t="s">
        <v>1326</v>
      </c>
      <c r="Y373">
        <v>0</v>
      </c>
      <c r="AA373" t="s">
        <v>40</v>
      </c>
      <c r="AB373" t="s">
        <v>46</v>
      </c>
      <c r="AC373" t="s">
        <v>47</v>
      </c>
      <c r="AG373" t="s">
        <v>1327</v>
      </c>
      <c r="AJ373" t="s">
        <v>40</v>
      </c>
      <c r="AK373">
        <v>5019140789</v>
      </c>
      <c r="AO373" s="1">
        <v>45940</v>
      </c>
      <c r="AP373" s="5">
        <v>0.5</v>
      </c>
      <c r="AS373">
        <v>1</v>
      </c>
    </row>
    <row r="374" spans="1:45" x14ac:dyDescent="0.2">
      <c r="A374">
        <f t="shared" si="22"/>
        <v>2025</v>
      </c>
      <c r="B374">
        <f t="shared" si="23"/>
        <v>10</v>
      </c>
      <c r="C374">
        <f t="shared" si="24"/>
        <v>41</v>
      </c>
      <c r="D374" s="2">
        <f t="shared" si="25"/>
        <v>45940</v>
      </c>
      <c r="E374" s="1">
        <v>45940.541666666664</v>
      </c>
      <c r="F374" t="s">
        <v>1328</v>
      </c>
      <c r="G374" t="s">
        <v>36</v>
      </c>
      <c r="H374">
        <v>451388</v>
      </c>
      <c r="I374" t="s">
        <v>51</v>
      </c>
      <c r="J374" t="s">
        <v>154</v>
      </c>
      <c r="M374" t="s">
        <v>40</v>
      </c>
      <c r="N374" t="s">
        <v>41</v>
      </c>
      <c r="O374" t="s">
        <v>155</v>
      </c>
      <c r="P374">
        <v>33</v>
      </c>
      <c r="Q374">
        <v>0</v>
      </c>
      <c r="R374">
        <v>0</v>
      </c>
      <c r="S374">
        <v>0</v>
      </c>
      <c r="T374" t="s">
        <v>54</v>
      </c>
      <c r="U374" t="s">
        <v>55</v>
      </c>
      <c r="W374" t="s">
        <v>1320</v>
      </c>
      <c r="Y374">
        <v>0</v>
      </c>
      <c r="AA374" t="s">
        <v>40</v>
      </c>
      <c r="AB374" t="s">
        <v>46</v>
      </c>
      <c r="AC374" t="s">
        <v>47</v>
      </c>
      <c r="AG374" t="s">
        <v>1329</v>
      </c>
      <c r="AJ374" t="s">
        <v>40</v>
      </c>
      <c r="AK374">
        <v>5019070148</v>
      </c>
      <c r="AO374" s="1">
        <v>45940</v>
      </c>
      <c r="AP374" s="5">
        <v>0.54166666666666663</v>
      </c>
      <c r="AS374">
        <v>1</v>
      </c>
    </row>
    <row r="375" spans="1:45" x14ac:dyDescent="0.2">
      <c r="A375">
        <f t="shared" si="22"/>
        <v>2025</v>
      </c>
      <c r="B375">
        <f t="shared" si="23"/>
        <v>10</v>
      </c>
      <c r="C375">
        <f t="shared" si="24"/>
        <v>41</v>
      </c>
      <c r="D375" s="2">
        <f t="shared" si="25"/>
        <v>45940</v>
      </c>
      <c r="E375" s="1">
        <v>45940.541666666664</v>
      </c>
      <c r="F375" t="s">
        <v>1330</v>
      </c>
      <c r="G375" t="s">
        <v>36</v>
      </c>
      <c r="H375" t="s">
        <v>106</v>
      </c>
      <c r="I375" t="s">
        <v>38</v>
      </c>
      <c r="J375" t="s">
        <v>107</v>
      </c>
      <c r="M375" t="s">
        <v>40</v>
      </c>
      <c r="N375" t="s">
        <v>41</v>
      </c>
      <c r="O375" t="s">
        <v>42</v>
      </c>
      <c r="P375">
        <v>33</v>
      </c>
      <c r="Q375">
        <v>0</v>
      </c>
      <c r="R375">
        <v>0</v>
      </c>
      <c r="S375">
        <v>0</v>
      </c>
      <c r="T375" t="s">
        <v>1331</v>
      </c>
      <c r="U375" t="s">
        <v>44</v>
      </c>
      <c r="W375" t="s">
        <v>1276</v>
      </c>
      <c r="Y375">
        <v>0</v>
      </c>
      <c r="AA375" t="s">
        <v>40</v>
      </c>
      <c r="AB375" t="s">
        <v>46</v>
      </c>
      <c r="AC375" t="s">
        <v>47</v>
      </c>
      <c r="AF375" t="s">
        <v>109</v>
      </c>
      <c r="AJ375" t="s">
        <v>40</v>
      </c>
      <c r="AK375" t="s">
        <v>49</v>
      </c>
      <c r="AO375" s="1">
        <v>45940</v>
      </c>
      <c r="AP375" s="5">
        <v>0.54166666666666663</v>
      </c>
      <c r="AS375">
        <v>1</v>
      </c>
    </row>
    <row r="376" spans="1:45" x14ac:dyDescent="0.2">
      <c r="A376">
        <f t="shared" si="22"/>
        <v>2025</v>
      </c>
      <c r="B376">
        <f t="shared" si="23"/>
        <v>10</v>
      </c>
      <c r="C376">
        <f t="shared" si="24"/>
        <v>41</v>
      </c>
      <c r="D376" s="2">
        <f t="shared" si="25"/>
        <v>45940</v>
      </c>
      <c r="E376" s="1">
        <v>45940.541666666664</v>
      </c>
      <c r="F376" t="s">
        <v>1332</v>
      </c>
      <c r="G376" t="s">
        <v>36</v>
      </c>
      <c r="H376" t="s">
        <v>37</v>
      </c>
      <c r="I376" t="s">
        <v>38</v>
      </c>
      <c r="J376" t="s">
        <v>112</v>
      </c>
      <c r="M376" t="s">
        <v>40</v>
      </c>
      <c r="N376" t="s">
        <v>41</v>
      </c>
      <c r="O376" t="s">
        <v>42</v>
      </c>
      <c r="P376">
        <v>23</v>
      </c>
      <c r="Q376">
        <v>0</v>
      </c>
      <c r="R376">
        <v>0</v>
      </c>
      <c r="S376">
        <v>0</v>
      </c>
      <c r="T376" t="s">
        <v>1333</v>
      </c>
      <c r="U376" t="s">
        <v>44</v>
      </c>
      <c r="W376" t="s">
        <v>1269</v>
      </c>
      <c r="Y376">
        <v>0</v>
      </c>
      <c r="AA376" t="s">
        <v>40</v>
      </c>
      <c r="AB376" t="s">
        <v>46</v>
      </c>
      <c r="AC376" t="s">
        <v>47</v>
      </c>
      <c r="AF376" t="s">
        <v>48</v>
      </c>
      <c r="AJ376" t="s">
        <v>40</v>
      </c>
      <c r="AK376" t="s">
        <v>49</v>
      </c>
      <c r="AO376" s="1">
        <v>45940</v>
      </c>
      <c r="AP376" s="5">
        <v>0.54166666666666663</v>
      </c>
      <c r="AS376">
        <v>1</v>
      </c>
    </row>
    <row r="377" spans="1:45" x14ac:dyDescent="0.2">
      <c r="A377">
        <f t="shared" si="22"/>
        <v>2025</v>
      </c>
      <c r="B377">
        <f t="shared" si="23"/>
        <v>10</v>
      </c>
      <c r="C377">
        <f t="shared" si="24"/>
        <v>41</v>
      </c>
      <c r="D377" s="2">
        <f t="shared" si="25"/>
        <v>45940</v>
      </c>
      <c r="E377" s="1">
        <v>45940.541666666664</v>
      </c>
      <c r="F377" t="s">
        <v>1334</v>
      </c>
      <c r="G377" t="s">
        <v>36</v>
      </c>
      <c r="H377" t="s">
        <v>320</v>
      </c>
      <c r="I377" t="s">
        <v>38</v>
      </c>
      <c r="J377" t="s">
        <v>321</v>
      </c>
      <c r="M377" t="s">
        <v>40</v>
      </c>
      <c r="N377" t="s">
        <v>41</v>
      </c>
      <c r="O377" t="s">
        <v>42</v>
      </c>
      <c r="P377">
        <v>33</v>
      </c>
      <c r="Q377">
        <v>0</v>
      </c>
      <c r="R377">
        <v>0</v>
      </c>
      <c r="S377">
        <v>0</v>
      </c>
      <c r="T377" t="s">
        <v>1335</v>
      </c>
      <c r="U377" t="s">
        <v>44</v>
      </c>
      <c r="W377" t="s">
        <v>1276</v>
      </c>
      <c r="Y377">
        <v>0</v>
      </c>
      <c r="AA377" t="s">
        <v>40</v>
      </c>
      <c r="AB377" t="s">
        <v>46</v>
      </c>
      <c r="AC377" t="s">
        <v>47</v>
      </c>
      <c r="AF377" t="s">
        <v>322</v>
      </c>
      <c r="AJ377" t="s">
        <v>40</v>
      </c>
      <c r="AK377" t="s">
        <v>49</v>
      </c>
      <c r="AO377" s="1">
        <v>45940</v>
      </c>
      <c r="AP377" s="5">
        <v>0.54166666666666663</v>
      </c>
      <c r="AS377">
        <v>1</v>
      </c>
    </row>
    <row r="378" spans="1:45" x14ac:dyDescent="0.2">
      <c r="A378">
        <f t="shared" si="22"/>
        <v>2025</v>
      </c>
      <c r="B378">
        <f t="shared" si="23"/>
        <v>10</v>
      </c>
      <c r="C378">
        <f t="shared" si="24"/>
        <v>41</v>
      </c>
      <c r="D378" s="2">
        <f t="shared" si="25"/>
        <v>45940</v>
      </c>
      <c r="E378" s="1">
        <v>45940.583333333336</v>
      </c>
      <c r="F378" t="s">
        <v>1336</v>
      </c>
      <c r="G378" t="s">
        <v>36</v>
      </c>
      <c r="H378" t="s">
        <v>626</v>
      </c>
      <c r="I378" t="s">
        <v>38</v>
      </c>
      <c r="J378" t="s">
        <v>451</v>
      </c>
      <c r="M378" t="s">
        <v>40</v>
      </c>
      <c r="N378" t="s">
        <v>41</v>
      </c>
      <c r="O378" t="s">
        <v>42</v>
      </c>
      <c r="P378">
        <v>23</v>
      </c>
      <c r="Q378">
        <v>0</v>
      </c>
      <c r="R378">
        <v>0</v>
      </c>
      <c r="S378">
        <v>0</v>
      </c>
      <c r="T378" t="s">
        <v>1337</v>
      </c>
      <c r="U378" t="s">
        <v>44</v>
      </c>
      <c r="W378" t="s">
        <v>1269</v>
      </c>
      <c r="Y378">
        <v>0</v>
      </c>
      <c r="AA378" t="s">
        <v>40</v>
      </c>
      <c r="AB378" t="s">
        <v>820</v>
      </c>
      <c r="AC378" t="s">
        <v>47</v>
      </c>
      <c r="AF378" t="s">
        <v>48</v>
      </c>
      <c r="AJ378" t="s">
        <v>40</v>
      </c>
      <c r="AK378" t="s">
        <v>49</v>
      </c>
      <c r="AO378" s="1">
        <v>45940</v>
      </c>
      <c r="AP378" s="5">
        <v>0.58333333333333337</v>
      </c>
      <c r="AS378">
        <v>1</v>
      </c>
    </row>
    <row r="379" spans="1:45" x14ac:dyDescent="0.2">
      <c r="A379">
        <f t="shared" si="22"/>
        <v>2025</v>
      </c>
      <c r="B379">
        <f t="shared" si="23"/>
        <v>10</v>
      </c>
      <c r="C379">
        <f t="shared" si="24"/>
        <v>41</v>
      </c>
      <c r="D379" s="2">
        <f t="shared" si="25"/>
        <v>45940</v>
      </c>
      <c r="E379" s="1">
        <v>45940.583333333336</v>
      </c>
      <c r="F379" t="s">
        <v>1338</v>
      </c>
      <c r="G379" t="s">
        <v>36</v>
      </c>
      <c r="H379" t="s">
        <v>864</v>
      </c>
      <c r="I379" t="s">
        <v>38</v>
      </c>
      <c r="J379" t="s">
        <v>99</v>
      </c>
      <c r="M379" t="s">
        <v>40</v>
      </c>
      <c r="N379" t="s">
        <v>41</v>
      </c>
      <c r="O379" t="s">
        <v>42</v>
      </c>
      <c r="P379">
        <v>5</v>
      </c>
      <c r="Q379">
        <v>0</v>
      </c>
      <c r="R379">
        <v>0</v>
      </c>
      <c r="S379">
        <v>0</v>
      </c>
      <c r="T379" t="s">
        <v>1339</v>
      </c>
      <c r="U379" t="s">
        <v>101</v>
      </c>
      <c r="W379" t="s">
        <v>1269</v>
      </c>
      <c r="Y379">
        <v>0</v>
      </c>
      <c r="AA379" t="s">
        <v>40</v>
      </c>
      <c r="AB379" t="s">
        <v>46</v>
      </c>
      <c r="AC379" t="s">
        <v>47</v>
      </c>
      <c r="AF379" t="s">
        <v>48</v>
      </c>
      <c r="AJ379" t="s">
        <v>40</v>
      </c>
      <c r="AK379" t="s">
        <v>49</v>
      </c>
      <c r="AO379" s="1">
        <v>45940</v>
      </c>
      <c r="AP379" s="5">
        <v>0.58333333333333337</v>
      </c>
      <c r="AS379">
        <v>1</v>
      </c>
    </row>
    <row r="380" spans="1:45" x14ac:dyDescent="0.2">
      <c r="A380">
        <f t="shared" si="22"/>
        <v>2025</v>
      </c>
      <c r="B380">
        <f t="shared" si="23"/>
        <v>10</v>
      </c>
      <c r="C380">
        <f t="shared" si="24"/>
        <v>41</v>
      </c>
      <c r="D380" s="2">
        <f t="shared" si="25"/>
        <v>45940</v>
      </c>
      <c r="E380" s="1">
        <v>45940.583333333336</v>
      </c>
      <c r="F380" t="s">
        <v>1340</v>
      </c>
      <c r="G380" t="s">
        <v>36</v>
      </c>
      <c r="H380" t="s">
        <v>320</v>
      </c>
      <c r="I380" t="s">
        <v>38</v>
      </c>
      <c r="J380" t="s">
        <v>321</v>
      </c>
      <c r="M380" t="s">
        <v>40</v>
      </c>
      <c r="N380" t="s">
        <v>41</v>
      </c>
      <c r="O380" t="s">
        <v>42</v>
      </c>
      <c r="P380">
        <v>33</v>
      </c>
      <c r="Q380">
        <v>0</v>
      </c>
      <c r="R380">
        <v>0</v>
      </c>
      <c r="S380">
        <v>0</v>
      </c>
      <c r="T380" t="s">
        <v>1341</v>
      </c>
      <c r="U380" t="s">
        <v>44</v>
      </c>
      <c r="W380" t="s">
        <v>1276</v>
      </c>
      <c r="Y380">
        <v>0</v>
      </c>
      <c r="AA380" t="s">
        <v>40</v>
      </c>
      <c r="AB380" t="s">
        <v>46</v>
      </c>
      <c r="AC380" t="s">
        <v>47</v>
      </c>
      <c r="AF380" t="s">
        <v>322</v>
      </c>
      <c r="AJ380" t="s">
        <v>40</v>
      </c>
      <c r="AK380" t="s">
        <v>49</v>
      </c>
      <c r="AO380" s="1">
        <v>45940</v>
      </c>
      <c r="AP380" s="5">
        <v>0.58333333333333337</v>
      </c>
      <c r="AS380">
        <v>1</v>
      </c>
    </row>
    <row r="381" spans="1:45" x14ac:dyDescent="0.2">
      <c r="A381">
        <f t="shared" si="22"/>
        <v>2025</v>
      </c>
      <c r="B381">
        <f t="shared" si="23"/>
        <v>10</v>
      </c>
      <c r="C381">
        <f t="shared" si="24"/>
        <v>41</v>
      </c>
      <c r="D381" s="2">
        <f t="shared" si="25"/>
        <v>45940</v>
      </c>
      <c r="E381" s="1">
        <v>45940.583333333336</v>
      </c>
      <c r="F381" t="s">
        <v>1342</v>
      </c>
      <c r="G381" t="s">
        <v>36</v>
      </c>
      <c r="H381" t="s">
        <v>1343</v>
      </c>
      <c r="I381" t="s">
        <v>218</v>
      </c>
      <c r="J381" t="s">
        <v>1344</v>
      </c>
      <c r="M381" t="s">
        <v>40</v>
      </c>
      <c r="N381" t="s">
        <v>41</v>
      </c>
      <c r="O381" t="s">
        <v>1345</v>
      </c>
      <c r="P381">
        <v>99</v>
      </c>
      <c r="Q381">
        <v>0</v>
      </c>
      <c r="R381">
        <v>0</v>
      </c>
      <c r="S381">
        <v>0</v>
      </c>
      <c r="T381" t="s">
        <v>91</v>
      </c>
      <c r="U381" t="s">
        <v>55</v>
      </c>
      <c r="W381" t="s">
        <v>1346</v>
      </c>
      <c r="X381" t="s">
        <v>1347</v>
      </c>
      <c r="Y381">
        <v>0</v>
      </c>
      <c r="AA381" t="s">
        <v>40</v>
      </c>
      <c r="AB381" t="s">
        <v>46</v>
      </c>
      <c r="AC381" t="s">
        <v>47</v>
      </c>
      <c r="AD381" t="s">
        <v>223</v>
      </c>
      <c r="AE381" t="s">
        <v>223</v>
      </c>
      <c r="AG381" t="s">
        <v>1348</v>
      </c>
      <c r="AJ381" t="s">
        <v>40</v>
      </c>
      <c r="AK381" t="s">
        <v>1349</v>
      </c>
      <c r="AL381" t="s">
        <v>1350</v>
      </c>
      <c r="AO381" s="1">
        <v>45940</v>
      </c>
      <c r="AP381" s="5">
        <v>0.58333333333333337</v>
      </c>
      <c r="AS381">
        <v>1</v>
      </c>
    </row>
    <row r="382" spans="1:45" x14ac:dyDescent="0.2">
      <c r="A382">
        <f t="shared" si="22"/>
        <v>2025</v>
      </c>
      <c r="B382">
        <f t="shared" si="23"/>
        <v>10</v>
      </c>
      <c r="C382">
        <f t="shared" si="24"/>
        <v>41</v>
      </c>
      <c r="D382" s="2">
        <f t="shared" si="25"/>
        <v>45940</v>
      </c>
      <c r="E382" s="1">
        <v>45940.625</v>
      </c>
      <c r="F382" t="s">
        <v>1351</v>
      </c>
      <c r="G382" t="s">
        <v>36</v>
      </c>
      <c r="H382" t="s">
        <v>626</v>
      </c>
      <c r="I382" t="s">
        <v>38</v>
      </c>
      <c r="J382" t="s">
        <v>451</v>
      </c>
      <c r="M382" t="s">
        <v>40</v>
      </c>
      <c r="N382" t="s">
        <v>41</v>
      </c>
      <c r="O382" t="s">
        <v>42</v>
      </c>
      <c r="P382">
        <v>23</v>
      </c>
      <c r="Q382">
        <v>0</v>
      </c>
      <c r="R382">
        <v>0</v>
      </c>
      <c r="S382">
        <v>0</v>
      </c>
      <c r="T382" t="s">
        <v>1352</v>
      </c>
      <c r="U382" t="s">
        <v>44</v>
      </c>
      <c r="W382" t="s">
        <v>1269</v>
      </c>
      <c r="Y382">
        <v>0</v>
      </c>
      <c r="AA382" t="s">
        <v>40</v>
      </c>
      <c r="AB382" t="s">
        <v>46</v>
      </c>
      <c r="AC382" t="s">
        <v>47</v>
      </c>
      <c r="AF382" t="s">
        <v>48</v>
      </c>
      <c r="AJ382" t="s">
        <v>40</v>
      </c>
      <c r="AK382" t="s">
        <v>49</v>
      </c>
      <c r="AO382" s="1">
        <v>45940</v>
      </c>
      <c r="AP382" s="5">
        <v>0.625</v>
      </c>
      <c r="AS382">
        <v>1</v>
      </c>
    </row>
    <row r="383" spans="1:45" x14ac:dyDescent="0.2">
      <c r="A383">
        <f t="shared" si="22"/>
        <v>2025</v>
      </c>
      <c r="B383">
        <f t="shared" si="23"/>
        <v>10</v>
      </c>
      <c r="C383">
        <f t="shared" si="24"/>
        <v>41</v>
      </c>
      <c r="D383" s="2">
        <f t="shared" si="25"/>
        <v>45940</v>
      </c>
      <c r="E383" s="1">
        <v>45940.625</v>
      </c>
      <c r="F383" t="s">
        <v>1353</v>
      </c>
      <c r="G383" t="s">
        <v>36</v>
      </c>
      <c r="H383" t="s">
        <v>1354</v>
      </c>
      <c r="I383" t="s">
        <v>78</v>
      </c>
      <c r="J383" t="s">
        <v>200</v>
      </c>
      <c r="M383" t="s">
        <v>40</v>
      </c>
      <c r="N383" t="s">
        <v>41</v>
      </c>
      <c r="O383" t="s">
        <v>525</v>
      </c>
      <c r="P383">
        <v>66</v>
      </c>
      <c r="Q383">
        <v>0</v>
      </c>
      <c r="R383">
        <v>0</v>
      </c>
      <c r="S383">
        <v>0</v>
      </c>
      <c r="T383" t="s">
        <v>54</v>
      </c>
      <c r="U383" t="s">
        <v>55</v>
      </c>
      <c r="W383" t="s">
        <v>1355</v>
      </c>
      <c r="X383" t="s">
        <v>1356</v>
      </c>
      <c r="Y383">
        <v>0</v>
      </c>
      <c r="AA383" t="s">
        <v>40</v>
      </c>
      <c r="AB383" t="s">
        <v>46</v>
      </c>
      <c r="AC383" t="s">
        <v>47</v>
      </c>
      <c r="AD383" t="s">
        <v>81</v>
      </c>
      <c r="AE383" t="s">
        <v>81</v>
      </c>
      <c r="AG383" t="s">
        <v>1357</v>
      </c>
      <c r="AJ383" t="s">
        <v>40</v>
      </c>
      <c r="AK383" t="s">
        <v>1358</v>
      </c>
      <c r="AL383" t="s">
        <v>1359</v>
      </c>
      <c r="AO383" s="1">
        <v>45940</v>
      </c>
      <c r="AP383" s="5">
        <v>0.625</v>
      </c>
      <c r="AS383">
        <v>1</v>
      </c>
    </row>
    <row r="384" spans="1:45" x14ac:dyDescent="0.2">
      <c r="A384">
        <f t="shared" si="22"/>
        <v>2025</v>
      </c>
      <c r="B384">
        <f t="shared" si="23"/>
        <v>10</v>
      </c>
      <c r="C384">
        <f t="shared" si="24"/>
        <v>41</v>
      </c>
      <c r="D384" s="2">
        <f t="shared" si="25"/>
        <v>45940</v>
      </c>
      <c r="E384" s="1">
        <v>45940.625</v>
      </c>
      <c r="F384" t="s">
        <v>1360</v>
      </c>
      <c r="G384" t="s">
        <v>36</v>
      </c>
      <c r="H384">
        <v>458146</v>
      </c>
      <c r="I384" t="s">
        <v>51</v>
      </c>
      <c r="J384" t="s">
        <v>188</v>
      </c>
      <c r="M384" t="s">
        <v>40</v>
      </c>
      <c r="N384" t="s">
        <v>41</v>
      </c>
      <c r="O384" t="s">
        <v>172</v>
      </c>
      <c r="P384">
        <v>33</v>
      </c>
      <c r="Q384">
        <v>0</v>
      </c>
      <c r="R384">
        <v>0</v>
      </c>
      <c r="S384">
        <v>0</v>
      </c>
      <c r="T384" t="s">
        <v>54</v>
      </c>
      <c r="U384" t="s">
        <v>55</v>
      </c>
      <c r="W384" t="s">
        <v>1326</v>
      </c>
      <c r="Y384">
        <v>0</v>
      </c>
      <c r="AA384" t="s">
        <v>40</v>
      </c>
      <c r="AB384" t="s">
        <v>46</v>
      </c>
      <c r="AC384" t="s">
        <v>47</v>
      </c>
      <c r="AG384" t="s">
        <v>1361</v>
      </c>
      <c r="AJ384" t="s">
        <v>40</v>
      </c>
      <c r="AK384">
        <v>5019143716</v>
      </c>
      <c r="AO384" s="1">
        <v>45940</v>
      </c>
      <c r="AP384" s="5">
        <v>0.625</v>
      </c>
      <c r="AS384">
        <v>1</v>
      </c>
    </row>
    <row r="385" spans="1:45" x14ac:dyDescent="0.2">
      <c r="A385">
        <f t="shared" si="22"/>
        <v>2025</v>
      </c>
      <c r="B385">
        <f t="shared" si="23"/>
        <v>10</v>
      </c>
      <c r="C385">
        <f t="shared" si="24"/>
        <v>41</v>
      </c>
      <c r="D385" s="2">
        <f t="shared" si="25"/>
        <v>45940</v>
      </c>
      <c r="E385" s="1">
        <v>45940.666666666664</v>
      </c>
      <c r="F385" t="s">
        <v>1362</v>
      </c>
      <c r="G385" t="s">
        <v>36</v>
      </c>
      <c r="H385" t="s">
        <v>1363</v>
      </c>
      <c r="I385" t="s">
        <v>78</v>
      </c>
      <c r="J385" t="s">
        <v>154</v>
      </c>
      <c r="M385" t="s">
        <v>40</v>
      </c>
      <c r="N385" t="s">
        <v>41</v>
      </c>
      <c r="O385" t="s">
        <v>1364</v>
      </c>
      <c r="P385">
        <v>66</v>
      </c>
      <c r="Q385">
        <v>0</v>
      </c>
      <c r="R385">
        <v>0</v>
      </c>
      <c r="S385">
        <v>0</v>
      </c>
      <c r="T385" t="s">
        <v>54</v>
      </c>
      <c r="U385" t="s">
        <v>55</v>
      </c>
      <c r="W385" t="s">
        <v>1365</v>
      </c>
      <c r="Y385">
        <v>0</v>
      </c>
      <c r="AA385" t="s">
        <v>40</v>
      </c>
      <c r="AB385" t="s">
        <v>46</v>
      </c>
      <c r="AC385" t="s">
        <v>47</v>
      </c>
      <c r="AD385" t="s">
        <v>81</v>
      </c>
      <c r="AE385" t="s">
        <v>81</v>
      </c>
      <c r="AG385" t="s">
        <v>1366</v>
      </c>
      <c r="AJ385" t="s">
        <v>40</v>
      </c>
      <c r="AK385" t="s">
        <v>1367</v>
      </c>
      <c r="AO385" s="1">
        <v>45940</v>
      </c>
      <c r="AP385" s="5">
        <v>0.66666666666666663</v>
      </c>
      <c r="AS385">
        <v>1</v>
      </c>
    </row>
    <row r="386" spans="1:45" x14ac:dyDescent="0.2">
      <c r="A386">
        <f t="shared" ref="A386:A449" si="26">YEAR(D386)</f>
        <v>2025</v>
      </c>
      <c r="B386">
        <f t="shared" ref="B386:B449" si="27">MONTH(D386)</f>
        <v>10</v>
      </c>
      <c r="C386">
        <f t="shared" ref="C386:C449" si="28">WEEKNUM(D386)</f>
        <v>41</v>
      </c>
      <c r="D386" s="2">
        <f t="shared" ref="D386:D449" si="29">INT(E386)</f>
        <v>45940</v>
      </c>
      <c r="E386" s="1">
        <v>45940.666666666664</v>
      </c>
      <c r="F386" t="s">
        <v>1368</v>
      </c>
      <c r="G386" t="s">
        <v>36</v>
      </c>
      <c r="H386">
        <v>451379</v>
      </c>
      <c r="I386" t="s">
        <v>51</v>
      </c>
      <c r="J386" t="s">
        <v>154</v>
      </c>
      <c r="M386" t="s">
        <v>40</v>
      </c>
      <c r="N386" t="s">
        <v>41</v>
      </c>
      <c r="O386" t="s">
        <v>155</v>
      </c>
      <c r="P386">
        <v>33</v>
      </c>
      <c r="Q386">
        <v>0</v>
      </c>
      <c r="R386">
        <v>0</v>
      </c>
      <c r="S386">
        <v>0</v>
      </c>
      <c r="T386" t="s">
        <v>54</v>
      </c>
      <c r="U386" t="s">
        <v>55</v>
      </c>
      <c r="W386" t="s">
        <v>1320</v>
      </c>
      <c r="Y386">
        <v>0</v>
      </c>
      <c r="AA386" t="s">
        <v>40</v>
      </c>
      <c r="AB386" t="s">
        <v>46</v>
      </c>
      <c r="AC386" t="s">
        <v>47</v>
      </c>
      <c r="AG386" t="s">
        <v>1369</v>
      </c>
      <c r="AJ386" t="s">
        <v>40</v>
      </c>
      <c r="AK386">
        <v>5019123953</v>
      </c>
      <c r="AO386" s="1">
        <v>45940</v>
      </c>
      <c r="AP386" s="5">
        <v>0.66666666666666663</v>
      </c>
      <c r="AS386">
        <v>1</v>
      </c>
    </row>
    <row r="387" spans="1:45" x14ac:dyDescent="0.2">
      <c r="A387">
        <f t="shared" si="26"/>
        <v>2025</v>
      </c>
      <c r="B387">
        <f t="shared" si="27"/>
        <v>10</v>
      </c>
      <c r="C387">
        <f t="shared" si="28"/>
        <v>41</v>
      </c>
      <c r="D387" s="2">
        <f t="shared" si="29"/>
        <v>45940</v>
      </c>
      <c r="E387" s="1">
        <v>45940.666666666664</v>
      </c>
      <c r="F387" t="s">
        <v>1370</v>
      </c>
      <c r="G387" t="s">
        <v>36</v>
      </c>
      <c r="H387" t="s">
        <v>1371</v>
      </c>
      <c r="I387" t="s">
        <v>78</v>
      </c>
      <c r="J387" t="s">
        <v>144</v>
      </c>
      <c r="M387" t="s">
        <v>40</v>
      </c>
      <c r="N387" t="s">
        <v>41</v>
      </c>
      <c r="O387" t="s">
        <v>145</v>
      </c>
      <c r="P387">
        <v>66</v>
      </c>
      <c r="Q387">
        <v>0</v>
      </c>
      <c r="R387">
        <v>0</v>
      </c>
      <c r="S387">
        <v>0</v>
      </c>
      <c r="T387" t="s">
        <v>54</v>
      </c>
      <c r="U387" t="s">
        <v>55</v>
      </c>
      <c r="W387" t="s">
        <v>1259</v>
      </c>
      <c r="X387" t="s">
        <v>1372</v>
      </c>
      <c r="Y387">
        <v>0</v>
      </c>
      <c r="AA387" t="s">
        <v>40</v>
      </c>
      <c r="AB387" t="s">
        <v>46</v>
      </c>
      <c r="AC387" t="s">
        <v>47</v>
      </c>
      <c r="AD387" t="s">
        <v>81</v>
      </c>
      <c r="AE387" t="s">
        <v>81</v>
      </c>
      <c r="AG387" t="s">
        <v>1373</v>
      </c>
      <c r="AJ387" t="s">
        <v>40</v>
      </c>
      <c r="AK387" t="s">
        <v>1374</v>
      </c>
      <c r="AL387" t="s">
        <v>1375</v>
      </c>
      <c r="AM387" t="s">
        <v>1376</v>
      </c>
      <c r="AO387" s="1">
        <v>45940</v>
      </c>
      <c r="AP387" s="5">
        <v>0.66666666666666663</v>
      </c>
      <c r="AS387">
        <v>1</v>
      </c>
    </row>
    <row r="388" spans="1:45" x14ac:dyDescent="0.2">
      <c r="A388">
        <f t="shared" si="26"/>
        <v>2025</v>
      </c>
      <c r="B388">
        <f t="shared" si="27"/>
        <v>10</v>
      </c>
      <c r="C388">
        <f t="shared" si="28"/>
        <v>41</v>
      </c>
      <c r="D388" s="2">
        <f t="shared" si="29"/>
        <v>45940</v>
      </c>
      <c r="E388" s="1">
        <v>45940.666666666664</v>
      </c>
      <c r="F388" t="s">
        <v>1377</v>
      </c>
      <c r="G388" t="s">
        <v>36</v>
      </c>
      <c r="H388" t="s">
        <v>320</v>
      </c>
      <c r="I388" t="s">
        <v>38</v>
      </c>
      <c r="J388" t="s">
        <v>321</v>
      </c>
      <c r="M388" t="s">
        <v>40</v>
      </c>
      <c r="N388" t="s">
        <v>41</v>
      </c>
      <c r="O388" t="s">
        <v>42</v>
      </c>
      <c r="P388">
        <v>33</v>
      </c>
      <c r="Q388">
        <v>0</v>
      </c>
      <c r="R388">
        <v>0</v>
      </c>
      <c r="S388">
        <v>0</v>
      </c>
      <c r="T388" t="s">
        <v>1378</v>
      </c>
      <c r="U388" t="s">
        <v>44</v>
      </c>
      <c r="W388" t="s">
        <v>1276</v>
      </c>
      <c r="Y388">
        <v>0</v>
      </c>
      <c r="AA388" t="s">
        <v>40</v>
      </c>
      <c r="AB388" t="s">
        <v>820</v>
      </c>
      <c r="AC388" t="s">
        <v>47</v>
      </c>
      <c r="AF388" t="s">
        <v>322</v>
      </c>
      <c r="AJ388" t="s">
        <v>40</v>
      </c>
      <c r="AK388" t="s">
        <v>49</v>
      </c>
      <c r="AO388" s="1">
        <v>45940</v>
      </c>
      <c r="AP388" s="5">
        <v>0.66666666666666663</v>
      </c>
      <c r="AS388">
        <v>1</v>
      </c>
    </row>
    <row r="389" spans="1:45" x14ac:dyDescent="0.2">
      <c r="A389">
        <f t="shared" si="26"/>
        <v>2025</v>
      </c>
      <c r="B389">
        <f t="shared" si="27"/>
        <v>10</v>
      </c>
      <c r="C389">
        <f t="shared" si="28"/>
        <v>41</v>
      </c>
      <c r="D389" s="2">
        <f t="shared" si="29"/>
        <v>45940</v>
      </c>
      <c r="E389" s="1">
        <v>45940.708333333336</v>
      </c>
      <c r="F389" t="s">
        <v>1379</v>
      </c>
      <c r="G389" t="s">
        <v>36</v>
      </c>
      <c r="H389">
        <v>451361</v>
      </c>
      <c r="I389" t="s">
        <v>51</v>
      </c>
      <c r="J389" t="s">
        <v>144</v>
      </c>
      <c r="M389" t="s">
        <v>40</v>
      </c>
      <c r="N389" t="s">
        <v>41</v>
      </c>
      <c r="O389" t="s">
        <v>90</v>
      </c>
      <c r="P389">
        <v>33</v>
      </c>
      <c r="Q389">
        <v>0</v>
      </c>
      <c r="R389">
        <v>0</v>
      </c>
      <c r="S389">
        <v>0</v>
      </c>
      <c r="T389" t="s">
        <v>54</v>
      </c>
      <c r="U389" t="s">
        <v>55</v>
      </c>
      <c r="W389" t="s">
        <v>732</v>
      </c>
      <c r="X389" t="s">
        <v>1380</v>
      </c>
      <c r="Y389">
        <v>0</v>
      </c>
      <c r="AA389" t="s">
        <v>40</v>
      </c>
      <c r="AB389" t="s">
        <v>46</v>
      </c>
      <c r="AC389" t="s">
        <v>47</v>
      </c>
      <c r="AG389" t="s">
        <v>1381</v>
      </c>
      <c r="AJ389" t="s">
        <v>40</v>
      </c>
      <c r="AK389">
        <v>5019146555</v>
      </c>
      <c r="AL389" t="s">
        <v>1382</v>
      </c>
      <c r="AM389" t="s">
        <v>1383</v>
      </c>
      <c r="AO389" s="1">
        <v>45940</v>
      </c>
      <c r="AP389" s="5">
        <v>0.70833333333333337</v>
      </c>
      <c r="AS389">
        <v>1</v>
      </c>
    </row>
    <row r="390" spans="1:45" x14ac:dyDescent="0.2">
      <c r="A390">
        <f t="shared" si="26"/>
        <v>2025</v>
      </c>
      <c r="B390">
        <f t="shared" si="27"/>
        <v>10</v>
      </c>
      <c r="C390">
        <f t="shared" si="28"/>
        <v>41</v>
      </c>
      <c r="D390" s="2">
        <f t="shared" si="29"/>
        <v>45940</v>
      </c>
      <c r="E390" s="1">
        <v>45940.708333333336</v>
      </c>
      <c r="F390" t="s">
        <v>1384</v>
      </c>
      <c r="G390" t="s">
        <v>36</v>
      </c>
      <c r="H390" t="s">
        <v>1385</v>
      </c>
      <c r="I390" t="s">
        <v>218</v>
      </c>
      <c r="J390" t="s">
        <v>163</v>
      </c>
      <c r="M390" t="s">
        <v>40</v>
      </c>
      <c r="N390" t="s">
        <v>41</v>
      </c>
      <c r="O390" t="s">
        <v>1386</v>
      </c>
      <c r="P390">
        <v>99</v>
      </c>
      <c r="Q390">
        <v>0</v>
      </c>
      <c r="R390">
        <v>0</v>
      </c>
      <c r="S390">
        <v>0</v>
      </c>
      <c r="T390" t="s">
        <v>54</v>
      </c>
      <c r="U390" t="s">
        <v>55</v>
      </c>
      <c r="W390" t="s">
        <v>1080</v>
      </c>
      <c r="Y390">
        <v>0</v>
      </c>
      <c r="AA390" t="s">
        <v>40</v>
      </c>
      <c r="AB390" t="s">
        <v>46</v>
      </c>
      <c r="AC390" t="s">
        <v>47</v>
      </c>
      <c r="AD390" t="s">
        <v>223</v>
      </c>
      <c r="AE390" t="s">
        <v>223</v>
      </c>
      <c r="AG390" t="s">
        <v>1387</v>
      </c>
      <c r="AJ390" t="s">
        <v>40</v>
      </c>
      <c r="AK390" t="s">
        <v>1388</v>
      </c>
      <c r="AO390" s="1">
        <v>45940</v>
      </c>
      <c r="AP390" s="5">
        <v>0.70833333333333337</v>
      </c>
      <c r="AS390">
        <v>1</v>
      </c>
    </row>
    <row r="391" spans="1:45" x14ac:dyDescent="0.2">
      <c r="A391">
        <f t="shared" si="26"/>
        <v>2025</v>
      </c>
      <c r="B391">
        <f t="shared" si="27"/>
        <v>10</v>
      </c>
      <c r="C391">
        <f t="shared" si="28"/>
        <v>41</v>
      </c>
      <c r="D391" s="2">
        <f t="shared" si="29"/>
        <v>45940</v>
      </c>
      <c r="E391" s="1">
        <v>45940.75</v>
      </c>
      <c r="F391" t="s">
        <v>1389</v>
      </c>
      <c r="G391" t="s">
        <v>36</v>
      </c>
      <c r="H391">
        <v>451378</v>
      </c>
      <c r="I391" t="s">
        <v>51</v>
      </c>
      <c r="J391" t="s">
        <v>200</v>
      </c>
      <c r="M391" t="s">
        <v>40</v>
      </c>
      <c r="N391" t="s">
        <v>41</v>
      </c>
      <c r="O391" t="s">
        <v>182</v>
      </c>
      <c r="P391">
        <v>33</v>
      </c>
      <c r="Q391">
        <v>0</v>
      </c>
      <c r="R391">
        <v>0</v>
      </c>
      <c r="S391">
        <v>0</v>
      </c>
      <c r="T391" t="s">
        <v>54</v>
      </c>
      <c r="U391" t="s">
        <v>55</v>
      </c>
      <c r="W391" t="s">
        <v>1390</v>
      </c>
      <c r="Y391">
        <v>0</v>
      </c>
      <c r="AA391" t="s">
        <v>40</v>
      </c>
      <c r="AB391" t="s">
        <v>46</v>
      </c>
      <c r="AC391" t="s">
        <v>47</v>
      </c>
      <c r="AG391" t="s">
        <v>1391</v>
      </c>
      <c r="AJ391" t="s">
        <v>40</v>
      </c>
      <c r="AK391">
        <v>5019134749</v>
      </c>
      <c r="AO391" s="1">
        <v>45940</v>
      </c>
      <c r="AP391" s="5">
        <v>0.75</v>
      </c>
      <c r="AS391">
        <v>1</v>
      </c>
    </row>
    <row r="392" spans="1:45" x14ac:dyDescent="0.2">
      <c r="A392">
        <f t="shared" si="26"/>
        <v>2025</v>
      </c>
      <c r="B392">
        <f t="shared" si="27"/>
        <v>10</v>
      </c>
      <c r="C392">
        <f t="shared" si="28"/>
        <v>41</v>
      </c>
      <c r="D392" s="2">
        <f t="shared" si="29"/>
        <v>45940</v>
      </c>
      <c r="E392" s="1">
        <v>45940.75</v>
      </c>
      <c r="F392" t="s">
        <v>1392</v>
      </c>
      <c r="G392" t="s">
        <v>36</v>
      </c>
      <c r="H392" t="s">
        <v>1393</v>
      </c>
      <c r="I392" t="s">
        <v>218</v>
      </c>
      <c r="J392" t="s">
        <v>144</v>
      </c>
      <c r="M392" t="s">
        <v>40</v>
      </c>
      <c r="N392" t="s">
        <v>41</v>
      </c>
      <c r="O392" t="s">
        <v>220</v>
      </c>
      <c r="P392">
        <v>99</v>
      </c>
      <c r="Q392">
        <v>0</v>
      </c>
      <c r="R392">
        <v>0</v>
      </c>
      <c r="S392">
        <v>0</v>
      </c>
      <c r="T392" t="s">
        <v>54</v>
      </c>
      <c r="U392" t="s">
        <v>55</v>
      </c>
      <c r="W392" t="s">
        <v>1394</v>
      </c>
      <c r="Y392">
        <v>0</v>
      </c>
      <c r="AA392" t="s">
        <v>40</v>
      </c>
      <c r="AB392" t="s">
        <v>46</v>
      </c>
      <c r="AC392" t="s">
        <v>47</v>
      </c>
      <c r="AD392" t="s">
        <v>223</v>
      </c>
      <c r="AE392" t="s">
        <v>223</v>
      </c>
      <c r="AG392" t="s">
        <v>1395</v>
      </c>
      <c r="AJ392" t="s">
        <v>40</v>
      </c>
      <c r="AK392" t="s">
        <v>1396</v>
      </c>
      <c r="AO392" s="1">
        <v>45940</v>
      </c>
      <c r="AP392" s="5">
        <v>0.75</v>
      </c>
      <c r="AS392">
        <v>1</v>
      </c>
    </row>
    <row r="393" spans="1:45" x14ac:dyDescent="0.2">
      <c r="A393">
        <f t="shared" si="26"/>
        <v>2025</v>
      </c>
      <c r="B393">
        <f t="shared" si="27"/>
        <v>10</v>
      </c>
      <c r="C393">
        <f t="shared" si="28"/>
        <v>41</v>
      </c>
      <c r="D393" s="2">
        <f t="shared" si="29"/>
        <v>45940</v>
      </c>
      <c r="E393" s="1">
        <v>45940.791666666664</v>
      </c>
      <c r="F393" t="s">
        <v>1397</v>
      </c>
      <c r="G393" t="s">
        <v>36</v>
      </c>
      <c r="H393">
        <v>458125</v>
      </c>
      <c r="I393" t="s">
        <v>51</v>
      </c>
      <c r="J393" t="s">
        <v>355</v>
      </c>
      <c r="M393" t="s">
        <v>40</v>
      </c>
      <c r="N393" t="s">
        <v>41</v>
      </c>
      <c r="O393" t="s">
        <v>530</v>
      </c>
      <c r="P393">
        <v>33</v>
      </c>
      <c r="Q393">
        <v>0</v>
      </c>
      <c r="R393">
        <v>0</v>
      </c>
      <c r="S393">
        <v>0</v>
      </c>
      <c r="T393" t="s">
        <v>54</v>
      </c>
      <c r="U393" t="s">
        <v>55</v>
      </c>
      <c r="W393" t="s">
        <v>1398</v>
      </c>
      <c r="Y393">
        <v>0</v>
      </c>
      <c r="AA393" t="s">
        <v>40</v>
      </c>
      <c r="AB393" t="s">
        <v>46</v>
      </c>
      <c r="AC393" t="s">
        <v>47</v>
      </c>
      <c r="AG393" t="s">
        <v>1399</v>
      </c>
      <c r="AJ393" t="s">
        <v>40</v>
      </c>
      <c r="AK393">
        <v>5019145643</v>
      </c>
      <c r="AO393" s="1">
        <v>45940</v>
      </c>
      <c r="AP393" s="5">
        <v>0.79166666666666663</v>
      </c>
      <c r="AS393">
        <v>1</v>
      </c>
    </row>
    <row r="394" spans="1:45" x14ac:dyDescent="0.2">
      <c r="A394">
        <f t="shared" si="26"/>
        <v>2025</v>
      </c>
      <c r="B394">
        <f t="shared" si="27"/>
        <v>10</v>
      </c>
      <c r="C394">
        <f t="shared" si="28"/>
        <v>41</v>
      </c>
      <c r="D394" s="2">
        <f t="shared" si="29"/>
        <v>45940</v>
      </c>
      <c r="E394" s="1">
        <v>45940.791666666664</v>
      </c>
      <c r="F394" t="s">
        <v>1400</v>
      </c>
      <c r="G394" t="s">
        <v>36</v>
      </c>
      <c r="H394">
        <v>451382</v>
      </c>
      <c r="I394" t="s">
        <v>51</v>
      </c>
      <c r="J394" t="s">
        <v>188</v>
      </c>
      <c r="M394" t="s">
        <v>40</v>
      </c>
      <c r="N394" t="s">
        <v>41</v>
      </c>
      <c r="O394" t="s">
        <v>172</v>
      </c>
      <c r="P394">
        <v>33</v>
      </c>
      <c r="Q394">
        <v>0</v>
      </c>
      <c r="R394">
        <v>0</v>
      </c>
      <c r="S394">
        <v>0</v>
      </c>
      <c r="T394" t="s">
        <v>54</v>
      </c>
      <c r="U394" t="s">
        <v>55</v>
      </c>
      <c r="W394" t="s">
        <v>1401</v>
      </c>
      <c r="Y394">
        <v>0</v>
      </c>
      <c r="AA394" t="s">
        <v>40</v>
      </c>
      <c r="AB394" t="s">
        <v>46</v>
      </c>
      <c r="AC394" t="s">
        <v>47</v>
      </c>
      <c r="AG394" t="s">
        <v>1402</v>
      </c>
      <c r="AJ394" t="s">
        <v>40</v>
      </c>
      <c r="AK394">
        <v>5019126556</v>
      </c>
      <c r="AO394" s="1">
        <v>45940</v>
      </c>
      <c r="AP394" s="5">
        <v>0.79166666666666663</v>
      </c>
      <c r="AS394">
        <v>1</v>
      </c>
    </row>
    <row r="395" spans="1:45" x14ac:dyDescent="0.2">
      <c r="A395">
        <f t="shared" si="26"/>
        <v>2025</v>
      </c>
      <c r="B395">
        <f t="shared" si="27"/>
        <v>10</v>
      </c>
      <c r="C395">
        <f t="shared" si="28"/>
        <v>41</v>
      </c>
      <c r="D395" s="2">
        <f t="shared" si="29"/>
        <v>45940</v>
      </c>
      <c r="E395" s="1">
        <v>45940.791666666664</v>
      </c>
      <c r="F395" t="s">
        <v>1403</v>
      </c>
      <c r="G395" t="s">
        <v>36</v>
      </c>
      <c r="H395">
        <v>451381</v>
      </c>
      <c r="I395" t="s">
        <v>51</v>
      </c>
      <c r="J395" t="s">
        <v>144</v>
      </c>
      <c r="M395" t="s">
        <v>40</v>
      </c>
      <c r="N395" t="s">
        <v>41</v>
      </c>
      <c r="O395" t="s">
        <v>90</v>
      </c>
      <c r="P395">
        <v>33</v>
      </c>
      <c r="Q395">
        <v>0</v>
      </c>
      <c r="R395">
        <v>0</v>
      </c>
      <c r="S395">
        <v>0</v>
      </c>
      <c r="T395" t="s">
        <v>54</v>
      </c>
      <c r="U395" t="s">
        <v>55</v>
      </c>
      <c r="W395" t="s">
        <v>1235</v>
      </c>
      <c r="X395" t="s">
        <v>1404</v>
      </c>
      <c r="Y395">
        <v>0</v>
      </c>
      <c r="AA395" t="s">
        <v>40</v>
      </c>
      <c r="AB395" t="s">
        <v>46</v>
      </c>
      <c r="AC395" t="s">
        <v>47</v>
      </c>
      <c r="AG395" t="s">
        <v>1405</v>
      </c>
      <c r="AJ395" t="s">
        <v>40</v>
      </c>
      <c r="AK395">
        <v>5019135473</v>
      </c>
      <c r="AL395" t="s">
        <v>1406</v>
      </c>
      <c r="AM395" t="s">
        <v>1407</v>
      </c>
      <c r="AO395" s="1">
        <v>45940</v>
      </c>
      <c r="AP395" s="5">
        <v>0.79166666666666663</v>
      </c>
      <c r="AS395">
        <v>1</v>
      </c>
    </row>
    <row r="396" spans="1:45" x14ac:dyDescent="0.2">
      <c r="A396">
        <f t="shared" si="26"/>
        <v>2025</v>
      </c>
      <c r="B396">
        <f t="shared" si="27"/>
        <v>10</v>
      </c>
      <c r="C396">
        <f t="shared" si="28"/>
        <v>41</v>
      </c>
      <c r="D396" s="2">
        <f t="shared" si="29"/>
        <v>45940</v>
      </c>
      <c r="E396" s="1">
        <v>45940.916666666664</v>
      </c>
      <c r="F396" t="s">
        <v>1408</v>
      </c>
      <c r="G396" t="s">
        <v>36</v>
      </c>
      <c r="H396" t="s">
        <v>253</v>
      </c>
      <c r="I396" t="s">
        <v>38</v>
      </c>
      <c r="J396" t="s">
        <v>254</v>
      </c>
      <c r="M396" t="s">
        <v>40</v>
      </c>
      <c r="N396" t="s">
        <v>41</v>
      </c>
      <c r="O396" t="s">
        <v>42</v>
      </c>
      <c r="P396">
        <v>1</v>
      </c>
      <c r="Q396">
        <v>0</v>
      </c>
      <c r="R396">
        <v>0</v>
      </c>
      <c r="S396">
        <v>0</v>
      </c>
      <c r="T396">
        <v>5019169880</v>
      </c>
      <c r="U396" t="s">
        <v>101</v>
      </c>
      <c r="W396" t="s">
        <v>1280</v>
      </c>
      <c r="Y396">
        <v>0</v>
      </c>
      <c r="AA396" t="s">
        <v>40</v>
      </c>
      <c r="AB396" t="s">
        <v>46</v>
      </c>
      <c r="AC396" t="s">
        <v>47</v>
      </c>
      <c r="AF396" t="s">
        <v>48</v>
      </c>
      <c r="AJ396" t="s">
        <v>40</v>
      </c>
      <c r="AK396" t="s">
        <v>49</v>
      </c>
      <c r="AO396" s="1">
        <v>45940</v>
      </c>
      <c r="AP396" s="5">
        <v>0.91666666666666663</v>
      </c>
      <c r="AS396">
        <v>1</v>
      </c>
    </row>
    <row r="397" spans="1:45" x14ac:dyDescent="0.2">
      <c r="A397">
        <f t="shared" si="26"/>
        <v>2025</v>
      </c>
      <c r="B397">
        <f t="shared" si="27"/>
        <v>10</v>
      </c>
      <c r="C397">
        <f t="shared" si="28"/>
        <v>42</v>
      </c>
      <c r="D397" s="2">
        <f t="shared" si="29"/>
        <v>45943</v>
      </c>
      <c r="E397" s="1">
        <v>45943.25</v>
      </c>
      <c r="F397" t="s">
        <v>1409</v>
      </c>
      <c r="G397" t="s">
        <v>36</v>
      </c>
      <c r="H397">
        <v>458634</v>
      </c>
      <c r="I397" t="s">
        <v>51</v>
      </c>
      <c r="J397" t="s">
        <v>52</v>
      </c>
      <c r="M397" t="s">
        <v>40</v>
      </c>
      <c r="N397" t="s">
        <v>41</v>
      </c>
      <c r="O397" t="s">
        <v>53</v>
      </c>
      <c r="P397">
        <v>33</v>
      </c>
      <c r="Q397">
        <v>0</v>
      </c>
      <c r="R397">
        <v>0</v>
      </c>
      <c r="S397">
        <v>0</v>
      </c>
      <c r="T397" t="s">
        <v>54</v>
      </c>
      <c r="U397" t="s">
        <v>55</v>
      </c>
      <c r="W397" t="s">
        <v>1410</v>
      </c>
      <c r="Y397">
        <v>0</v>
      </c>
      <c r="AA397" t="s">
        <v>40</v>
      </c>
      <c r="AB397" t="s">
        <v>46</v>
      </c>
      <c r="AC397" t="s">
        <v>47</v>
      </c>
      <c r="AG397" t="s">
        <v>1411</v>
      </c>
      <c r="AJ397" t="s">
        <v>40</v>
      </c>
      <c r="AK397">
        <v>5019112775</v>
      </c>
      <c r="AO397" s="1">
        <v>45943</v>
      </c>
      <c r="AP397" s="5">
        <v>0.25</v>
      </c>
      <c r="AS397">
        <v>1</v>
      </c>
    </row>
    <row r="398" spans="1:45" x14ac:dyDescent="0.2">
      <c r="A398">
        <f t="shared" si="26"/>
        <v>2025</v>
      </c>
      <c r="B398">
        <f t="shared" si="27"/>
        <v>10</v>
      </c>
      <c r="C398">
        <f t="shared" si="28"/>
        <v>42</v>
      </c>
      <c r="D398" s="2">
        <f t="shared" si="29"/>
        <v>45943</v>
      </c>
      <c r="E398" s="1">
        <v>45943.25</v>
      </c>
      <c r="F398" t="s">
        <v>1412</v>
      </c>
      <c r="G398" t="s">
        <v>36</v>
      </c>
      <c r="H398" t="s">
        <v>1413</v>
      </c>
      <c r="I398" t="s">
        <v>38</v>
      </c>
      <c r="J398" t="s">
        <v>60</v>
      </c>
      <c r="M398" t="s">
        <v>40</v>
      </c>
      <c r="N398" t="s">
        <v>41</v>
      </c>
      <c r="O398" t="s">
        <v>42</v>
      </c>
      <c r="P398">
        <v>20</v>
      </c>
      <c r="Q398">
        <v>0</v>
      </c>
      <c r="R398">
        <v>0</v>
      </c>
      <c r="S398">
        <v>0</v>
      </c>
      <c r="T398" t="s">
        <v>1414</v>
      </c>
      <c r="U398" t="s">
        <v>44</v>
      </c>
      <c r="W398" t="s">
        <v>1415</v>
      </c>
      <c r="Y398">
        <v>0</v>
      </c>
      <c r="AA398" t="s">
        <v>40</v>
      </c>
      <c r="AB398" t="s">
        <v>46</v>
      </c>
      <c r="AC398" t="s">
        <v>47</v>
      </c>
      <c r="AF398" t="s">
        <v>133</v>
      </c>
      <c r="AJ398" t="s">
        <v>40</v>
      </c>
      <c r="AK398" t="s">
        <v>49</v>
      </c>
      <c r="AN398">
        <v>259809883</v>
      </c>
      <c r="AO398" s="1">
        <v>45943</v>
      </c>
      <c r="AP398" s="5">
        <v>0.25</v>
      </c>
      <c r="AS398">
        <v>1</v>
      </c>
    </row>
    <row r="399" spans="1:45" x14ac:dyDescent="0.2">
      <c r="A399">
        <f t="shared" si="26"/>
        <v>2025</v>
      </c>
      <c r="B399">
        <f t="shared" si="27"/>
        <v>10</v>
      </c>
      <c r="C399">
        <f t="shared" si="28"/>
        <v>42</v>
      </c>
      <c r="D399" s="2">
        <f t="shared" si="29"/>
        <v>45943</v>
      </c>
      <c r="E399" s="1">
        <v>45943.25</v>
      </c>
      <c r="F399" t="s">
        <v>1416</v>
      </c>
      <c r="G399" t="s">
        <v>36</v>
      </c>
      <c r="H399">
        <v>451364</v>
      </c>
      <c r="I399" t="s">
        <v>51</v>
      </c>
      <c r="J399" t="s">
        <v>180</v>
      </c>
      <c r="M399" t="s">
        <v>40</v>
      </c>
      <c r="N399" t="s">
        <v>41</v>
      </c>
      <c r="O399" t="s">
        <v>182</v>
      </c>
      <c r="P399">
        <v>33</v>
      </c>
      <c r="Q399">
        <v>0</v>
      </c>
      <c r="R399">
        <v>0</v>
      </c>
      <c r="S399">
        <v>0</v>
      </c>
      <c r="T399" t="s">
        <v>54</v>
      </c>
      <c r="U399" t="s">
        <v>233</v>
      </c>
      <c r="W399" t="s">
        <v>1417</v>
      </c>
      <c r="X399" t="s">
        <v>1418</v>
      </c>
      <c r="Y399">
        <v>0</v>
      </c>
      <c r="AA399" t="s">
        <v>40</v>
      </c>
      <c r="AB399" t="s">
        <v>46</v>
      </c>
      <c r="AC399" t="s">
        <v>47</v>
      </c>
      <c r="AG399" t="s">
        <v>1419</v>
      </c>
      <c r="AJ399" t="s">
        <v>40</v>
      </c>
      <c r="AK399">
        <v>5019134827</v>
      </c>
      <c r="AL399" t="s">
        <v>1420</v>
      </c>
      <c r="AO399" s="1">
        <v>45943</v>
      </c>
      <c r="AP399" s="5">
        <v>0.25</v>
      </c>
      <c r="AS399">
        <v>1</v>
      </c>
    </row>
    <row r="400" spans="1:45" x14ac:dyDescent="0.2">
      <c r="A400">
        <f t="shared" si="26"/>
        <v>2025</v>
      </c>
      <c r="B400">
        <f t="shared" si="27"/>
        <v>10</v>
      </c>
      <c r="C400">
        <f t="shared" si="28"/>
        <v>42</v>
      </c>
      <c r="D400" s="2">
        <f t="shared" si="29"/>
        <v>45943</v>
      </c>
      <c r="E400" s="1">
        <v>45943.291666666664</v>
      </c>
      <c r="F400" t="s">
        <v>1421</v>
      </c>
      <c r="G400" t="s">
        <v>36</v>
      </c>
      <c r="H400">
        <v>456579</v>
      </c>
      <c r="I400" t="s">
        <v>51</v>
      </c>
      <c r="J400" t="s">
        <v>52</v>
      </c>
      <c r="M400" t="s">
        <v>40</v>
      </c>
      <c r="N400" t="s">
        <v>41</v>
      </c>
      <c r="O400" t="s">
        <v>53</v>
      </c>
      <c r="P400">
        <v>33</v>
      </c>
      <c r="Q400">
        <v>0</v>
      </c>
      <c r="R400">
        <v>0</v>
      </c>
      <c r="S400">
        <v>0</v>
      </c>
      <c r="T400" t="s">
        <v>54</v>
      </c>
      <c r="U400" t="s">
        <v>55</v>
      </c>
      <c r="W400" t="s">
        <v>1410</v>
      </c>
      <c r="Y400">
        <v>0</v>
      </c>
      <c r="AA400" t="s">
        <v>40</v>
      </c>
      <c r="AB400" t="s">
        <v>46</v>
      </c>
      <c r="AC400" t="s">
        <v>47</v>
      </c>
      <c r="AG400" t="s">
        <v>1422</v>
      </c>
      <c r="AJ400" t="s">
        <v>40</v>
      </c>
      <c r="AK400">
        <v>5019143717</v>
      </c>
      <c r="AO400" s="1">
        <v>45943</v>
      </c>
      <c r="AP400" s="5">
        <v>0.29166666666666669</v>
      </c>
      <c r="AS400">
        <v>1</v>
      </c>
    </row>
    <row r="401" spans="1:45" x14ac:dyDescent="0.2">
      <c r="A401">
        <f t="shared" si="26"/>
        <v>2025</v>
      </c>
      <c r="B401">
        <f t="shared" si="27"/>
        <v>10</v>
      </c>
      <c r="C401">
        <f t="shared" si="28"/>
        <v>42</v>
      </c>
      <c r="D401" s="2">
        <f t="shared" si="29"/>
        <v>45943</v>
      </c>
      <c r="E401" s="1">
        <v>45943.291666666664</v>
      </c>
      <c r="F401" t="s">
        <v>1423</v>
      </c>
      <c r="G401" t="s">
        <v>36</v>
      </c>
      <c r="H401" t="s">
        <v>1424</v>
      </c>
      <c r="I401" t="s">
        <v>38</v>
      </c>
      <c r="J401" t="s">
        <v>451</v>
      </c>
      <c r="M401" t="s">
        <v>40</v>
      </c>
      <c r="N401" t="s">
        <v>41</v>
      </c>
      <c r="O401" t="s">
        <v>42</v>
      </c>
      <c r="P401">
        <v>23</v>
      </c>
      <c r="Q401">
        <v>0</v>
      </c>
      <c r="R401">
        <v>0</v>
      </c>
      <c r="S401">
        <v>0</v>
      </c>
      <c r="T401" t="s">
        <v>1337</v>
      </c>
      <c r="U401" t="s">
        <v>233</v>
      </c>
      <c r="W401" t="s">
        <v>1425</v>
      </c>
      <c r="Y401">
        <v>0</v>
      </c>
      <c r="AA401" t="s">
        <v>40</v>
      </c>
      <c r="AB401" t="s">
        <v>46</v>
      </c>
      <c r="AC401" t="s">
        <v>47</v>
      </c>
      <c r="AF401" t="s">
        <v>48</v>
      </c>
      <c r="AJ401" t="s">
        <v>40</v>
      </c>
      <c r="AK401" t="s">
        <v>49</v>
      </c>
      <c r="AO401" s="1">
        <v>45943</v>
      </c>
      <c r="AP401" s="5">
        <v>0.29166666666666669</v>
      </c>
      <c r="AS401">
        <v>1</v>
      </c>
    </row>
    <row r="402" spans="1:45" x14ac:dyDescent="0.2">
      <c r="A402">
        <f t="shared" si="26"/>
        <v>2025</v>
      </c>
      <c r="B402">
        <f t="shared" si="27"/>
        <v>10</v>
      </c>
      <c r="C402">
        <f t="shared" si="28"/>
        <v>42</v>
      </c>
      <c r="D402" s="2">
        <f t="shared" si="29"/>
        <v>45943</v>
      </c>
      <c r="E402" s="1">
        <v>45943.291666666664</v>
      </c>
      <c r="F402" t="s">
        <v>1426</v>
      </c>
      <c r="G402" t="s">
        <v>36</v>
      </c>
      <c r="H402" t="s">
        <v>1427</v>
      </c>
      <c r="I402" t="s">
        <v>38</v>
      </c>
      <c r="J402" t="s">
        <v>60</v>
      </c>
      <c r="M402" t="s">
        <v>40</v>
      </c>
      <c r="N402" t="s">
        <v>41</v>
      </c>
      <c r="O402" t="s">
        <v>42</v>
      </c>
      <c r="P402">
        <v>20</v>
      </c>
      <c r="Q402">
        <v>0</v>
      </c>
      <c r="R402">
        <v>0</v>
      </c>
      <c r="S402">
        <v>0</v>
      </c>
      <c r="T402">
        <v>5019084574</v>
      </c>
      <c r="U402" t="s">
        <v>44</v>
      </c>
      <c r="W402" t="s">
        <v>1415</v>
      </c>
      <c r="Y402">
        <v>0</v>
      </c>
      <c r="AA402" t="s">
        <v>40</v>
      </c>
      <c r="AB402" t="s">
        <v>46</v>
      </c>
      <c r="AC402" t="s">
        <v>47</v>
      </c>
      <c r="AF402" t="s">
        <v>133</v>
      </c>
      <c r="AJ402" t="s">
        <v>40</v>
      </c>
      <c r="AK402" t="s">
        <v>49</v>
      </c>
      <c r="AN402">
        <v>259809883</v>
      </c>
      <c r="AO402" s="1">
        <v>45943</v>
      </c>
      <c r="AP402" s="5">
        <v>0.29166666666666669</v>
      </c>
      <c r="AS402">
        <v>1</v>
      </c>
    </row>
    <row r="403" spans="1:45" x14ac:dyDescent="0.2">
      <c r="A403">
        <f t="shared" si="26"/>
        <v>2025</v>
      </c>
      <c r="B403">
        <f t="shared" si="27"/>
        <v>10</v>
      </c>
      <c r="C403">
        <f t="shared" si="28"/>
        <v>42</v>
      </c>
      <c r="D403" s="2">
        <f t="shared" si="29"/>
        <v>45943</v>
      </c>
      <c r="E403" s="1">
        <v>45943.333333333336</v>
      </c>
      <c r="F403" t="s">
        <v>1428</v>
      </c>
      <c r="G403" t="s">
        <v>36</v>
      </c>
      <c r="H403">
        <v>453813</v>
      </c>
      <c r="I403" t="s">
        <v>51</v>
      </c>
      <c r="J403" t="s">
        <v>52</v>
      </c>
      <c r="M403" t="s">
        <v>40</v>
      </c>
      <c r="N403" t="s">
        <v>41</v>
      </c>
      <c r="O403" t="s">
        <v>433</v>
      </c>
      <c r="P403">
        <v>33</v>
      </c>
      <c r="Q403">
        <v>0</v>
      </c>
      <c r="R403">
        <v>0</v>
      </c>
      <c r="S403">
        <v>0</v>
      </c>
      <c r="T403" t="s">
        <v>54</v>
      </c>
      <c r="U403" t="s">
        <v>55</v>
      </c>
      <c r="W403" t="s">
        <v>1429</v>
      </c>
      <c r="Y403">
        <v>0</v>
      </c>
      <c r="AA403" t="s">
        <v>40</v>
      </c>
      <c r="AB403" t="s">
        <v>46</v>
      </c>
      <c r="AC403" t="s">
        <v>47</v>
      </c>
      <c r="AG403" t="s">
        <v>1430</v>
      </c>
      <c r="AJ403" t="s">
        <v>40</v>
      </c>
      <c r="AK403">
        <v>5019135799</v>
      </c>
      <c r="AO403" s="1">
        <v>45943</v>
      </c>
      <c r="AP403" s="5">
        <v>0.33333333333333331</v>
      </c>
      <c r="AS403">
        <v>1</v>
      </c>
    </row>
    <row r="404" spans="1:45" x14ac:dyDescent="0.2">
      <c r="A404">
        <f t="shared" si="26"/>
        <v>2025</v>
      </c>
      <c r="B404">
        <f t="shared" si="27"/>
        <v>10</v>
      </c>
      <c r="C404">
        <f t="shared" si="28"/>
        <v>42</v>
      </c>
      <c r="D404" s="2">
        <f t="shared" si="29"/>
        <v>45943</v>
      </c>
      <c r="E404" s="1">
        <v>45943.333333333336</v>
      </c>
      <c r="F404" t="s">
        <v>1431</v>
      </c>
      <c r="G404" t="s">
        <v>36</v>
      </c>
      <c r="H404">
        <v>458904</v>
      </c>
      <c r="I404" t="s">
        <v>51</v>
      </c>
      <c r="J404" t="s">
        <v>144</v>
      </c>
      <c r="M404" t="s">
        <v>40</v>
      </c>
      <c r="N404" t="s">
        <v>41</v>
      </c>
      <c r="O404" t="s">
        <v>53</v>
      </c>
      <c r="P404">
        <v>33</v>
      </c>
      <c r="Q404">
        <v>0</v>
      </c>
      <c r="R404">
        <v>0</v>
      </c>
      <c r="S404">
        <v>0</v>
      </c>
      <c r="T404" t="s">
        <v>54</v>
      </c>
      <c r="U404" t="s">
        <v>55</v>
      </c>
      <c r="W404" t="s">
        <v>869</v>
      </c>
      <c r="X404" t="s">
        <v>1432</v>
      </c>
      <c r="Y404">
        <v>0</v>
      </c>
      <c r="AA404" t="s">
        <v>40</v>
      </c>
      <c r="AB404" t="s">
        <v>46</v>
      </c>
      <c r="AC404" t="s">
        <v>47</v>
      </c>
      <c r="AG404" t="s">
        <v>1433</v>
      </c>
      <c r="AJ404" t="s">
        <v>40</v>
      </c>
      <c r="AK404">
        <v>5019115506</v>
      </c>
      <c r="AL404" t="s">
        <v>1434</v>
      </c>
      <c r="AM404" t="s">
        <v>1435</v>
      </c>
      <c r="AO404" s="1">
        <v>45943</v>
      </c>
      <c r="AP404" s="5">
        <v>0.33333333333333331</v>
      </c>
      <c r="AS404">
        <v>1</v>
      </c>
    </row>
    <row r="405" spans="1:45" x14ac:dyDescent="0.2">
      <c r="A405">
        <f t="shared" si="26"/>
        <v>2025</v>
      </c>
      <c r="B405">
        <f t="shared" si="27"/>
        <v>10</v>
      </c>
      <c r="C405">
        <f t="shared" si="28"/>
        <v>42</v>
      </c>
      <c r="D405" s="2">
        <f t="shared" si="29"/>
        <v>45943</v>
      </c>
      <c r="E405" s="1">
        <v>45943.333333333336</v>
      </c>
      <c r="F405" t="s">
        <v>1436</v>
      </c>
      <c r="G405" t="s">
        <v>36</v>
      </c>
      <c r="H405">
        <v>458635</v>
      </c>
      <c r="I405" t="s">
        <v>51</v>
      </c>
      <c r="J405" t="s">
        <v>52</v>
      </c>
      <c r="M405" t="s">
        <v>40</v>
      </c>
      <c r="N405" t="s">
        <v>41</v>
      </c>
      <c r="O405" t="s">
        <v>53</v>
      </c>
      <c r="P405">
        <v>33</v>
      </c>
      <c r="Q405">
        <v>0</v>
      </c>
      <c r="R405">
        <v>0</v>
      </c>
      <c r="S405">
        <v>0</v>
      </c>
      <c r="T405" t="s">
        <v>54</v>
      </c>
      <c r="U405" t="s">
        <v>55</v>
      </c>
      <c r="W405" t="s">
        <v>1437</v>
      </c>
      <c r="Y405">
        <v>0</v>
      </c>
      <c r="AA405" t="s">
        <v>40</v>
      </c>
      <c r="AB405" t="s">
        <v>46</v>
      </c>
      <c r="AC405" t="s">
        <v>47</v>
      </c>
      <c r="AG405" t="s">
        <v>1438</v>
      </c>
      <c r="AJ405" t="s">
        <v>40</v>
      </c>
      <c r="AK405">
        <v>5019124252</v>
      </c>
      <c r="AO405" s="1">
        <v>45943</v>
      </c>
      <c r="AP405" s="5">
        <v>0.33333333333333331</v>
      </c>
      <c r="AS405">
        <v>1</v>
      </c>
    </row>
    <row r="406" spans="1:45" x14ac:dyDescent="0.2">
      <c r="A406">
        <f t="shared" si="26"/>
        <v>2025</v>
      </c>
      <c r="B406">
        <f t="shared" si="27"/>
        <v>10</v>
      </c>
      <c r="C406">
        <f t="shared" si="28"/>
        <v>42</v>
      </c>
      <c r="D406" s="2">
        <f t="shared" si="29"/>
        <v>45943</v>
      </c>
      <c r="E406" s="1">
        <v>45943.375</v>
      </c>
      <c r="F406" t="s">
        <v>1439</v>
      </c>
      <c r="G406" t="s">
        <v>36</v>
      </c>
      <c r="H406" t="s">
        <v>264</v>
      </c>
      <c r="I406" t="s">
        <v>38</v>
      </c>
      <c r="J406" t="s">
        <v>265</v>
      </c>
      <c r="M406" t="s">
        <v>40</v>
      </c>
      <c r="N406" t="s">
        <v>41</v>
      </c>
      <c r="O406" t="s">
        <v>42</v>
      </c>
      <c r="P406">
        <v>23</v>
      </c>
      <c r="Q406">
        <v>0</v>
      </c>
      <c r="R406">
        <v>0</v>
      </c>
      <c r="S406">
        <v>0</v>
      </c>
      <c r="T406" t="s">
        <v>1440</v>
      </c>
      <c r="U406" t="s">
        <v>55</v>
      </c>
      <c r="W406" t="s">
        <v>1425</v>
      </c>
      <c r="Y406">
        <v>0</v>
      </c>
      <c r="AA406" t="s">
        <v>40</v>
      </c>
      <c r="AB406" t="s">
        <v>46</v>
      </c>
      <c r="AC406" t="s">
        <v>47</v>
      </c>
      <c r="AF406" t="s">
        <v>48</v>
      </c>
      <c r="AJ406" t="s">
        <v>40</v>
      </c>
      <c r="AK406" t="s">
        <v>49</v>
      </c>
      <c r="AO406" s="1">
        <v>45943</v>
      </c>
      <c r="AP406" s="5">
        <v>0.375</v>
      </c>
      <c r="AS406">
        <v>1</v>
      </c>
    </row>
    <row r="407" spans="1:45" x14ac:dyDescent="0.2">
      <c r="A407">
        <f t="shared" si="26"/>
        <v>2025</v>
      </c>
      <c r="B407">
        <f t="shared" si="27"/>
        <v>10</v>
      </c>
      <c r="C407">
        <f t="shared" si="28"/>
        <v>42</v>
      </c>
      <c r="D407" s="2">
        <f t="shared" si="29"/>
        <v>45943</v>
      </c>
      <c r="E407" s="1">
        <v>45943.375</v>
      </c>
      <c r="F407" t="s">
        <v>1441</v>
      </c>
      <c r="G407" t="s">
        <v>36</v>
      </c>
      <c r="H407" t="s">
        <v>1442</v>
      </c>
      <c r="I407" t="s">
        <v>38</v>
      </c>
      <c r="J407" t="s">
        <v>645</v>
      </c>
      <c r="M407" t="s">
        <v>40</v>
      </c>
      <c r="N407" t="s">
        <v>41</v>
      </c>
      <c r="O407" t="s">
        <v>42</v>
      </c>
      <c r="P407">
        <v>20</v>
      </c>
      <c r="Q407">
        <v>0</v>
      </c>
      <c r="R407">
        <v>0</v>
      </c>
      <c r="S407">
        <v>0</v>
      </c>
      <c r="T407">
        <v>5019124543</v>
      </c>
      <c r="U407" t="s">
        <v>44</v>
      </c>
      <c r="W407" t="s">
        <v>1443</v>
      </c>
      <c r="Y407">
        <v>0</v>
      </c>
      <c r="AA407" t="s">
        <v>40</v>
      </c>
      <c r="AB407" t="s">
        <v>46</v>
      </c>
      <c r="AC407" t="s">
        <v>47</v>
      </c>
      <c r="AF407" t="s">
        <v>62</v>
      </c>
      <c r="AJ407" t="s">
        <v>40</v>
      </c>
      <c r="AK407" t="s">
        <v>49</v>
      </c>
      <c r="AN407">
        <v>259816313</v>
      </c>
      <c r="AO407" s="1">
        <v>45943</v>
      </c>
      <c r="AP407" s="5">
        <v>0.375</v>
      </c>
      <c r="AS407">
        <v>1</v>
      </c>
    </row>
    <row r="408" spans="1:45" x14ac:dyDescent="0.2">
      <c r="A408">
        <f t="shared" si="26"/>
        <v>2025</v>
      </c>
      <c r="B408">
        <f t="shared" si="27"/>
        <v>10</v>
      </c>
      <c r="C408">
        <f t="shared" si="28"/>
        <v>42</v>
      </c>
      <c r="D408" s="2">
        <f t="shared" si="29"/>
        <v>45943</v>
      </c>
      <c r="E408" s="1">
        <v>45943.416666666664</v>
      </c>
      <c r="F408" t="s">
        <v>1444</v>
      </c>
      <c r="G408" t="s">
        <v>36</v>
      </c>
      <c r="H408">
        <v>456576</v>
      </c>
      <c r="I408" t="s">
        <v>51</v>
      </c>
      <c r="J408" t="s">
        <v>52</v>
      </c>
      <c r="M408" t="s">
        <v>40</v>
      </c>
      <c r="N408" t="s">
        <v>41</v>
      </c>
      <c r="O408" t="s">
        <v>53</v>
      </c>
      <c r="P408">
        <v>33</v>
      </c>
      <c r="Q408">
        <v>0</v>
      </c>
      <c r="R408">
        <v>0</v>
      </c>
      <c r="S408">
        <v>0</v>
      </c>
      <c r="T408" t="s">
        <v>54</v>
      </c>
      <c r="U408" t="s">
        <v>55</v>
      </c>
      <c r="W408" t="s">
        <v>1410</v>
      </c>
      <c r="Y408">
        <v>0</v>
      </c>
      <c r="AA408" t="s">
        <v>40</v>
      </c>
      <c r="AB408" t="s">
        <v>46</v>
      </c>
      <c r="AC408" t="s">
        <v>47</v>
      </c>
      <c r="AG408" t="s">
        <v>1445</v>
      </c>
      <c r="AJ408" t="s">
        <v>40</v>
      </c>
      <c r="AK408">
        <v>5019141954</v>
      </c>
      <c r="AO408" s="1">
        <v>45943</v>
      </c>
      <c r="AP408" s="5">
        <v>0.41666666666666669</v>
      </c>
      <c r="AS408">
        <v>1</v>
      </c>
    </row>
    <row r="409" spans="1:45" x14ac:dyDescent="0.2">
      <c r="A409">
        <f t="shared" si="26"/>
        <v>2025</v>
      </c>
      <c r="B409">
        <f t="shared" si="27"/>
        <v>10</v>
      </c>
      <c r="C409">
        <f t="shared" si="28"/>
        <v>42</v>
      </c>
      <c r="D409" s="2">
        <f t="shared" si="29"/>
        <v>45943</v>
      </c>
      <c r="E409" s="1">
        <v>45943.416666666664</v>
      </c>
      <c r="F409" t="s">
        <v>1446</v>
      </c>
      <c r="G409" t="s">
        <v>36</v>
      </c>
      <c r="H409">
        <v>458849</v>
      </c>
      <c r="I409" t="s">
        <v>51</v>
      </c>
      <c r="J409" t="s">
        <v>118</v>
      </c>
      <c r="M409" t="s">
        <v>40</v>
      </c>
      <c r="N409" t="s">
        <v>41</v>
      </c>
      <c r="O409" t="s">
        <v>119</v>
      </c>
      <c r="P409">
        <v>33</v>
      </c>
      <c r="Q409">
        <v>0</v>
      </c>
      <c r="R409">
        <v>0</v>
      </c>
      <c r="S409">
        <v>0</v>
      </c>
      <c r="T409" t="s">
        <v>54</v>
      </c>
      <c r="U409" t="s">
        <v>55</v>
      </c>
      <c r="W409" t="s">
        <v>1447</v>
      </c>
      <c r="Y409">
        <v>0</v>
      </c>
      <c r="AA409" t="s">
        <v>40</v>
      </c>
      <c r="AB409" t="s">
        <v>46</v>
      </c>
      <c r="AC409" t="s">
        <v>47</v>
      </c>
      <c r="AG409" t="s">
        <v>1448</v>
      </c>
      <c r="AJ409" t="s">
        <v>40</v>
      </c>
      <c r="AK409">
        <v>5019067353</v>
      </c>
      <c r="AO409" s="1">
        <v>45943</v>
      </c>
      <c r="AP409" s="5">
        <v>0.41666666666666669</v>
      </c>
      <c r="AS409">
        <v>1</v>
      </c>
    </row>
    <row r="410" spans="1:45" x14ac:dyDescent="0.2">
      <c r="A410">
        <f t="shared" si="26"/>
        <v>2025</v>
      </c>
      <c r="B410">
        <f t="shared" si="27"/>
        <v>10</v>
      </c>
      <c r="C410">
        <f t="shared" si="28"/>
        <v>42</v>
      </c>
      <c r="D410" s="2">
        <f t="shared" si="29"/>
        <v>45943</v>
      </c>
      <c r="E410" s="1">
        <v>45943.416666666664</v>
      </c>
      <c r="F410" t="s">
        <v>1449</v>
      </c>
      <c r="G410" t="s">
        <v>36</v>
      </c>
      <c r="H410">
        <v>458903</v>
      </c>
      <c r="I410" t="s">
        <v>51</v>
      </c>
      <c r="J410" t="s">
        <v>144</v>
      </c>
      <c r="M410" t="s">
        <v>40</v>
      </c>
      <c r="N410" t="s">
        <v>41</v>
      </c>
      <c r="O410" t="s">
        <v>53</v>
      </c>
      <c r="P410">
        <v>33</v>
      </c>
      <c r="Q410">
        <v>0</v>
      </c>
      <c r="R410">
        <v>0</v>
      </c>
      <c r="S410">
        <v>0</v>
      </c>
      <c r="T410" t="s">
        <v>54</v>
      </c>
      <c r="U410" t="s">
        <v>55</v>
      </c>
      <c r="W410" t="s">
        <v>1450</v>
      </c>
      <c r="X410" t="s">
        <v>1451</v>
      </c>
      <c r="Y410">
        <v>0</v>
      </c>
      <c r="AA410" t="s">
        <v>40</v>
      </c>
      <c r="AB410" t="s">
        <v>46</v>
      </c>
      <c r="AC410" t="s">
        <v>47</v>
      </c>
      <c r="AG410" t="s">
        <v>1452</v>
      </c>
      <c r="AJ410" t="s">
        <v>40</v>
      </c>
      <c r="AK410">
        <v>5019139571</v>
      </c>
      <c r="AL410" t="s">
        <v>1453</v>
      </c>
      <c r="AM410" t="s">
        <v>1454</v>
      </c>
      <c r="AO410" s="1">
        <v>45943</v>
      </c>
      <c r="AP410" s="5">
        <v>0.41666666666666669</v>
      </c>
      <c r="AS410">
        <v>1</v>
      </c>
    </row>
    <row r="411" spans="1:45" x14ac:dyDescent="0.2">
      <c r="A411">
        <f t="shared" si="26"/>
        <v>2025</v>
      </c>
      <c r="B411">
        <f t="shared" si="27"/>
        <v>10</v>
      </c>
      <c r="C411">
        <f t="shared" si="28"/>
        <v>42</v>
      </c>
      <c r="D411" s="2">
        <f t="shared" si="29"/>
        <v>45943</v>
      </c>
      <c r="E411" s="1">
        <v>45943.458333333336</v>
      </c>
      <c r="F411" t="s">
        <v>1455</v>
      </c>
      <c r="G411" t="s">
        <v>36</v>
      </c>
      <c r="H411" t="s">
        <v>626</v>
      </c>
      <c r="I411" t="s">
        <v>38</v>
      </c>
      <c r="J411" t="s">
        <v>451</v>
      </c>
      <c r="M411" t="s">
        <v>40</v>
      </c>
      <c r="N411" t="s">
        <v>41</v>
      </c>
      <c r="O411" t="s">
        <v>42</v>
      </c>
      <c r="P411">
        <v>23</v>
      </c>
      <c r="Q411">
        <v>0</v>
      </c>
      <c r="R411">
        <v>0</v>
      </c>
      <c r="S411">
        <v>0</v>
      </c>
      <c r="T411" t="s">
        <v>1456</v>
      </c>
      <c r="U411" t="s">
        <v>44</v>
      </c>
      <c r="W411" t="s">
        <v>1425</v>
      </c>
      <c r="Y411">
        <v>0</v>
      </c>
      <c r="AA411" t="s">
        <v>40</v>
      </c>
      <c r="AB411" t="s">
        <v>46</v>
      </c>
      <c r="AC411" t="s">
        <v>47</v>
      </c>
      <c r="AF411" t="s">
        <v>48</v>
      </c>
      <c r="AJ411" t="s">
        <v>40</v>
      </c>
      <c r="AK411" t="s">
        <v>49</v>
      </c>
      <c r="AO411" s="1">
        <v>45943</v>
      </c>
      <c r="AP411" s="5">
        <v>0.45833333333333331</v>
      </c>
      <c r="AS411">
        <v>1</v>
      </c>
    </row>
    <row r="412" spans="1:45" x14ac:dyDescent="0.2">
      <c r="A412">
        <f t="shared" si="26"/>
        <v>2025</v>
      </c>
      <c r="B412">
        <f t="shared" si="27"/>
        <v>10</v>
      </c>
      <c r="C412">
        <f t="shared" si="28"/>
        <v>42</v>
      </c>
      <c r="D412" s="2">
        <f t="shared" si="29"/>
        <v>45943</v>
      </c>
      <c r="E412" s="1">
        <v>45943.458333333336</v>
      </c>
      <c r="F412" t="s">
        <v>1457</v>
      </c>
      <c r="G412" t="s">
        <v>36</v>
      </c>
      <c r="H412" t="s">
        <v>675</v>
      </c>
      <c r="I412" t="s">
        <v>38</v>
      </c>
      <c r="J412" t="s">
        <v>99</v>
      </c>
      <c r="N412" t="s">
        <v>41</v>
      </c>
      <c r="O412" t="s">
        <v>42</v>
      </c>
      <c r="P412">
        <v>8</v>
      </c>
      <c r="Q412">
        <v>0</v>
      </c>
      <c r="R412">
        <v>0</v>
      </c>
      <c r="S412">
        <v>0</v>
      </c>
      <c r="T412" t="s">
        <v>1458</v>
      </c>
      <c r="U412" t="s">
        <v>101</v>
      </c>
      <c r="W412" t="s">
        <v>1459</v>
      </c>
      <c r="Y412">
        <v>0</v>
      </c>
      <c r="AA412" t="s">
        <v>40</v>
      </c>
      <c r="AC412" t="s">
        <v>47</v>
      </c>
      <c r="AF412" t="s">
        <v>677</v>
      </c>
      <c r="AJ412" t="s">
        <v>40</v>
      </c>
      <c r="AK412" t="s">
        <v>49</v>
      </c>
      <c r="AO412" s="1">
        <v>45943</v>
      </c>
      <c r="AP412" s="5">
        <v>0.45833333333333331</v>
      </c>
      <c r="AS412">
        <v>1</v>
      </c>
    </row>
    <row r="413" spans="1:45" x14ac:dyDescent="0.2">
      <c r="A413">
        <f t="shared" si="26"/>
        <v>2025</v>
      </c>
      <c r="B413">
        <f t="shared" si="27"/>
        <v>10</v>
      </c>
      <c r="C413">
        <f t="shared" si="28"/>
        <v>42</v>
      </c>
      <c r="D413" s="2">
        <f t="shared" si="29"/>
        <v>45943</v>
      </c>
      <c r="E413" s="1">
        <v>45943.458333333336</v>
      </c>
      <c r="F413" t="s">
        <v>1460</v>
      </c>
      <c r="G413" t="s">
        <v>36</v>
      </c>
      <c r="H413">
        <v>456562</v>
      </c>
      <c r="I413" t="s">
        <v>51</v>
      </c>
      <c r="J413" t="s">
        <v>52</v>
      </c>
      <c r="M413" t="s">
        <v>40</v>
      </c>
      <c r="N413" t="s">
        <v>41</v>
      </c>
      <c r="O413" t="s">
        <v>53</v>
      </c>
      <c r="P413">
        <v>33</v>
      </c>
      <c r="Q413">
        <v>0</v>
      </c>
      <c r="R413">
        <v>0</v>
      </c>
      <c r="S413">
        <v>0</v>
      </c>
      <c r="T413" t="s">
        <v>54</v>
      </c>
      <c r="U413" t="s">
        <v>55</v>
      </c>
      <c r="W413" t="s">
        <v>1410</v>
      </c>
      <c r="Y413">
        <v>0</v>
      </c>
      <c r="AA413" t="s">
        <v>40</v>
      </c>
      <c r="AB413" t="s">
        <v>46</v>
      </c>
      <c r="AC413" t="s">
        <v>47</v>
      </c>
      <c r="AG413" t="s">
        <v>1461</v>
      </c>
      <c r="AJ413" t="s">
        <v>40</v>
      </c>
      <c r="AK413">
        <v>5019141953</v>
      </c>
      <c r="AO413" s="1">
        <v>45943</v>
      </c>
      <c r="AP413" s="5">
        <v>0.45833333333333331</v>
      </c>
      <c r="AS413">
        <v>1</v>
      </c>
    </row>
    <row r="414" spans="1:45" x14ac:dyDescent="0.2">
      <c r="A414">
        <f t="shared" si="26"/>
        <v>2025</v>
      </c>
      <c r="B414">
        <f t="shared" si="27"/>
        <v>10</v>
      </c>
      <c r="C414">
        <f t="shared" si="28"/>
        <v>42</v>
      </c>
      <c r="D414" s="2">
        <f t="shared" si="29"/>
        <v>45943</v>
      </c>
      <c r="E414" s="1">
        <v>45943.5</v>
      </c>
      <c r="F414" t="s">
        <v>1462</v>
      </c>
      <c r="G414" t="s">
        <v>36</v>
      </c>
      <c r="H414">
        <v>456572</v>
      </c>
      <c r="I414" t="s">
        <v>51</v>
      </c>
      <c r="J414" t="s">
        <v>52</v>
      </c>
      <c r="M414" t="s">
        <v>40</v>
      </c>
      <c r="N414" t="s">
        <v>41</v>
      </c>
      <c r="O414" t="s">
        <v>53</v>
      </c>
      <c r="P414">
        <v>33</v>
      </c>
      <c r="Q414">
        <v>0</v>
      </c>
      <c r="R414">
        <v>0</v>
      </c>
      <c r="S414">
        <v>0</v>
      </c>
      <c r="T414" t="s">
        <v>54</v>
      </c>
      <c r="U414" t="s">
        <v>55</v>
      </c>
      <c r="W414" t="s">
        <v>1410</v>
      </c>
      <c r="Y414">
        <v>0</v>
      </c>
      <c r="AA414" t="s">
        <v>40</v>
      </c>
      <c r="AB414" t="s">
        <v>46</v>
      </c>
      <c r="AC414" t="s">
        <v>47</v>
      </c>
      <c r="AG414" t="s">
        <v>1463</v>
      </c>
      <c r="AJ414" t="s">
        <v>40</v>
      </c>
      <c r="AK414">
        <v>5019145352</v>
      </c>
      <c r="AO414" s="1">
        <v>45943</v>
      </c>
      <c r="AP414" s="5">
        <v>0.5</v>
      </c>
      <c r="AS414">
        <v>1</v>
      </c>
    </row>
    <row r="415" spans="1:45" x14ac:dyDescent="0.2">
      <c r="A415">
        <f t="shared" si="26"/>
        <v>2025</v>
      </c>
      <c r="B415">
        <f t="shared" si="27"/>
        <v>10</v>
      </c>
      <c r="C415">
        <f t="shared" si="28"/>
        <v>42</v>
      </c>
      <c r="D415" s="2">
        <f t="shared" si="29"/>
        <v>45943</v>
      </c>
      <c r="E415" s="1">
        <v>45943.5</v>
      </c>
      <c r="F415" t="s">
        <v>1464</v>
      </c>
      <c r="G415" t="s">
        <v>36</v>
      </c>
      <c r="H415" t="s">
        <v>37</v>
      </c>
      <c r="I415" t="s">
        <v>38</v>
      </c>
      <c r="J415" t="s">
        <v>112</v>
      </c>
      <c r="M415" t="s">
        <v>40</v>
      </c>
      <c r="N415" t="s">
        <v>41</v>
      </c>
      <c r="O415" t="s">
        <v>42</v>
      </c>
      <c r="P415">
        <v>23</v>
      </c>
      <c r="Q415">
        <v>0</v>
      </c>
      <c r="R415">
        <v>0</v>
      </c>
      <c r="S415">
        <v>0</v>
      </c>
      <c r="T415" t="s">
        <v>1465</v>
      </c>
      <c r="U415" t="s">
        <v>44</v>
      </c>
      <c r="W415" t="s">
        <v>1425</v>
      </c>
      <c r="Y415">
        <v>0</v>
      </c>
      <c r="AA415" t="s">
        <v>40</v>
      </c>
      <c r="AB415" t="s">
        <v>46</v>
      </c>
      <c r="AC415" t="s">
        <v>47</v>
      </c>
      <c r="AF415" t="s">
        <v>48</v>
      </c>
      <c r="AJ415" t="s">
        <v>40</v>
      </c>
      <c r="AK415" t="s">
        <v>49</v>
      </c>
      <c r="AO415" s="1">
        <v>45943</v>
      </c>
      <c r="AP415" s="5">
        <v>0.5</v>
      </c>
      <c r="AS415">
        <v>1</v>
      </c>
    </row>
    <row r="416" spans="1:45" x14ac:dyDescent="0.2">
      <c r="A416">
        <f t="shared" si="26"/>
        <v>2025</v>
      </c>
      <c r="B416">
        <f t="shared" si="27"/>
        <v>10</v>
      </c>
      <c r="C416">
        <f t="shared" si="28"/>
        <v>42</v>
      </c>
      <c r="D416" s="2">
        <f t="shared" si="29"/>
        <v>45943</v>
      </c>
      <c r="E416" s="1">
        <v>45943.5</v>
      </c>
      <c r="F416" t="s">
        <v>1466</v>
      </c>
      <c r="G416" t="s">
        <v>36</v>
      </c>
      <c r="H416">
        <v>456581</v>
      </c>
      <c r="I416" t="s">
        <v>51</v>
      </c>
      <c r="J416" t="s">
        <v>144</v>
      </c>
      <c r="M416" t="s">
        <v>40</v>
      </c>
      <c r="N416" t="s">
        <v>41</v>
      </c>
      <c r="O416" t="s">
        <v>53</v>
      </c>
      <c r="P416">
        <v>33</v>
      </c>
      <c r="Q416">
        <v>0</v>
      </c>
      <c r="R416">
        <v>0</v>
      </c>
      <c r="S416">
        <v>0</v>
      </c>
      <c r="T416" t="s">
        <v>54</v>
      </c>
      <c r="U416" t="s">
        <v>55</v>
      </c>
      <c r="W416" t="s">
        <v>288</v>
      </c>
      <c r="X416" t="s">
        <v>1467</v>
      </c>
      <c r="Y416">
        <v>0</v>
      </c>
      <c r="AA416" t="s">
        <v>40</v>
      </c>
      <c r="AB416" t="s">
        <v>46</v>
      </c>
      <c r="AC416" t="s">
        <v>47</v>
      </c>
      <c r="AG416" t="s">
        <v>1468</v>
      </c>
      <c r="AJ416" t="s">
        <v>40</v>
      </c>
      <c r="AK416">
        <v>5019151614</v>
      </c>
      <c r="AL416" t="s">
        <v>1469</v>
      </c>
      <c r="AM416" t="s">
        <v>1470</v>
      </c>
      <c r="AO416" s="1">
        <v>45943</v>
      </c>
      <c r="AP416" s="5">
        <v>0.5</v>
      </c>
      <c r="AS416">
        <v>1</v>
      </c>
    </row>
    <row r="417" spans="1:45" x14ac:dyDescent="0.2">
      <c r="A417">
        <f t="shared" si="26"/>
        <v>2025</v>
      </c>
      <c r="B417">
        <f t="shared" si="27"/>
        <v>10</v>
      </c>
      <c r="C417">
        <f t="shared" si="28"/>
        <v>42</v>
      </c>
      <c r="D417" s="2">
        <f t="shared" si="29"/>
        <v>45943</v>
      </c>
      <c r="E417" s="1">
        <v>45943.541666666664</v>
      </c>
      <c r="F417" t="s">
        <v>1471</v>
      </c>
      <c r="G417" t="s">
        <v>36</v>
      </c>
      <c r="H417" t="s">
        <v>320</v>
      </c>
      <c r="I417" t="s">
        <v>38</v>
      </c>
      <c r="J417" t="s">
        <v>321</v>
      </c>
      <c r="M417" t="s">
        <v>40</v>
      </c>
      <c r="N417" t="s">
        <v>41</v>
      </c>
      <c r="O417" t="s">
        <v>42</v>
      </c>
      <c r="P417">
        <v>33</v>
      </c>
      <c r="Q417">
        <v>0</v>
      </c>
      <c r="R417">
        <v>0</v>
      </c>
      <c r="S417">
        <v>0</v>
      </c>
      <c r="T417">
        <v>5019081049</v>
      </c>
      <c r="U417" t="s">
        <v>44</v>
      </c>
      <c r="W417" t="s">
        <v>1472</v>
      </c>
      <c r="Y417">
        <v>0</v>
      </c>
      <c r="AA417" t="s">
        <v>40</v>
      </c>
      <c r="AB417" t="s">
        <v>46</v>
      </c>
      <c r="AC417" t="s">
        <v>47</v>
      </c>
      <c r="AF417" t="s">
        <v>322</v>
      </c>
      <c r="AJ417" t="s">
        <v>40</v>
      </c>
      <c r="AK417" t="s">
        <v>49</v>
      </c>
      <c r="AO417" s="1">
        <v>45943</v>
      </c>
      <c r="AP417" s="5">
        <v>0.54166666666666663</v>
      </c>
      <c r="AS417">
        <v>1</v>
      </c>
    </row>
    <row r="418" spans="1:45" x14ac:dyDescent="0.2">
      <c r="A418">
        <f t="shared" si="26"/>
        <v>2025</v>
      </c>
      <c r="B418">
        <f t="shared" si="27"/>
        <v>10</v>
      </c>
      <c r="C418">
        <f t="shared" si="28"/>
        <v>42</v>
      </c>
      <c r="D418" s="2">
        <f t="shared" si="29"/>
        <v>45943</v>
      </c>
      <c r="E418" s="1">
        <v>45943.541666666664</v>
      </c>
      <c r="F418" t="s">
        <v>1473</v>
      </c>
      <c r="G418" t="s">
        <v>36</v>
      </c>
      <c r="H418">
        <v>453802</v>
      </c>
      <c r="I418" t="s">
        <v>51</v>
      </c>
      <c r="J418" t="s">
        <v>194</v>
      </c>
      <c r="M418" t="s">
        <v>40</v>
      </c>
      <c r="N418" t="s">
        <v>41</v>
      </c>
      <c r="O418" t="s">
        <v>189</v>
      </c>
      <c r="P418">
        <v>33</v>
      </c>
      <c r="Q418">
        <v>0</v>
      </c>
      <c r="R418">
        <v>0</v>
      </c>
      <c r="S418">
        <v>0</v>
      </c>
      <c r="T418" t="s">
        <v>54</v>
      </c>
      <c r="U418" t="s">
        <v>55</v>
      </c>
      <c r="W418" t="s">
        <v>1417</v>
      </c>
      <c r="Y418">
        <v>0</v>
      </c>
      <c r="AA418" t="s">
        <v>40</v>
      </c>
      <c r="AB418" t="s">
        <v>46</v>
      </c>
      <c r="AC418" t="s">
        <v>47</v>
      </c>
      <c r="AG418" t="s">
        <v>1474</v>
      </c>
      <c r="AJ418" t="s">
        <v>40</v>
      </c>
      <c r="AK418">
        <v>5019154698</v>
      </c>
      <c r="AO418" s="1">
        <v>45943</v>
      </c>
      <c r="AP418" s="5">
        <v>0.54166666666666663</v>
      </c>
      <c r="AS418">
        <v>1</v>
      </c>
    </row>
    <row r="419" spans="1:45" x14ac:dyDescent="0.2">
      <c r="A419">
        <f t="shared" si="26"/>
        <v>2025</v>
      </c>
      <c r="B419">
        <f t="shared" si="27"/>
        <v>10</v>
      </c>
      <c r="C419">
        <f t="shared" si="28"/>
        <v>42</v>
      </c>
      <c r="D419" s="2">
        <f t="shared" si="29"/>
        <v>45943</v>
      </c>
      <c r="E419" s="1">
        <v>45943.541666666664</v>
      </c>
      <c r="F419" t="s">
        <v>1475</v>
      </c>
      <c r="G419" t="s">
        <v>36</v>
      </c>
      <c r="H419" t="s">
        <v>626</v>
      </c>
      <c r="I419" t="s">
        <v>38</v>
      </c>
      <c r="J419" t="s">
        <v>451</v>
      </c>
      <c r="M419" t="s">
        <v>40</v>
      </c>
      <c r="N419" t="s">
        <v>41</v>
      </c>
      <c r="O419" t="s">
        <v>42</v>
      </c>
      <c r="P419">
        <v>23</v>
      </c>
      <c r="Q419">
        <v>0</v>
      </c>
      <c r="R419">
        <v>0</v>
      </c>
      <c r="S419">
        <v>0</v>
      </c>
      <c r="T419" t="s">
        <v>1476</v>
      </c>
      <c r="U419" t="s">
        <v>44</v>
      </c>
      <c r="W419" t="s">
        <v>1425</v>
      </c>
      <c r="Y419">
        <v>0</v>
      </c>
      <c r="AA419" t="s">
        <v>40</v>
      </c>
      <c r="AB419" t="s">
        <v>46</v>
      </c>
      <c r="AC419" t="s">
        <v>47</v>
      </c>
      <c r="AF419" t="s">
        <v>48</v>
      </c>
      <c r="AJ419" t="s">
        <v>40</v>
      </c>
      <c r="AK419" t="s">
        <v>49</v>
      </c>
      <c r="AO419" s="1">
        <v>45943</v>
      </c>
      <c r="AP419" s="5">
        <v>0.54166666666666663</v>
      </c>
      <c r="AS419">
        <v>1</v>
      </c>
    </row>
    <row r="420" spans="1:45" x14ac:dyDescent="0.2">
      <c r="A420">
        <f t="shared" si="26"/>
        <v>2025</v>
      </c>
      <c r="B420">
        <f t="shared" si="27"/>
        <v>10</v>
      </c>
      <c r="C420">
        <f t="shared" si="28"/>
        <v>42</v>
      </c>
      <c r="D420" s="2">
        <f t="shared" si="29"/>
        <v>45943</v>
      </c>
      <c r="E420" s="1">
        <v>45943.541666666664</v>
      </c>
      <c r="F420" t="s">
        <v>1477</v>
      </c>
      <c r="G420" t="s">
        <v>36</v>
      </c>
      <c r="H420">
        <v>453804</v>
      </c>
      <c r="I420" t="s">
        <v>51</v>
      </c>
      <c r="J420" t="s">
        <v>200</v>
      </c>
      <c r="M420" t="s">
        <v>40</v>
      </c>
      <c r="N420" t="s">
        <v>41</v>
      </c>
      <c r="O420" t="s">
        <v>182</v>
      </c>
      <c r="P420">
        <v>33</v>
      </c>
      <c r="Q420">
        <v>0</v>
      </c>
      <c r="R420">
        <v>0</v>
      </c>
      <c r="S420">
        <v>0</v>
      </c>
      <c r="T420" t="s">
        <v>54</v>
      </c>
      <c r="U420" t="s">
        <v>55</v>
      </c>
      <c r="W420" t="s">
        <v>1478</v>
      </c>
      <c r="Y420">
        <v>0</v>
      </c>
      <c r="AA420" t="s">
        <v>40</v>
      </c>
      <c r="AB420" t="s">
        <v>46</v>
      </c>
      <c r="AC420" t="s">
        <v>47</v>
      </c>
      <c r="AG420" t="s">
        <v>1479</v>
      </c>
      <c r="AJ420" t="s">
        <v>40</v>
      </c>
      <c r="AK420">
        <v>5019147893</v>
      </c>
      <c r="AO420" s="1">
        <v>45943</v>
      </c>
      <c r="AP420" s="5">
        <v>0.54166666666666663</v>
      </c>
      <c r="AS420">
        <v>1</v>
      </c>
    </row>
    <row r="421" spans="1:45" x14ac:dyDescent="0.2">
      <c r="A421">
        <f t="shared" si="26"/>
        <v>2025</v>
      </c>
      <c r="B421">
        <f t="shared" si="27"/>
        <v>10</v>
      </c>
      <c r="C421">
        <f t="shared" si="28"/>
        <v>42</v>
      </c>
      <c r="D421" s="2">
        <f t="shared" si="29"/>
        <v>45943</v>
      </c>
      <c r="E421" s="1">
        <v>45943.583333333336</v>
      </c>
      <c r="F421" t="s">
        <v>1480</v>
      </c>
      <c r="G421" t="s">
        <v>36</v>
      </c>
      <c r="H421" t="s">
        <v>626</v>
      </c>
      <c r="I421" t="s">
        <v>38</v>
      </c>
      <c r="J421" t="s">
        <v>451</v>
      </c>
      <c r="M421" t="s">
        <v>40</v>
      </c>
      <c r="N421" t="s">
        <v>41</v>
      </c>
      <c r="O421" t="s">
        <v>42</v>
      </c>
      <c r="P421">
        <v>23</v>
      </c>
      <c r="Q421">
        <v>0</v>
      </c>
      <c r="R421">
        <v>0</v>
      </c>
      <c r="S421">
        <v>0</v>
      </c>
      <c r="T421" t="s">
        <v>1481</v>
      </c>
      <c r="U421" t="s">
        <v>44</v>
      </c>
      <c r="W421" t="s">
        <v>1425</v>
      </c>
      <c r="Y421">
        <v>0</v>
      </c>
      <c r="AA421" t="s">
        <v>40</v>
      </c>
      <c r="AB421" t="s">
        <v>46</v>
      </c>
      <c r="AC421" t="s">
        <v>47</v>
      </c>
      <c r="AF421" t="s">
        <v>48</v>
      </c>
      <c r="AJ421" t="s">
        <v>40</v>
      </c>
      <c r="AK421" t="s">
        <v>49</v>
      </c>
      <c r="AO421" s="1">
        <v>45943</v>
      </c>
      <c r="AP421" s="5">
        <v>0.58333333333333337</v>
      </c>
      <c r="AS421">
        <v>1</v>
      </c>
    </row>
    <row r="422" spans="1:45" x14ac:dyDescent="0.2">
      <c r="A422">
        <f t="shared" si="26"/>
        <v>2025</v>
      </c>
      <c r="B422">
        <f t="shared" si="27"/>
        <v>10</v>
      </c>
      <c r="C422">
        <f t="shared" si="28"/>
        <v>42</v>
      </c>
      <c r="D422" s="2">
        <f t="shared" si="29"/>
        <v>45943</v>
      </c>
      <c r="E422" s="1">
        <v>45943.583333333336</v>
      </c>
      <c r="F422" t="s">
        <v>1482</v>
      </c>
      <c r="G422" t="s">
        <v>36</v>
      </c>
      <c r="H422">
        <v>453805</v>
      </c>
      <c r="I422" t="s">
        <v>51</v>
      </c>
      <c r="J422" t="s">
        <v>154</v>
      </c>
      <c r="M422" t="s">
        <v>40</v>
      </c>
      <c r="N422" t="s">
        <v>41</v>
      </c>
      <c r="O422" t="s">
        <v>155</v>
      </c>
      <c r="P422">
        <v>33</v>
      </c>
      <c r="Q422">
        <v>0</v>
      </c>
      <c r="R422">
        <v>0</v>
      </c>
      <c r="S422">
        <v>0</v>
      </c>
      <c r="T422" t="s">
        <v>54</v>
      </c>
      <c r="U422" t="s">
        <v>55</v>
      </c>
      <c r="W422" t="s">
        <v>1425</v>
      </c>
      <c r="Y422">
        <v>0</v>
      </c>
      <c r="AA422" t="s">
        <v>40</v>
      </c>
      <c r="AB422" t="s">
        <v>46</v>
      </c>
      <c r="AC422" t="s">
        <v>47</v>
      </c>
      <c r="AG422" t="s">
        <v>1483</v>
      </c>
      <c r="AJ422" t="s">
        <v>40</v>
      </c>
      <c r="AK422">
        <v>5019153808</v>
      </c>
      <c r="AO422" s="1">
        <v>45943</v>
      </c>
      <c r="AP422" s="5">
        <v>0.58333333333333337</v>
      </c>
      <c r="AS422">
        <v>1</v>
      </c>
    </row>
    <row r="423" spans="1:45" x14ac:dyDescent="0.2">
      <c r="A423">
        <f t="shared" si="26"/>
        <v>2025</v>
      </c>
      <c r="B423">
        <f t="shared" si="27"/>
        <v>10</v>
      </c>
      <c r="C423">
        <f t="shared" si="28"/>
        <v>42</v>
      </c>
      <c r="D423" s="2">
        <f t="shared" si="29"/>
        <v>45943</v>
      </c>
      <c r="E423" s="1">
        <v>45943.625</v>
      </c>
      <c r="F423" t="s">
        <v>1484</v>
      </c>
      <c r="G423" t="s">
        <v>36</v>
      </c>
      <c r="H423">
        <v>453800</v>
      </c>
      <c r="I423" t="s">
        <v>51</v>
      </c>
      <c r="J423" t="s">
        <v>154</v>
      </c>
      <c r="M423" t="s">
        <v>40</v>
      </c>
      <c r="N423" t="s">
        <v>41</v>
      </c>
      <c r="O423" t="s">
        <v>155</v>
      </c>
      <c r="P423">
        <v>33</v>
      </c>
      <c r="Q423">
        <v>0</v>
      </c>
      <c r="R423">
        <v>0</v>
      </c>
      <c r="S423">
        <v>0</v>
      </c>
      <c r="T423" t="s">
        <v>54</v>
      </c>
      <c r="U423" t="s">
        <v>55</v>
      </c>
      <c r="W423" t="s">
        <v>1425</v>
      </c>
      <c r="Y423">
        <v>0</v>
      </c>
      <c r="AA423" t="s">
        <v>40</v>
      </c>
      <c r="AB423" t="s">
        <v>46</v>
      </c>
      <c r="AC423" t="s">
        <v>47</v>
      </c>
      <c r="AG423" t="s">
        <v>1485</v>
      </c>
      <c r="AJ423" t="s">
        <v>40</v>
      </c>
      <c r="AK423">
        <v>5019154970</v>
      </c>
      <c r="AO423" s="1">
        <v>45943</v>
      </c>
      <c r="AP423" s="5">
        <v>0.625</v>
      </c>
      <c r="AS423">
        <v>1</v>
      </c>
    </row>
    <row r="424" spans="1:45" x14ac:dyDescent="0.2">
      <c r="A424">
        <f t="shared" si="26"/>
        <v>2025</v>
      </c>
      <c r="B424">
        <f t="shared" si="27"/>
        <v>10</v>
      </c>
      <c r="C424">
        <f t="shared" si="28"/>
        <v>42</v>
      </c>
      <c r="D424" s="2">
        <f t="shared" si="29"/>
        <v>45943</v>
      </c>
      <c r="E424" s="1">
        <v>45943.666666666664</v>
      </c>
      <c r="F424" t="s">
        <v>1486</v>
      </c>
      <c r="G424" t="s">
        <v>36</v>
      </c>
      <c r="H424">
        <v>453808</v>
      </c>
      <c r="I424" t="s">
        <v>51</v>
      </c>
      <c r="J424" t="s">
        <v>154</v>
      </c>
      <c r="M424" t="s">
        <v>40</v>
      </c>
      <c r="N424" t="s">
        <v>41</v>
      </c>
      <c r="O424" t="s">
        <v>155</v>
      </c>
      <c r="P424">
        <v>33</v>
      </c>
      <c r="Q424">
        <v>0</v>
      </c>
      <c r="R424">
        <v>0</v>
      </c>
      <c r="S424">
        <v>0</v>
      </c>
      <c r="T424" t="s">
        <v>54</v>
      </c>
      <c r="U424" t="s">
        <v>55</v>
      </c>
      <c r="W424" t="s">
        <v>1425</v>
      </c>
      <c r="Y424">
        <v>0</v>
      </c>
      <c r="AA424" t="s">
        <v>40</v>
      </c>
      <c r="AB424" t="s">
        <v>46</v>
      </c>
      <c r="AC424" t="s">
        <v>47</v>
      </c>
      <c r="AG424" t="s">
        <v>1487</v>
      </c>
      <c r="AJ424" t="s">
        <v>40</v>
      </c>
      <c r="AK424">
        <v>5019145094</v>
      </c>
      <c r="AO424" s="1">
        <v>45943</v>
      </c>
      <c r="AP424" s="5">
        <v>0.66666666666666663</v>
      </c>
      <c r="AS424">
        <v>1</v>
      </c>
    </row>
    <row r="425" spans="1:45" x14ac:dyDescent="0.2">
      <c r="A425">
        <f t="shared" si="26"/>
        <v>2025</v>
      </c>
      <c r="B425">
        <f t="shared" si="27"/>
        <v>10</v>
      </c>
      <c r="C425">
        <f t="shared" si="28"/>
        <v>42</v>
      </c>
      <c r="D425" s="2">
        <f t="shared" si="29"/>
        <v>45943</v>
      </c>
      <c r="E425" s="1">
        <v>45943.666666666664</v>
      </c>
      <c r="F425" t="s">
        <v>1488</v>
      </c>
      <c r="G425" t="s">
        <v>36</v>
      </c>
      <c r="H425" t="s">
        <v>340</v>
      </c>
      <c r="I425" t="s">
        <v>38</v>
      </c>
      <c r="J425" t="s">
        <v>140</v>
      </c>
      <c r="L425" t="s">
        <v>1489</v>
      </c>
      <c r="M425" t="s">
        <v>40</v>
      </c>
      <c r="N425" t="s">
        <v>41</v>
      </c>
      <c r="O425" t="s">
        <v>42</v>
      </c>
      <c r="P425">
        <v>20</v>
      </c>
      <c r="Q425">
        <v>0</v>
      </c>
      <c r="R425">
        <v>0</v>
      </c>
      <c r="S425">
        <v>0</v>
      </c>
      <c r="T425" t="s">
        <v>1490</v>
      </c>
      <c r="U425" t="s">
        <v>55</v>
      </c>
      <c r="W425" t="s">
        <v>1472</v>
      </c>
      <c r="Y425">
        <v>0</v>
      </c>
      <c r="AA425" t="s">
        <v>40</v>
      </c>
      <c r="AB425" t="s">
        <v>46</v>
      </c>
      <c r="AC425" t="s">
        <v>47</v>
      </c>
      <c r="AF425" t="s">
        <v>342</v>
      </c>
      <c r="AJ425" t="s">
        <v>40</v>
      </c>
      <c r="AK425" t="s">
        <v>49</v>
      </c>
      <c r="AO425" s="1">
        <v>45943</v>
      </c>
      <c r="AP425" s="5">
        <v>0.66666666666666663</v>
      </c>
      <c r="AS425">
        <v>1</v>
      </c>
    </row>
    <row r="426" spans="1:45" x14ac:dyDescent="0.2">
      <c r="A426">
        <f t="shared" si="26"/>
        <v>2025</v>
      </c>
      <c r="B426">
        <f t="shared" si="27"/>
        <v>10</v>
      </c>
      <c r="C426">
        <f t="shared" si="28"/>
        <v>42</v>
      </c>
      <c r="D426" s="2">
        <f t="shared" si="29"/>
        <v>45943</v>
      </c>
      <c r="E426" s="1">
        <v>45943.708333333336</v>
      </c>
      <c r="F426" t="s">
        <v>1491</v>
      </c>
      <c r="G426" t="s">
        <v>36</v>
      </c>
      <c r="H426">
        <v>453809</v>
      </c>
      <c r="I426" t="s">
        <v>51</v>
      </c>
      <c r="J426" t="s">
        <v>355</v>
      </c>
      <c r="M426" t="s">
        <v>40</v>
      </c>
      <c r="N426" t="s">
        <v>41</v>
      </c>
      <c r="O426" t="s">
        <v>530</v>
      </c>
      <c r="P426">
        <v>33</v>
      </c>
      <c r="Q426">
        <v>0</v>
      </c>
      <c r="R426">
        <v>0</v>
      </c>
      <c r="S426">
        <v>0</v>
      </c>
      <c r="T426" t="s">
        <v>54</v>
      </c>
      <c r="U426" t="s">
        <v>55</v>
      </c>
      <c r="W426" t="s">
        <v>1447</v>
      </c>
      <c r="Y426">
        <v>0</v>
      </c>
      <c r="AA426" t="s">
        <v>40</v>
      </c>
      <c r="AB426" t="s">
        <v>46</v>
      </c>
      <c r="AC426" t="s">
        <v>47</v>
      </c>
      <c r="AG426" t="s">
        <v>1492</v>
      </c>
      <c r="AJ426" t="s">
        <v>40</v>
      </c>
      <c r="AK426">
        <v>5019144677</v>
      </c>
      <c r="AO426" s="1">
        <v>45943</v>
      </c>
      <c r="AP426" s="5">
        <v>0.70833333333333337</v>
      </c>
      <c r="AS426">
        <v>1</v>
      </c>
    </row>
    <row r="427" spans="1:45" x14ac:dyDescent="0.2">
      <c r="A427">
        <f t="shared" si="26"/>
        <v>2025</v>
      </c>
      <c r="B427">
        <f t="shared" si="27"/>
        <v>10</v>
      </c>
      <c r="C427">
        <f t="shared" si="28"/>
        <v>42</v>
      </c>
      <c r="D427" s="2">
        <f t="shared" si="29"/>
        <v>45943</v>
      </c>
      <c r="E427" s="1">
        <v>45943.708333333336</v>
      </c>
      <c r="F427" t="s">
        <v>1493</v>
      </c>
      <c r="G427" t="s">
        <v>36</v>
      </c>
      <c r="H427">
        <v>453812</v>
      </c>
      <c r="I427" t="s">
        <v>51</v>
      </c>
      <c r="J427" t="s">
        <v>194</v>
      </c>
      <c r="M427" t="s">
        <v>40</v>
      </c>
      <c r="N427" t="s">
        <v>41</v>
      </c>
      <c r="O427" t="s">
        <v>210</v>
      </c>
      <c r="P427">
        <v>33</v>
      </c>
      <c r="Q427">
        <v>0</v>
      </c>
      <c r="R427">
        <v>0</v>
      </c>
      <c r="S427">
        <v>0</v>
      </c>
      <c r="T427" t="s">
        <v>54</v>
      </c>
      <c r="U427" t="s">
        <v>55</v>
      </c>
      <c r="W427" t="s">
        <v>1494</v>
      </c>
      <c r="X427" t="s">
        <v>1495</v>
      </c>
      <c r="Y427">
        <v>0</v>
      </c>
      <c r="AA427" t="s">
        <v>40</v>
      </c>
      <c r="AB427" t="s">
        <v>46</v>
      </c>
      <c r="AC427" t="s">
        <v>47</v>
      </c>
      <c r="AG427" t="s">
        <v>1496</v>
      </c>
      <c r="AJ427" t="s">
        <v>40</v>
      </c>
      <c r="AK427">
        <v>5019160160</v>
      </c>
      <c r="AL427" t="s">
        <v>1497</v>
      </c>
      <c r="AM427" t="s">
        <v>1498</v>
      </c>
      <c r="AO427" s="1">
        <v>45943</v>
      </c>
      <c r="AP427" s="5">
        <v>0.70833333333333337</v>
      </c>
      <c r="AS427">
        <v>1</v>
      </c>
    </row>
    <row r="428" spans="1:45" x14ac:dyDescent="0.2">
      <c r="A428">
        <f t="shared" si="26"/>
        <v>2025</v>
      </c>
      <c r="B428">
        <f t="shared" si="27"/>
        <v>10</v>
      </c>
      <c r="C428">
        <f t="shared" si="28"/>
        <v>42</v>
      </c>
      <c r="D428" s="2">
        <f t="shared" si="29"/>
        <v>45943</v>
      </c>
      <c r="E428" s="1">
        <v>45943.708333333336</v>
      </c>
      <c r="F428" t="s">
        <v>1499</v>
      </c>
      <c r="G428" t="s">
        <v>36</v>
      </c>
      <c r="H428">
        <v>453799</v>
      </c>
      <c r="I428" t="s">
        <v>51</v>
      </c>
      <c r="J428" t="s">
        <v>188</v>
      </c>
      <c r="M428" t="s">
        <v>40</v>
      </c>
      <c r="N428" t="s">
        <v>41</v>
      </c>
      <c r="O428" t="s">
        <v>189</v>
      </c>
      <c r="P428">
        <v>33</v>
      </c>
      <c r="Q428">
        <v>0</v>
      </c>
      <c r="R428">
        <v>0</v>
      </c>
      <c r="S428">
        <v>0</v>
      </c>
      <c r="T428" t="s">
        <v>54</v>
      </c>
      <c r="U428" t="s">
        <v>55</v>
      </c>
      <c r="W428" t="s">
        <v>1500</v>
      </c>
      <c r="Y428">
        <v>0</v>
      </c>
      <c r="AA428" t="s">
        <v>40</v>
      </c>
      <c r="AB428" t="s">
        <v>46</v>
      </c>
      <c r="AC428" t="s">
        <v>47</v>
      </c>
      <c r="AG428" t="s">
        <v>1501</v>
      </c>
      <c r="AJ428" t="s">
        <v>40</v>
      </c>
      <c r="AK428">
        <v>5019154022</v>
      </c>
      <c r="AO428" s="1">
        <v>45943</v>
      </c>
      <c r="AP428" s="5">
        <v>0.70833333333333337</v>
      </c>
      <c r="AS428">
        <v>1</v>
      </c>
    </row>
    <row r="429" spans="1:45" x14ac:dyDescent="0.2">
      <c r="A429">
        <f t="shared" si="26"/>
        <v>2025</v>
      </c>
      <c r="B429">
        <f t="shared" si="27"/>
        <v>10</v>
      </c>
      <c r="C429">
        <f t="shared" si="28"/>
        <v>42</v>
      </c>
      <c r="D429" s="2">
        <f t="shared" si="29"/>
        <v>45943</v>
      </c>
      <c r="E429" s="1">
        <v>45943.75</v>
      </c>
      <c r="F429" t="s">
        <v>1502</v>
      </c>
      <c r="G429" t="s">
        <v>36</v>
      </c>
      <c r="H429">
        <v>457727</v>
      </c>
      <c r="I429" t="s">
        <v>51</v>
      </c>
      <c r="J429" t="s">
        <v>144</v>
      </c>
      <c r="M429" t="s">
        <v>40</v>
      </c>
      <c r="N429" t="s">
        <v>41</v>
      </c>
      <c r="O429" t="s">
        <v>155</v>
      </c>
      <c r="P429">
        <v>33</v>
      </c>
      <c r="Q429">
        <v>0</v>
      </c>
      <c r="R429">
        <v>0</v>
      </c>
      <c r="S429">
        <v>0</v>
      </c>
      <c r="T429" t="s">
        <v>54</v>
      </c>
      <c r="U429" t="s">
        <v>55</v>
      </c>
      <c r="W429" t="s">
        <v>1503</v>
      </c>
      <c r="Y429">
        <v>0</v>
      </c>
      <c r="AA429" t="s">
        <v>40</v>
      </c>
      <c r="AB429" t="s">
        <v>46</v>
      </c>
      <c r="AC429" t="s">
        <v>47</v>
      </c>
      <c r="AG429" t="s">
        <v>1504</v>
      </c>
      <c r="AJ429" t="s">
        <v>40</v>
      </c>
      <c r="AK429">
        <v>5019145095</v>
      </c>
      <c r="AO429" s="1">
        <v>45943</v>
      </c>
      <c r="AP429" s="5">
        <v>0.75</v>
      </c>
      <c r="AS429">
        <v>1</v>
      </c>
    </row>
    <row r="430" spans="1:45" x14ac:dyDescent="0.2">
      <c r="A430">
        <f t="shared" si="26"/>
        <v>2025</v>
      </c>
      <c r="B430">
        <f t="shared" si="27"/>
        <v>10</v>
      </c>
      <c r="C430">
        <f t="shared" si="28"/>
        <v>42</v>
      </c>
      <c r="D430" s="2">
        <f t="shared" si="29"/>
        <v>45943</v>
      </c>
      <c r="E430" s="1">
        <v>45943.75</v>
      </c>
      <c r="F430" t="s">
        <v>1505</v>
      </c>
      <c r="G430" t="s">
        <v>36</v>
      </c>
      <c r="H430">
        <v>453798</v>
      </c>
      <c r="I430" t="s">
        <v>51</v>
      </c>
      <c r="J430" t="s">
        <v>194</v>
      </c>
      <c r="M430" t="s">
        <v>40</v>
      </c>
      <c r="N430" t="s">
        <v>41</v>
      </c>
      <c r="O430" t="s">
        <v>189</v>
      </c>
      <c r="P430">
        <v>33</v>
      </c>
      <c r="Q430">
        <v>0</v>
      </c>
      <c r="R430">
        <v>0</v>
      </c>
      <c r="S430">
        <v>0</v>
      </c>
      <c r="T430" t="s">
        <v>54</v>
      </c>
      <c r="U430" t="s">
        <v>55</v>
      </c>
      <c r="W430" t="s">
        <v>1506</v>
      </c>
      <c r="Y430">
        <v>0</v>
      </c>
      <c r="AA430" t="s">
        <v>40</v>
      </c>
      <c r="AB430" t="s">
        <v>46</v>
      </c>
      <c r="AC430" t="s">
        <v>47</v>
      </c>
      <c r="AG430" t="s">
        <v>1507</v>
      </c>
      <c r="AJ430" t="s">
        <v>40</v>
      </c>
      <c r="AK430">
        <v>5019145048</v>
      </c>
      <c r="AO430" s="1">
        <v>45943</v>
      </c>
      <c r="AP430" s="5">
        <v>0.75</v>
      </c>
      <c r="AS430">
        <v>1</v>
      </c>
    </row>
    <row r="431" spans="1:45" x14ac:dyDescent="0.2">
      <c r="A431">
        <f t="shared" si="26"/>
        <v>2025</v>
      </c>
      <c r="B431">
        <f t="shared" si="27"/>
        <v>10</v>
      </c>
      <c r="C431">
        <f t="shared" si="28"/>
        <v>42</v>
      </c>
      <c r="D431" s="2">
        <f t="shared" si="29"/>
        <v>45943</v>
      </c>
      <c r="E431" s="1">
        <v>45943.75</v>
      </c>
      <c r="F431" t="s">
        <v>1508</v>
      </c>
      <c r="G431" t="s">
        <v>36</v>
      </c>
      <c r="H431">
        <v>453814</v>
      </c>
      <c r="I431" t="s">
        <v>51</v>
      </c>
      <c r="J431" t="s">
        <v>144</v>
      </c>
      <c r="M431" t="s">
        <v>40</v>
      </c>
      <c r="N431" t="s">
        <v>41</v>
      </c>
      <c r="O431" t="s">
        <v>172</v>
      </c>
      <c r="P431">
        <v>33</v>
      </c>
      <c r="Q431">
        <v>0</v>
      </c>
      <c r="R431">
        <v>0</v>
      </c>
      <c r="S431">
        <v>0</v>
      </c>
      <c r="T431" t="s">
        <v>54</v>
      </c>
      <c r="U431" t="s">
        <v>55</v>
      </c>
      <c r="W431" t="s">
        <v>1509</v>
      </c>
      <c r="Y431">
        <v>0</v>
      </c>
      <c r="AA431" t="s">
        <v>40</v>
      </c>
      <c r="AB431" t="s">
        <v>46</v>
      </c>
      <c r="AC431" t="s">
        <v>47</v>
      </c>
      <c r="AG431" t="s">
        <v>1510</v>
      </c>
      <c r="AJ431" t="s">
        <v>40</v>
      </c>
      <c r="AK431">
        <v>5019145350</v>
      </c>
      <c r="AO431" s="1">
        <v>45943</v>
      </c>
      <c r="AP431" s="5">
        <v>0.75</v>
      </c>
      <c r="AS431">
        <v>1</v>
      </c>
    </row>
    <row r="432" spans="1:45" x14ac:dyDescent="0.2">
      <c r="A432">
        <f t="shared" si="26"/>
        <v>2025</v>
      </c>
      <c r="B432">
        <f t="shared" si="27"/>
        <v>10</v>
      </c>
      <c r="C432">
        <f t="shared" si="28"/>
        <v>42</v>
      </c>
      <c r="D432" s="2">
        <f t="shared" si="29"/>
        <v>45943</v>
      </c>
      <c r="E432" s="1">
        <v>45943.791666666664</v>
      </c>
      <c r="F432" t="s">
        <v>1511</v>
      </c>
      <c r="G432" t="s">
        <v>36</v>
      </c>
      <c r="H432">
        <v>453810</v>
      </c>
      <c r="I432" t="s">
        <v>51</v>
      </c>
      <c r="J432" t="s">
        <v>188</v>
      </c>
      <c r="M432" t="s">
        <v>40</v>
      </c>
      <c r="N432" t="s">
        <v>41</v>
      </c>
      <c r="O432" t="s">
        <v>172</v>
      </c>
      <c r="P432">
        <v>33</v>
      </c>
      <c r="Q432">
        <v>0</v>
      </c>
      <c r="R432">
        <v>0</v>
      </c>
      <c r="S432">
        <v>0</v>
      </c>
      <c r="T432" t="s">
        <v>54</v>
      </c>
      <c r="U432" t="s">
        <v>55</v>
      </c>
      <c r="W432" t="s">
        <v>1326</v>
      </c>
      <c r="Y432">
        <v>0</v>
      </c>
      <c r="AA432" t="s">
        <v>40</v>
      </c>
      <c r="AB432" t="s">
        <v>46</v>
      </c>
      <c r="AC432" t="s">
        <v>47</v>
      </c>
      <c r="AG432" t="s">
        <v>1512</v>
      </c>
      <c r="AJ432" t="s">
        <v>40</v>
      </c>
      <c r="AK432">
        <v>5019145351</v>
      </c>
      <c r="AO432" s="1">
        <v>45943</v>
      </c>
      <c r="AP432" s="5">
        <v>0.79166666666666663</v>
      </c>
      <c r="AS432">
        <v>1</v>
      </c>
    </row>
    <row r="433" spans="1:45" x14ac:dyDescent="0.2">
      <c r="A433">
        <f t="shared" si="26"/>
        <v>2025</v>
      </c>
      <c r="B433">
        <f t="shared" si="27"/>
        <v>10</v>
      </c>
      <c r="C433">
        <f t="shared" si="28"/>
        <v>42</v>
      </c>
      <c r="D433" s="2">
        <f t="shared" si="29"/>
        <v>45943</v>
      </c>
      <c r="E433" s="1">
        <v>45943.791666666664</v>
      </c>
      <c r="F433" t="s">
        <v>1513</v>
      </c>
      <c r="G433" t="s">
        <v>36</v>
      </c>
      <c r="H433">
        <v>458905</v>
      </c>
      <c r="I433" t="s">
        <v>51</v>
      </c>
      <c r="J433" t="s">
        <v>144</v>
      </c>
      <c r="M433" t="s">
        <v>40</v>
      </c>
      <c r="N433" t="s">
        <v>41</v>
      </c>
      <c r="O433" t="s">
        <v>1514</v>
      </c>
      <c r="P433">
        <v>33</v>
      </c>
      <c r="Q433">
        <v>0</v>
      </c>
      <c r="R433">
        <v>0</v>
      </c>
      <c r="S433">
        <v>0</v>
      </c>
      <c r="T433" t="s">
        <v>54</v>
      </c>
      <c r="U433" t="s">
        <v>55</v>
      </c>
      <c r="W433" t="s">
        <v>1515</v>
      </c>
      <c r="X433" t="s">
        <v>1516</v>
      </c>
      <c r="Y433">
        <v>0</v>
      </c>
      <c r="AA433" t="s">
        <v>40</v>
      </c>
      <c r="AB433" t="s">
        <v>46</v>
      </c>
      <c r="AC433" t="s">
        <v>47</v>
      </c>
      <c r="AG433" t="s">
        <v>1517</v>
      </c>
      <c r="AJ433" t="s">
        <v>40</v>
      </c>
      <c r="AK433">
        <v>5019136006</v>
      </c>
      <c r="AL433" t="s">
        <v>1518</v>
      </c>
      <c r="AM433" t="s">
        <v>1519</v>
      </c>
      <c r="AO433" s="1">
        <v>45943</v>
      </c>
      <c r="AP433" s="5">
        <v>0.79166666666666663</v>
      </c>
      <c r="AS433">
        <v>1</v>
      </c>
    </row>
    <row r="434" spans="1:45" x14ac:dyDescent="0.2">
      <c r="A434">
        <f t="shared" si="26"/>
        <v>2025</v>
      </c>
      <c r="B434">
        <f t="shared" si="27"/>
        <v>10</v>
      </c>
      <c r="C434">
        <f t="shared" si="28"/>
        <v>42</v>
      </c>
      <c r="D434" s="2">
        <f t="shared" si="29"/>
        <v>45943</v>
      </c>
      <c r="E434" s="1">
        <v>45943.791666666664</v>
      </c>
      <c r="F434" t="s">
        <v>1520</v>
      </c>
      <c r="G434" t="s">
        <v>36</v>
      </c>
      <c r="H434" t="s">
        <v>1521</v>
      </c>
      <c r="I434" t="s">
        <v>78</v>
      </c>
      <c r="J434" t="s">
        <v>219</v>
      </c>
      <c r="M434" t="s">
        <v>40</v>
      </c>
      <c r="N434" t="s">
        <v>41</v>
      </c>
      <c r="O434" t="s">
        <v>417</v>
      </c>
      <c r="P434">
        <v>66</v>
      </c>
      <c r="Q434">
        <v>0</v>
      </c>
      <c r="R434">
        <v>0</v>
      </c>
      <c r="S434">
        <v>0</v>
      </c>
      <c r="T434" t="s">
        <v>54</v>
      </c>
      <c r="U434" t="s">
        <v>55</v>
      </c>
      <c r="W434" t="s">
        <v>1522</v>
      </c>
      <c r="X434" t="s">
        <v>754</v>
      </c>
      <c r="Y434">
        <v>0</v>
      </c>
      <c r="AA434" t="s">
        <v>40</v>
      </c>
      <c r="AB434" t="s">
        <v>46</v>
      </c>
      <c r="AC434" t="s">
        <v>47</v>
      </c>
      <c r="AD434" t="s">
        <v>81</v>
      </c>
      <c r="AE434" t="s">
        <v>81</v>
      </c>
      <c r="AG434" t="s">
        <v>1523</v>
      </c>
      <c r="AJ434" t="s">
        <v>40</v>
      </c>
      <c r="AK434" t="s">
        <v>1524</v>
      </c>
      <c r="AL434" t="s">
        <v>756</v>
      </c>
      <c r="AM434" t="s">
        <v>757</v>
      </c>
      <c r="AO434" s="1">
        <v>45943</v>
      </c>
      <c r="AP434" s="5">
        <v>0.79166666666666663</v>
      </c>
      <c r="AS434">
        <v>1</v>
      </c>
    </row>
    <row r="435" spans="1:45" x14ac:dyDescent="0.2">
      <c r="A435">
        <f t="shared" si="26"/>
        <v>2025</v>
      </c>
      <c r="B435">
        <f t="shared" si="27"/>
        <v>10</v>
      </c>
      <c r="C435">
        <f t="shared" si="28"/>
        <v>42</v>
      </c>
      <c r="D435" s="2">
        <f t="shared" si="29"/>
        <v>45943</v>
      </c>
      <c r="E435" s="1">
        <v>45943.833333333336</v>
      </c>
      <c r="F435" t="s">
        <v>1525</v>
      </c>
      <c r="G435" t="s">
        <v>36</v>
      </c>
      <c r="H435">
        <v>453806</v>
      </c>
      <c r="I435" t="s">
        <v>51</v>
      </c>
      <c r="J435" t="s">
        <v>126</v>
      </c>
      <c r="M435" t="s">
        <v>40</v>
      </c>
      <c r="N435" t="s">
        <v>41</v>
      </c>
      <c r="O435" t="s">
        <v>90</v>
      </c>
      <c r="P435">
        <v>33</v>
      </c>
      <c r="Q435">
        <v>0</v>
      </c>
      <c r="R435">
        <v>0</v>
      </c>
      <c r="S435">
        <v>0</v>
      </c>
      <c r="T435" t="s">
        <v>54</v>
      </c>
      <c r="U435" t="s">
        <v>55</v>
      </c>
      <c r="W435" t="s">
        <v>1526</v>
      </c>
      <c r="Y435">
        <v>0</v>
      </c>
      <c r="AA435" t="s">
        <v>40</v>
      </c>
      <c r="AB435" t="s">
        <v>46</v>
      </c>
      <c r="AC435" t="s">
        <v>47</v>
      </c>
      <c r="AG435" t="s">
        <v>1527</v>
      </c>
      <c r="AJ435" t="s">
        <v>40</v>
      </c>
      <c r="AK435">
        <v>5019156763</v>
      </c>
      <c r="AO435" s="1">
        <v>45943</v>
      </c>
      <c r="AP435" s="5">
        <v>0.83333333333333337</v>
      </c>
      <c r="AS435">
        <v>1</v>
      </c>
    </row>
    <row r="436" spans="1:45" x14ac:dyDescent="0.2">
      <c r="A436">
        <f t="shared" si="26"/>
        <v>2025</v>
      </c>
      <c r="B436">
        <f t="shared" si="27"/>
        <v>10</v>
      </c>
      <c r="C436">
        <f t="shared" si="28"/>
        <v>42</v>
      </c>
      <c r="D436" s="2">
        <f t="shared" si="29"/>
        <v>45944</v>
      </c>
      <c r="E436" s="1">
        <v>45944.25</v>
      </c>
      <c r="F436" t="s">
        <v>1528</v>
      </c>
      <c r="G436" t="s">
        <v>36</v>
      </c>
      <c r="H436">
        <v>459502</v>
      </c>
      <c r="I436" t="s">
        <v>51</v>
      </c>
      <c r="J436" t="s">
        <v>52</v>
      </c>
      <c r="M436" t="s">
        <v>40</v>
      </c>
      <c r="N436" t="s">
        <v>41</v>
      </c>
      <c r="O436" t="s">
        <v>53</v>
      </c>
      <c r="P436">
        <v>33</v>
      </c>
      <c r="Q436">
        <v>0</v>
      </c>
      <c r="R436">
        <v>0</v>
      </c>
      <c r="S436">
        <v>0</v>
      </c>
      <c r="T436" t="s">
        <v>54</v>
      </c>
      <c r="U436" t="s">
        <v>55</v>
      </c>
      <c r="W436" t="s">
        <v>1529</v>
      </c>
      <c r="Y436">
        <v>0</v>
      </c>
      <c r="AA436" t="s">
        <v>40</v>
      </c>
      <c r="AB436" t="s">
        <v>46</v>
      </c>
      <c r="AC436" t="s">
        <v>47</v>
      </c>
      <c r="AG436" t="s">
        <v>1530</v>
      </c>
      <c r="AJ436" t="s">
        <v>40</v>
      </c>
      <c r="AK436">
        <v>5019135585</v>
      </c>
      <c r="AO436" s="1">
        <v>45944</v>
      </c>
      <c r="AP436" s="5">
        <v>0.25</v>
      </c>
      <c r="AS436">
        <v>1</v>
      </c>
    </row>
    <row r="437" spans="1:45" x14ac:dyDescent="0.2">
      <c r="A437">
        <f t="shared" si="26"/>
        <v>2025</v>
      </c>
      <c r="B437">
        <f t="shared" si="27"/>
        <v>10</v>
      </c>
      <c r="C437">
        <f t="shared" si="28"/>
        <v>42</v>
      </c>
      <c r="D437" s="2">
        <f t="shared" si="29"/>
        <v>45944</v>
      </c>
      <c r="E437" s="1">
        <v>45944.25</v>
      </c>
      <c r="F437" t="s">
        <v>1531</v>
      </c>
      <c r="G437" t="s">
        <v>36</v>
      </c>
      <c r="H437">
        <v>459109</v>
      </c>
      <c r="I437" t="s">
        <v>51</v>
      </c>
      <c r="J437" t="s">
        <v>52</v>
      </c>
      <c r="M437" t="s">
        <v>40</v>
      </c>
      <c r="N437" t="s">
        <v>41</v>
      </c>
      <c r="O437" t="s">
        <v>53</v>
      </c>
      <c r="P437">
        <v>33</v>
      </c>
      <c r="Q437">
        <v>0</v>
      </c>
      <c r="R437">
        <v>0</v>
      </c>
      <c r="S437">
        <v>0</v>
      </c>
      <c r="T437" t="s">
        <v>54</v>
      </c>
      <c r="U437" t="s">
        <v>55</v>
      </c>
      <c r="W437" t="s">
        <v>1532</v>
      </c>
      <c r="Y437">
        <v>0</v>
      </c>
      <c r="AA437" t="s">
        <v>40</v>
      </c>
      <c r="AB437" t="s">
        <v>46</v>
      </c>
      <c r="AC437" t="s">
        <v>47</v>
      </c>
      <c r="AG437" t="s">
        <v>1533</v>
      </c>
      <c r="AJ437" t="s">
        <v>40</v>
      </c>
      <c r="AK437">
        <v>5019151751</v>
      </c>
      <c r="AO437" s="1">
        <v>45944</v>
      </c>
      <c r="AP437" s="5">
        <v>0.25</v>
      </c>
      <c r="AS437">
        <v>1</v>
      </c>
    </row>
    <row r="438" spans="1:45" x14ac:dyDescent="0.2">
      <c r="A438">
        <f t="shared" si="26"/>
        <v>2025</v>
      </c>
      <c r="B438">
        <f t="shared" si="27"/>
        <v>10</v>
      </c>
      <c r="C438">
        <f t="shared" si="28"/>
        <v>42</v>
      </c>
      <c r="D438" s="2">
        <f t="shared" si="29"/>
        <v>45944</v>
      </c>
      <c r="E438" s="1">
        <v>45944.291666666664</v>
      </c>
      <c r="F438" t="s">
        <v>1534</v>
      </c>
      <c r="G438" t="s">
        <v>36</v>
      </c>
      <c r="H438">
        <v>456577</v>
      </c>
      <c r="I438" t="s">
        <v>51</v>
      </c>
      <c r="J438" t="s">
        <v>52</v>
      </c>
      <c r="M438" t="s">
        <v>40</v>
      </c>
      <c r="N438" t="s">
        <v>41</v>
      </c>
      <c r="O438" t="s">
        <v>53</v>
      </c>
      <c r="P438">
        <v>33</v>
      </c>
      <c r="Q438">
        <v>0</v>
      </c>
      <c r="R438">
        <v>0</v>
      </c>
      <c r="S438">
        <v>0</v>
      </c>
      <c r="T438" t="s">
        <v>54</v>
      </c>
      <c r="U438" t="s">
        <v>55</v>
      </c>
      <c r="W438" t="s">
        <v>1532</v>
      </c>
      <c r="Y438">
        <v>0</v>
      </c>
      <c r="AA438" t="s">
        <v>40</v>
      </c>
      <c r="AB438" t="s">
        <v>46</v>
      </c>
      <c r="AC438" t="s">
        <v>47</v>
      </c>
      <c r="AG438" t="s">
        <v>1535</v>
      </c>
      <c r="AJ438" t="s">
        <v>40</v>
      </c>
      <c r="AK438">
        <v>5019151749</v>
      </c>
      <c r="AO438" s="1">
        <v>45944</v>
      </c>
      <c r="AP438" s="5">
        <v>0.29166666666666669</v>
      </c>
      <c r="AS438">
        <v>1</v>
      </c>
    </row>
    <row r="439" spans="1:45" x14ac:dyDescent="0.2">
      <c r="A439">
        <f t="shared" si="26"/>
        <v>2025</v>
      </c>
      <c r="B439">
        <f t="shared" si="27"/>
        <v>10</v>
      </c>
      <c r="C439">
        <f t="shared" si="28"/>
        <v>42</v>
      </c>
      <c r="D439" s="2">
        <f t="shared" si="29"/>
        <v>45944</v>
      </c>
      <c r="E439" s="1">
        <v>45944.333333333336</v>
      </c>
      <c r="F439" t="s">
        <v>1536</v>
      </c>
      <c r="G439" t="s">
        <v>36</v>
      </c>
      <c r="H439" t="s">
        <v>37</v>
      </c>
      <c r="I439" t="s">
        <v>38</v>
      </c>
      <c r="J439" t="s">
        <v>39</v>
      </c>
      <c r="M439" t="s">
        <v>40</v>
      </c>
      <c r="N439" t="s">
        <v>41</v>
      </c>
      <c r="O439" t="s">
        <v>42</v>
      </c>
      <c r="P439">
        <v>23</v>
      </c>
      <c r="Q439">
        <v>0</v>
      </c>
      <c r="R439">
        <v>0</v>
      </c>
      <c r="S439">
        <v>0</v>
      </c>
      <c r="T439" t="s">
        <v>1537</v>
      </c>
      <c r="U439" t="s">
        <v>44</v>
      </c>
      <c r="W439" t="s">
        <v>1538</v>
      </c>
      <c r="Y439">
        <v>0</v>
      </c>
      <c r="AA439" t="s">
        <v>40</v>
      </c>
      <c r="AB439" t="s">
        <v>46</v>
      </c>
      <c r="AC439" t="s">
        <v>47</v>
      </c>
      <c r="AF439" t="s">
        <v>48</v>
      </c>
      <c r="AJ439" t="s">
        <v>40</v>
      </c>
      <c r="AK439" t="s">
        <v>49</v>
      </c>
      <c r="AO439" s="1">
        <v>45944</v>
      </c>
      <c r="AP439" s="5">
        <v>0.33333333333333331</v>
      </c>
      <c r="AS439">
        <v>1</v>
      </c>
    </row>
    <row r="440" spans="1:45" x14ac:dyDescent="0.2">
      <c r="A440">
        <f t="shared" si="26"/>
        <v>2025</v>
      </c>
      <c r="B440">
        <f t="shared" si="27"/>
        <v>10</v>
      </c>
      <c r="C440">
        <f t="shared" si="28"/>
        <v>42</v>
      </c>
      <c r="D440" s="2">
        <f t="shared" si="29"/>
        <v>45944</v>
      </c>
      <c r="E440" s="1">
        <v>45944.333333333336</v>
      </c>
      <c r="F440" t="s">
        <v>1539</v>
      </c>
      <c r="G440" t="s">
        <v>36</v>
      </c>
      <c r="H440" t="s">
        <v>264</v>
      </c>
      <c r="I440" t="s">
        <v>38</v>
      </c>
      <c r="J440" t="s">
        <v>265</v>
      </c>
      <c r="M440" t="s">
        <v>40</v>
      </c>
      <c r="N440" t="s">
        <v>41</v>
      </c>
      <c r="O440" t="s">
        <v>42</v>
      </c>
      <c r="P440">
        <v>23</v>
      </c>
      <c r="Q440">
        <v>0</v>
      </c>
      <c r="R440">
        <v>0</v>
      </c>
      <c r="S440">
        <v>0</v>
      </c>
      <c r="T440" t="s">
        <v>1540</v>
      </c>
      <c r="U440" t="s">
        <v>55</v>
      </c>
      <c r="W440" t="s">
        <v>1538</v>
      </c>
      <c r="Y440">
        <v>0</v>
      </c>
      <c r="AA440" t="s">
        <v>40</v>
      </c>
      <c r="AB440" t="s">
        <v>46</v>
      </c>
      <c r="AC440" t="s">
        <v>47</v>
      </c>
      <c r="AF440" t="s">
        <v>48</v>
      </c>
      <c r="AJ440" t="s">
        <v>40</v>
      </c>
      <c r="AK440" t="s">
        <v>49</v>
      </c>
      <c r="AO440" s="1">
        <v>45944</v>
      </c>
      <c r="AP440" s="5">
        <v>0.33333333333333331</v>
      </c>
      <c r="AS440">
        <v>1</v>
      </c>
    </row>
    <row r="441" spans="1:45" x14ac:dyDescent="0.2">
      <c r="A441">
        <f t="shared" si="26"/>
        <v>2025</v>
      </c>
      <c r="B441">
        <f t="shared" si="27"/>
        <v>10</v>
      </c>
      <c r="C441">
        <f t="shared" si="28"/>
        <v>42</v>
      </c>
      <c r="D441" s="2">
        <f t="shared" si="29"/>
        <v>45944</v>
      </c>
      <c r="E441" s="1">
        <v>45944.333333333336</v>
      </c>
      <c r="F441" t="s">
        <v>1541</v>
      </c>
      <c r="G441" t="s">
        <v>36</v>
      </c>
      <c r="H441" t="s">
        <v>1542</v>
      </c>
      <c r="I441" t="s">
        <v>38</v>
      </c>
      <c r="J441" t="s">
        <v>1543</v>
      </c>
      <c r="M441" t="s">
        <v>40</v>
      </c>
      <c r="N441" t="s">
        <v>41</v>
      </c>
      <c r="O441" t="s">
        <v>42</v>
      </c>
      <c r="P441">
        <v>24</v>
      </c>
      <c r="Q441">
        <v>0</v>
      </c>
      <c r="R441">
        <v>0</v>
      </c>
      <c r="S441">
        <v>0</v>
      </c>
      <c r="T441" t="s">
        <v>1544</v>
      </c>
      <c r="U441" t="s">
        <v>392</v>
      </c>
      <c r="W441" t="s">
        <v>1545</v>
      </c>
      <c r="Y441">
        <v>0</v>
      </c>
      <c r="AA441" t="s">
        <v>40</v>
      </c>
      <c r="AB441" t="s">
        <v>46</v>
      </c>
      <c r="AC441" t="s">
        <v>47</v>
      </c>
      <c r="AF441" t="s">
        <v>393</v>
      </c>
      <c r="AJ441" t="s">
        <v>40</v>
      </c>
      <c r="AK441" t="s">
        <v>49</v>
      </c>
      <c r="AO441" s="1">
        <v>45944</v>
      </c>
      <c r="AP441" s="5">
        <v>0.33333333333333331</v>
      </c>
      <c r="AS441">
        <v>1</v>
      </c>
    </row>
    <row r="442" spans="1:45" x14ac:dyDescent="0.2">
      <c r="A442">
        <f t="shared" si="26"/>
        <v>2025</v>
      </c>
      <c r="B442">
        <f t="shared" si="27"/>
        <v>10</v>
      </c>
      <c r="C442">
        <f t="shared" si="28"/>
        <v>42</v>
      </c>
      <c r="D442" s="2">
        <f t="shared" si="29"/>
        <v>45944</v>
      </c>
      <c r="E442" s="1">
        <v>45944.375</v>
      </c>
      <c r="F442" t="s">
        <v>1546</v>
      </c>
      <c r="G442" t="s">
        <v>36</v>
      </c>
      <c r="H442">
        <v>459328</v>
      </c>
      <c r="I442" t="s">
        <v>51</v>
      </c>
      <c r="J442" t="s">
        <v>52</v>
      </c>
      <c r="M442" t="s">
        <v>40</v>
      </c>
      <c r="N442" t="s">
        <v>41</v>
      </c>
      <c r="O442" t="s">
        <v>433</v>
      </c>
      <c r="P442">
        <v>33</v>
      </c>
      <c r="Q442">
        <v>0</v>
      </c>
      <c r="R442">
        <v>0</v>
      </c>
      <c r="S442">
        <v>0</v>
      </c>
      <c r="T442" t="s">
        <v>54</v>
      </c>
      <c r="U442" t="s">
        <v>55</v>
      </c>
      <c r="W442" t="s">
        <v>1547</v>
      </c>
      <c r="Y442">
        <v>0</v>
      </c>
      <c r="AA442" t="s">
        <v>40</v>
      </c>
      <c r="AB442" t="s">
        <v>46</v>
      </c>
      <c r="AC442" t="s">
        <v>47</v>
      </c>
      <c r="AG442" t="s">
        <v>1548</v>
      </c>
      <c r="AJ442" t="s">
        <v>40</v>
      </c>
      <c r="AK442">
        <v>5019153861</v>
      </c>
      <c r="AO442" s="1">
        <v>45944</v>
      </c>
      <c r="AP442" s="5">
        <v>0.375</v>
      </c>
      <c r="AS442">
        <v>1</v>
      </c>
    </row>
    <row r="443" spans="1:45" x14ac:dyDescent="0.2">
      <c r="A443">
        <f t="shared" si="26"/>
        <v>2025</v>
      </c>
      <c r="B443">
        <f t="shared" si="27"/>
        <v>10</v>
      </c>
      <c r="C443">
        <f t="shared" si="28"/>
        <v>42</v>
      </c>
      <c r="D443" s="2">
        <f t="shared" si="29"/>
        <v>45944</v>
      </c>
      <c r="E443" s="1">
        <v>45944.375</v>
      </c>
      <c r="F443" t="s">
        <v>1549</v>
      </c>
      <c r="G443" t="s">
        <v>36</v>
      </c>
      <c r="H443" t="s">
        <v>1550</v>
      </c>
      <c r="I443" t="s">
        <v>38</v>
      </c>
      <c r="J443" t="s">
        <v>60</v>
      </c>
      <c r="M443" t="s">
        <v>40</v>
      </c>
      <c r="N443" t="s">
        <v>41</v>
      </c>
      <c r="O443" t="s">
        <v>42</v>
      </c>
      <c r="P443">
        <v>20</v>
      </c>
      <c r="Q443">
        <v>0</v>
      </c>
      <c r="R443">
        <v>0</v>
      </c>
      <c r="S443">
        <v>0</v>
      </c>
      <c r="T443">
        <v>5019111528</v>
      </c>
      <c r="U443" t="s">
        <v>44</v>
      </c>
      <c r="W443" t="s">
        <v>1551</v>
      </c>
      <c r="Y443">
        <v>0</v>
      </c>
      <c r="AA443" t="s">
        <v>40</v>
      </c>
      <c r="AB443" t="s">
        <v>46</v>
      </c>
      <c r="AC443" t="s">
        <v>47</v>
      </c>
      <c r="AF443" t="s">
        <v>62</v>
      </c>
      <c r="AJ443" t="s">
        <v>40</v>
      </c>
      <c r="AK443" t="s">
        <v>49</v>
      </c>
      <c r="AN443">
        <v>260110692</v>
      </c>
      <c r="AO443" s="1">
        <v>45944</v>
      </c>
      <c r="AP443" s="5">
        <v>0.375</v>
      </c>
      <c r="AS443">
        <v>1</v>
      </c>
    </row>
    <row r="444" spans="1:45" x14ac:dyDescent="0.2">
      <c r="A444">
        <f t="shared" si="26"/>
        <v>2025</v>
      </c>
      <c r="B444">
        <f t="shared" si="27"/>
        <v>10</v>
      </c>
      <c r="C444">
        <f t="shared" si="28"/>
        <v>42</v>
      </c>
      <c r="D444" s="2">
        <f t="shared" si="29"/>
        <v>45944</v>
      </c>
      <c r="E444" s="1">
        <v>45944.416666666664</v>
      </c>
      <c r="F444" t="s">
        <v>1552</v>
      </c>
      <c r="G444" t="s">
        <v>36</v>
      </c>
      <c r="H444">
        <v>453857</v>
      </c>
      <c r="I444" t="s">
        <v>51</v>
      </c>
      <c r="J444" t="s">
        <v>52</v>
      </c>
      <c r="M444" t="s">
        <v>40</v>
      </c>
      <c r="N444" t="s">
        <v>41</v>
      </c>
      <c r="O444" t="s">
        <v>172</v>
      </c>
      <c r="P444">
        <v>33</v>
      </c>
      <c r="Q444">
        <v>0</v>
      </c>
      <c r="R444">
        <v>0</v>
      </c>
      <c r="S444">
        <v>0</v>
      </c>
      <c r="T444" t="s">
        <v>54</v>
      </c>
      <c r="U444" t="s">
        <v>55</v>
      </c>
      <c r="W444" t="s">
        <v>1553</v>
      </c>
      <c r="Y444">
        <v>0</v>
      </c>
      <c r="AA444" t="s">
        <v>40</v>
      </c>
      <c r="AB444" t="s">
        <v>46</v>
      </c>
      <c r="AC444" t="s">
        <v>47</v>
      </c>
      <c r="AG444" t="s">
        <v>1554</v>
      </c>
      <c r="AJ444" t="s">
        <v>40</v>
      </c>
      <c r="AK444">
        <v>5019166921</v>
      </c>
      <c r="AO444" s="1">
        <v>45944</v>
      </c>
      <c r="AP444" s="5">
        <v>0.41666666666666669</v>
      </c>
      <c r="AS444">
        <v>1</v>
      </c>
    </row>
    <row r="445" spans="1:45" x14ac:dyDescent="0.2">
      <c r="A445">
        <f t="shared" si="26"/>
        <v>2025</v>
      </c>
      <c r="B445">
        <f t="shared" si="27"/>
        <v>10</v>
      </c>
      <c r="C445">
        <f t="shared" si="28"/>
        <v>42</v>
      </c>
      <c r="D445" s="2">
        <f t="shared" si="29"/>
        <v>45944</v>
      </c>
      <c r="E445" s="1">
        <v>45944.416666666664</v>
      </c>
      <c r="F445" t="s">
        <v>1555</v>
      </c>
      <c r="G445" t="s">
        <v>36</v>
      </c>
      <c r="H445" t="s">
        <v>1556</v>
      </c>
      <c r="I445" t="s">
        <v>38</v>
      </c>
      <c r="J445" t="s">
        <v>1557</v>
      </c>
      <c r="M445" t="s">
        <v>40</v>
      </c>
      <c r="N445" t="s">
        <v>41</v>
      </c>
      <c r="O445" t="s">
        <v>42</v>
      </c>
      <c r="P445">
        <v>33</v>
      </c>
      <c r="Q445">
        <v>0</v>
      </c>
      <c r="R445">
        <v>0</v>
      </c>
      <c r="S445">
        <v>0</v>
      </c>
      <c r="T445">
        <v>4505790272</v>
      </c>
      <c r="U445" t="s">
        <v>44</v>
      </c>
      <c r="W445" t="s">
        <v>1558</v>
      </c>
      <c r="Y445">
        <v>0</v>
      </c>
      <c r="AA445" t="s">
        <v>40</v>
      </c>
      <c r="AB445" t="s">
        <v>46</v>
      </c>
      <c r="AC445" t="s">
        <v>47</v>
      </c>
      <c r="AF445" t="s">
        <v>48</v>
      </c>
      <c r="AJ445" t="s">
        <v>40</v>
      </c>
      <c r="AK445" t="s">
        <v>49</v>
      </c>
      <c r="AO445" s="1">
        <v>45944</v>
      </c>
      <c r="AP445" s="5">
        <v>0.41666666666666669</v>
      </c>
      <c r="AS445">
        <v>1</v>
      </c>
    </row>
    <row r="446" spans="1:45" x14ac:dyDescent="0.2">
      <c r="A446">
        <f t="shared" si="26"/>
        <v>2025</v>
      </c>
      <c r="B446">
        <f t="shared" si="27"/>
        <v>10</v>
      </c>
      <c r="C446">
        <f t="shared" si="28"/>
        <v>42</v>
      </c>
      <c r="D446" s="2">
        <f t="shared" si="29"/>
        <v>45944</v>
      </c>
      <c r="E446" s="1">
        <v>45944.416666666664</v>
      </c>
      <c r="F446" t="s">
        <v>1559</v>
      </c>
      <c r="G446" t="s">
        <v>36</v>
      </c>
      <c r="H446" t="s">
        <v>1560</v>
      </c>
      <c r="I446" t="s">
        <v>38</v>
      </c>
      <c r="J446" t="s">
        <v>60</v>
      </c>
      <c r="M446" t="s">
        <v>40</v>
      </c>
      <c r="N446" t="s">
        <v>41</v>
      </c>
      <c r="O446" t="s">
        <v>42</v>
      </c>
      <c r="P446">
        <v>20</v>
      </c>
      <c r="Q446">
        <v>0</v>
      </c>
      <c r="R446">
        <v>0</v>
      </c>
      <c r="S446">
        <v>0</v>
      </c>
      <c r="T446">
        <v>5019114240</v>
      </c>
      <c r="U446" t="s">
        <v>44</v>
      </c>
      <c r="W446" t="s">
        <v>1561</v>
      </c>
      <c r="Y446">
        <v>0</v>
      </c>
      <c r="AA446" t="s">
        <v>40</v>
      </c>
      <c r="AB446" t="s">
        <v>46</v>
      </c>
      <c r="AC446" t="s">
        <v>47</v>
      </c>
      <c r="AF446" t="s">
        <v>62</v>
      </c>
      <c r="AJ446" t="s">
        <v>40</v>
      </c>
      <c r="AK446" t="s">
        <v>49</v>
      </c>
      <c r="AN446">
        <v>260110694</v>
      </c>
      <c r="AO446" s="1">
        <v>45944</v>
      </c>
      <c r="AP446" s="5">
        <v>0.41666666666666669</v>
      </c>
      <c r="AS446">
        <v>1</v>
      </c>
    </row>
    <row r="447" spans="1:45" x14ac:dyDescent="0.2">
      <c r="A447">
        <f t="shared" si="26"/>
        <v>2025</v>
      </c>
      <c r="B447">
        <f t="shared" si="27"/>
        <v>10</v>
      </c>
      <c r="C447">
        <f t="shared" si="28"/>
        <v>42</v>
      </c>
      <c r="D447" s="2">
        <f t="shared" si="29"/>
        <v>45944</v>
      </c>
      <c r="E447" s="1">
        <v>45944.458333333336</v>
      </c>
      <c r="F447" t="s">
        <v>1562</v>
      </c>
      <c r="G447" t="s">
        <v>36</v>
      </c>
      <c r="H447" t="s">
        <v>1563</v>
      </c>
      <c r="I447" t="s">
        <v>38</v>
      </c>
      <c r="J447" t="s">
        <v>60</v>
      </c>
      <c r="M447" t="s">
        <v>40</v>
      </c>
      <c r="N447" t="s">
        <v>41</v>
      </c>
      <c r="O447" t="s">
        <v>42</v>
      </c>
      <c r="P447">
        <v>20</v>
      </c>
      <c r="Q447">
        <v>0</v>
      </c>
      <c r="R447">
        <v>0</v>
      </c>
      <c r="S447">
        <v>0</v>
      </c>
      <c r="T447">
        <v>5019114241</v>
      </c>
      <c r="U447" t="s">
        <v>44</v>
      </c>
      <c r="W447" t="s">
        <v>1561</v>
      </c>
      <c r="Y447">
        <v>0</v>
      </c>
      <c r="AA447" t="s">
        <v>40</v>
      </c>
      <c r="AB447" t="s">
        <v>46</v>
      </c>
      <c r="AC447" t="s">
        <v>47</v>
      </c>
      <c r="AF447" t="s">
        <v>62</v>
      </c>
      <c r="AJ447" t="s">
        <v>40</v>
      </c>
      <c r="AK447" t="s">
        <v>49</v>
      </c>
      <c r="AN447">
        <v>260110696</v>
      </c>
      <c r="AO447" s="1">
        <v>45944</v>
      </c>
      <c r="AP447" s="5">
        <v>0.45833333333333331</v>
      </c>
      <c r="AS447">
        <v>1</v>
      </c>
    </row>
    <row r="448" spans="1:45" x14ac:dyDescent="0.2">
      <c r="A448">
        <f t="shared" si="26"/>
        <v>2025</v>
      </c>
      <c r="B448">
        <f t="shared" si="27"/>
        <v>10</v>
      </c>
      <c r="C448">
        <f t="shared" si="28"/>
        <v>42</v>
      </c>
      <c r="D448" s="2">
        <f t="shared" si="29"/>
        <v>45944</v>
      </c>
      <c r="E448" s="1">
        <v>45944.458333333336</v>
      </c>
      <c r="F448" t="s">
        <v>1564</v>
      </c>
      <c r="G448" t="s">
        <v>36</v>
      </c>
      <c r="H448" t="s">
        <v>106</v>
      </c>
      <c r="I448" t="s">
        <v>38</v>
      </c>
      <c r="J448" t="s">
        <v>107</v>
      </c>
      <c r="M448" t="s">
        <v>40</v>
      </c>
      <c r="N448" t="s">
        <v>41</v>
      </c>
      <c r="O448" t="s">
        <v>42</v>
      </c>
      <c r="P448">
        <v>33</v>
      </c>
      <c r="Q448">
        <v>0</v>
      </c>
      <c r="R448">
        <v>0</v>
      </c>
      <c r="S448">
        <v>0</v>
      </c>
      <c r="T448">
        <v>5019176164</v>
      </c>
      <c r="U448" t="s">
        <v>44</v>
      </c>
      <c r="W448" t="s">
        <v>1271</v>
      </c>
      <c r="Y448">
        <v>0</v>
      </c>
      <c r="AA448" t="s">
        <v>40</v>
      </c>
      <c r="AB448" t="s">
        <v>46</v>
      </c>
      <c r="AC448" t="s">
        <v>47</v>
      </c>
      <c r="AF448" t="s">
        <v>109</v>
      </c>
      <c r="AJ448" t="s">
        <v>40</v>
      </c>
      <c r="AK448" t="s">
        <v>49</v>
      </c>
      <c r="AO448" s="1">
        <v>45944</v>
      </c>
      <c r="AP448" s="5">
        <v>0.45833333333333331</v>
      </c>
      <c r="AS448">
        <v>1</v>
      </c>
    </row>
    <row r="449" spans="1:45" x14ac:dyDescent="0.2">
      <c r="A449">
        <f t="shared" si="26"/>
        <v>2025</v>
      </c>
      <c r="B449">
        <f t="shared" si="27"/>
        <v>10</v>
      </c>
      <c r="C449">
        <f t="shared" si="28"/>
        <v>42</v>
      </c>
      <c r="D449" s="2">
        <f t="shared" si="29"/>
        <v>45944</v>
      </c>
      <c r="E449" s="1">
        <v>45944.458333333336</v>
      </c>
      <c r="F449" t="s">
        <v>1565</v>
      </c>
      <c r="G449" t="s">
        <v>36</v>
      </c>
      <c r="H449">
        <v>459498</v>
      </c>
      <c r="I449" t="s">
        <v>51</v>
      </c>
      <c r="J449" t="s">
        <v>52</v>
      </c>
      <c r="M449" t="s">
        <v>40</v>
      </c>
      <c r="N449" t="s">
        <v>41</v>
      </c>
      <c r="O449" t="s">
        <v>53</v>
      </c>
      <c r="P449">
        <v>33</v>
      </c>
      <c r="Q449">
        <v>0</v>
      </c>
      <c r="R449">
        <v>0</v>
      </c>
      <c r="S449">
        <v>0</v>
      </c>
      <c r="T449" t="s">
        <v>54</v>
      </c>
      <c r="U449" t="s">
        <v>55</v>
      </c>
      <c r="W449" t="s">
        <v>1529</v>
      </c>
      <c r="Y449">
        <v>0</v>
      </c>
      <c r="AA449" t="s">
        <v>40</v>
      </c>
      <c r="AB449" t="s">
        <v>46</v>
      </c>
      <c r="AC449" t="s">
        <v>47</v>
      </c>
      <c r="AG449" t="s">
        <v>1566</v>
      </c>
      <c r="AJ449" t="s">
        <v>40</v>
      </c>
      <c r="AK449">
        <v>5019169881</v>
      </c>
      <c r="AO449" s="1">
        <v>45944</v>
      </c>
      <c r="AP449" s="5">
        <v>0.45833333333333331</v>
      </c>
      <c r="AS449">
        <v>1</v>
      </c>
    </row>
    <row r="450" spans="1:45" x14ac:dyDescent="0.2">
      <c r="A450">
        <f t="shared" ref="A450:A513" si="30">YEAR(D450)</f>
        <v>2025</v>
      </c>
      <c r="B450">
        <f t="shared" ref="B450:B513" si="31">MONTH(D450)</f>
        <v>10</v>
      </c>
      <c r="C450">
        <f t="shared" ref="C450:C513" si="32">WEEKNUM(D450)</f>
        <v>42</v>
      </c>
      <c r="D450" s="2">
        <f t="shared" ref="D450:D513" si="33">INT(E450)</f>
        <v>45944</v>
      </c>
      <c r="E450" s="1">
        <v>45944.5</v>
      </c>
      <c r="F450" t="s">
        <v>1567</v>
      </c>
      <c r="G450" t="s">
        <v>36</v>
      </c>
      <c r="H450" t="s">
        <v>37</v>
      </c>
      <c r="I450" t="s">
        <v>38</v>
      </c>
      <c r="J450" t="s">
        <v>112</v>
      </c>
      <c r="M450" t="s">
        <v>40</v>
      </c>
      <c r="N450" t="s">
        <v>41</v>
      </c>
      <c r="O450" t="s">
        <v>42</v>
      </c>
      <c r="P450">
        <v>23</v>
      </c>
      <c r="Q450">
        <v>0</v>
      </c>
      <c r="R450">
        <v>0</v>
      </c>
      <c r="S450">
        <v>0</v>
      </c>
      <c r="T450" t="s">
        <v>1568</v>
      </c>
      <c r="U450" t="s">
        <v>44</v>
      </c>
      <c r="W450" t="s">
        <v>1538</v>
      </c>
      <c r="Y450">
        <v>0</v>
      </c>
      <c r="AA450" t="s">
        <v>40</v>
      </c>
      <c r="AB450" t="s">
        <v>46</v>
      </c>
      <c r="AC450" t="s">
        <v>47</v>
      </c>
      <c r="AF450" t="s">
        <v>48</v>
      </c>
      <c r="AJ450" t="s">
        <v>40</v>
      </c>
      <c r="AK450" t="s">
        <v>49</v>
      </c>
      <c r="AO450" s="1">
        <v>45944</v>
      </c>
      <c r="AP450" s="5">
        <v>0.5</v>
      </c>
      <c r="AS450">
        <v>1</v>
      </c>
    </row>
    <row r="451" spans="1:45" x14ac:dyDescent="0.2">
      <c r="A451">
        <f t="shared" si="30"/>
        <v>2025</v>
      </c>
      <c r="B451">
        <f t="shared" si="31"/>
        <v>10</v>
      </c>
      <c r="C451">
        <f t="shared" si="32"/>
        <v>42</v>
      </c>
      <c r="D451" s="2">
        <f t="shared" si="33"/>
        <v>45944</v>
      </c>
      <c r="E451" s="1">
        <v>45944.5</v>
      </c>
      <c r="F451" t="s">
        <v>1569</v>
      </c>
      <c r="G451" t="s">
        <v>36</v>
      </c>
      <c r="H451">
        <v>459108</v>
      </c>
      <c r="I451" t="s">
        <v>51</v>
      </c>
      <c r="J451" t="s">
        <v>52</v>
      </c>
      <c r="M451" t="s">
        <v>40</v>
      </c>
      <c r="N451" t="s">
        <v>41</v>
      </c>
      <c r="O451" t="s">
        <v>53</v>
      </c>
      <c r="P451">
        <v>33</v>
      </c>
      <c r="Q451">
        <v>0</v>
      </c>
      <c r="R451">
        <v>0</v>
      </c>
      <c r="S451">
        <v>0</v>
      </c>
      <c r="T451" t="s">
        <v>54</v>
      </c>
      <c r="U451" t="s">
        <v>55</v>
      </c>
      <c r="W451" t="s">
        <v>1532</v>
      </c>
      <c r="Y451">
        <v>0</v>
      </c>
      <c r="AA451" t="s">
        <v>40</v>
      </c>
      <c r="AB451" t="s">
        <v>46</v>
      </c>
      <c r="AC451" t="s">
        <v>47</v>
      </c>
      <c r="AG451" t="s">
        <v>1570</v>
      </c>
      <c r="AJ451" t="s">
        <v>40</v>
      </c>
      <c r="AK451">
        <v>5019150110</v>
      </c>
      <c r="AO451" s="1">
        <v>45944</v>
      </c>
      <c r="AP451" s="5">
        <v>0.5</v>
      </c>
      <c r="AS451">
        <v>1</v>
      </c>
    </row>
    <row r="452" spans="1:45" x14ac:dyDescent="0.2">
      <c r="A452">
        <f t="shared" si="30"/>
        <v>2025</v>
      </c>
      <c r="B452">
        <f t="shared" si="31"/>
        <v>10</v>
      </c>
      <c r="C452">
        <f t="shared" si="32"/>
        <v>42</v>
      </c>
      <c r="D452" s="2">
        <f t="shared" si="33"/>
        <v>45944</v>
      </c>
      <c r="E452" s="1">
        <v>45944.5</v>
      </c>
      <c r="F452" t="s">
        <v>1571</v>
      </c>
      <c r="G452" t="s">
        <v>36</v>
      </c>
      <c r="H452">
        <v>456568</v>
      </c>
      <c r="I452" t="s">
        <v>51</v>
      </c>
      <c r="J452" t="s">
        <v>52</v>
      </c>
      <c r="M452" t="s">
        <v>40</v>
      </c>
      <c r="N452" t="s">
        <v>41</v>
      </c>
      <c r="O452" t="s">
        <v>53</v>
      </c>
      <c r="P452">
        <v>33</v>
      </c>
      <c r="Q452">
        <v>0</v>
      </c>
      <c r="R452">
        <v>0</v>
      </c>
      <c r="S452">
        <v>0</v>
      </c>
      <c r="T452" t="s">
        <v>54</v>
      </c>
      <c r="U452" t="s">
        <v>55</v>
      </c>
      <c r="W452" t="s">
        <v>1532</v>
      </c>
      <c r="Y452">
        <v>0</v>
      </c>
      <c r="AA452" t="s">
        <v>40</v>
      </c>
      <c r="AB452" t="s">
        <v>46</v>
      </c>
      <c r="AC452" t="s">
        <v>47</v>
      </c>
      <c r="AG452" t="s">
        <v>1572</v>
      </c>
      <c r="AJ452" t="s">
        <v>40</v>
      </c>
      <c r="AK452">
        <v>5019154072</v>
      </c>
      <c r="AO452" s="1">
        <v>45944</v>
      </c>
      <c r="AP452" s="5">
        <v>0.5</v>
      </c>
      <c r="AS452">
        <v>1</v>
      </c>
    </row>
    <row r="453" spans="1:45" x14ac:dyDescent="0.2">
      <c r="A453">
        <f t="shared" si="30"/>
        <v>2025</v>
      </c>
      <c r="B453">
        <f t="shared" si="31"/>
        <v>10</v>
      </c>
      <c r="C453">
        <f t="shared" si="32"/>
        <v>42</v>
      </c>
      <c r="D453" s="2">
        <f t="shared" si="33"/>
        <v>45944</v>
      </c>
      <c r="E453" s="1">
        <v>45944.541666666664</v>
      </c>
      <c r="F453" t="s">
        <v>1573</v>
      </c>
      <c r="G453" t="s">
        <v>36</v>
      </c>
      <c r="H453" t="s">
        <v>37</v>
      </c>
      <c r="I453" t="s">
        <v>38</v>
      </c>
      <c r="J453" t="s">
        <v>112</v>
      </c>
      <c r="M453" t="s">
        <v>40</v>
      </c>
      <c r="N453" t="s">
        <v>41</v>
      </c>
      <c r="O453" t="s">
        <v>42</v>
      </c>
      <c r="P453">
        <v>23</v>
      </c>
      <c r="Q453">
        <v>0</v>
      </c>
      <c r="R453">
        <v>0</v>
      </c>
      <c r="S453">
        <v>0</v>
      </c>
      <c r="T453" t="s">
        <v>1574</v>
      </c>
      <c r="U453" t="s">
        <v>44</v>
      </c>
      <c r="W453" t="s">
        <v>1538</v>
      </c>
      <c r="Y453">
        <v>0</v>
      </c>
      <c r="AA453" t="s">
        <v>40</v>
      </c>
      <c r="AB453" t="s">
        <v>46</v>
      </c>
      <c r="AC453" t="s">
        <v>47</v>
      </c>
      <c r="AF453" t="s">
        <v>48</v>
      </c>
      <c r="AJ453" t="s">
        <v>40</v>
      </c>
      <c r="AK453" t="s">
        <v>49</v>
      </c>
      <c r="AO453" s="1">
        <v>45944</v>
      </c>
      <c r="AP453" s="5">
        <v>0.54166666666666663</v>
      </c>
      <c r="AS453">
        <v>1</v>
      </c>
    </row>
    <row r="454" spans="1:45" x14ac:dyDescent="0.2">
      <c r="A454">
        <f t="shared" si="30"/>
        <v>2025</v>
      </c>
      <c r="B454">
        <f t="shared" si="31"/>
        <v>10</v>
      </c>
      <c r="C454">
        <f t="shared" si="32"/>
        <v>42</v>
      </c>
      <c r="D454" s="2">
        <f t="shared" si="33"/>
        <v>45944</v>
      </c>
      <c r="E454" s="1">
        <v>45944.541666666664</v>
      </c>
      <c r="F454" t="s">
        <v>1575</v>
      </c>
      <c r="G454" t="s">
        <v>36</v>
      </c>
      <c r="H454">
        <v>456583</v>
      </c>
      <c r="I454" t="s">
        <v>51</v>
      </c>
      <c r="J454" t="s">
        <v>154</v>
      </c>
      <c r="M454" t="s">
        <v>40</v>
      </c>
      <c r="N454" t="s">
        <v>41</v>
      </c>
      <c r="O454" t="s">
        <v>53</v>
      </c>
      <c r="P454">
        <v>33</v>
      </c>
      <c r="Q454">
        <v>0</v>
      </c>
      <c r="R454">
        <v>0</v>
      </c>
      <c r="S454">
        <v>0</v>
      </c>
      <c r="T454" t="s">
        <v>54</v>
      </c>
      <c r="U454" t="s">
        <v>55</v>
      </c>
      <c r="W454" t="s">
        <v>1576</v>
      </c>
      <c r="Y454">
        <v>0</v>
      </c>
      <c r="AA454" t="s">
        <v>40</v>
      </c>
      <c r="AB454" t="s">
        <v>46</v>
      </c>
      <c r="AC454" t="s">
        <v>47</v>
      </c>
      <c r="AG454" t="s">
        <v>1577</v>
      </c>
      <c r="AJ454" t="s">
        <v>40</v>
      </c>
      <c r="AK454">
        <v>5019150594</v>
      </c>
      <c r="AO454" s="1">
        <v>45944</v>
      </c>
      <c r="AP454" s="5">
        <v>0.54166666666666663</v>
      </c>
      <c r="AS454">
        <v>1</v>
      </c>
    </row>
    <row r="455" spans="1:45" x14ac:dyDescent="0.2">
      <c r="A455">
        <f t="shared" si="30"/>
        <v>2025</v>
      </c>
      <c r="B455">
        <f t="shared" si="31"/>
        <v>10</v>
      </c>
      <c r="C455">
        <f t="shared" si="32"/>
        <v>42</v>
      </c>
      <c r="D455" s="2">
        <f t="shared" si="33"/>
        <v>45944</v>
      </c>
      <c r="E455" s="1">
        <v>45944.541666666664</v>
      </c>
      <c r="F455" t="s">
        <v>1578</v>
      </c>
      <c r="G455" t="s">
        <v>36</v>
      </c>
      <c r="H455" t="s">
        <v>626</v>
      </c>
      <c r="I455" t="s">
        <v>38</v>
      </c>
      <c r="J455" t="s">
        <v>451</v>
      </c>
      <c r="M455" t="s">
        <v>40</v>
      </c>
      <c r="N455" t="s">
        <v>41</v>
      </c>
      <c r="O455" t="s">
        <v>42</v>
      </c>
      <c r="P455">
        <v>23</v>
      </c>
      <c r="Q455">
        <v>0</v>
      </c>
      <c r="R455">
        <v>0</v>
      </c>
      <c r="S455">
        <v>0</v>
      </c>
      <c r="T455" t="s">
        <v>1579</v>
      </c>
      <c r="U455" t="s">
        <v>44</v>
      </c>
      <c r="W455" t="s">
        <v>1538</v>
      </c>
      <c r="Y455">
        <v>0</v>
      </c>
      <c r="AA455" t="s">
        <v>40</v>
      </c>
      <c r="AB455" t="s">
        <v>46</v>
      </c>
      <c r="AC455" t="s">
        <v>47</v>
      </c>
      <c r="AF455" t="s">
        <v>48</v>
      </c>
      <c r="AJ455" t="s">
        <v>40</v>
      </c>
      <c r="AK455" t="s">
        <v>49</v>
      </c>
      <c r="AO455" s="1">
        <v>45944</v>
      </c>
      <c r="AP455" s="5">
        <v>0.54166666666666663</v>
      </c>
      <c r="AS455">
        <v>1</v>
      </c>
    </row>
    <row r="456" spans="1:45" x14ac:dyDescent="0.2">
      <c r="A456">
        <f t="shared" si="30"/>
        <v>2025</v>
      </c>
      <c r="B456">
        <f t="shared" si="31"/>
        <v>10</v>
      </c>
      <c r="C456">
        <f t="shared" si="32"/>
        <v>42</v>
      </c>
      <c r="D456" s="2">
        <f t="shared" si="33"/>
        <v>45944</v>
      </c>
      <c r="E456" s="1">
        <v>45944.583333333336</v>
      </c>
      <c r="F456" t="s">
        <v>1580</v>
      </c>
      <c r="G456" t="s">
        <v>36</v>
      </c>
      <c r="H456" t="s">
        <v>37</v>
      </c>
      <c r="I456" t="s">
        <v>38</v>
      </c>
      <c r="J456" t="s">
        <v>112</v>
      </c>
      <c r="M456" t="s">
        <v>40</v>
      </c>
      <c r="N456" t="s">
        <v>41</v>
      </c>
      <c r="O456" t="s">
        <v>42</v>
      </c>
      <c r="P456">
        <v>23</v>
      </c>
      <c r="Q456">
        <v>0</v>
      </c>
      <c r="R456">
        <v>0</v>
      </c>
      <c r="S456">
        <v>0</v>
      </c>
      <c r="T456" t="s">
        <v>1581</v>
      </c>
      <c r="U456" t="s">
        <v>44</v>
      </c>
      <c r="W456" t="s">
        <v>1538</v>
      </c>
      <c r="Y456">
        <v>0</v>
      </c>
      <c r="AA456" t="s">
        <v>40</v>
      </c>
      <c r="AB456" t="s">
        <v>46</v>
      </c>
      <c r="AC456" t="s">
        <v>47</v>
      </c>
      <c r="AF456" t="s">
        <v>48</v>
      </c>
      <c r="AJ456" t="s">
        <v>40</v>
      </c>
      <c r="AK456" t="s">
        <v>49</v>
      </c>
      <c r="AO456" s="1">
        <v>45944</v>
      </c>
      <c r="AP456" s="5">
        <v>0.58333333333333337</v>
      </c>
      <c r="AS456">
        <v>1</v>
      </c>
    </row>
    <row r="457" spans="1:45" x14ac:dyDescent="0.2">
      <c r="A457">
        <f t="shared" si="30"/>
        <v>2025</v>
      </c>
      <c r="B457">
        <f t="shared" si="31"/>
        <v>10</v>
      </c>
      <c r="C457">
        <f t="shared" si="32"/>
        <v>42</v>
      </c>
      <c r="D457" s="2">
        <f t="shared" si="33"/>
        <v>45944</v>
      </c>
      <c r="E457" s="1">
        <v>45944.583333333336</v>
      </c>
      <c r="F457" t="s">
        <v>1582</v>
      </c>
      <c r="G457" t="s">
        <v>36</v>
      </c>
      <c r="H457">
        <v>453823</v>
      </c>
      <c r="I457" t="s">
        <v>51</v>
      </c>
      <c r="J457" t="s">
        <v>188</v>
      </c>
      <c r="M457" t="s">
        <v>40</v>
      </c>
      <c r="N457" t="s">
        <v>41</v>
      </c>
      <c r="O457" t="s">
        <v>189</v>
      </c>
      <c r="P457">
        <v>33</v>
      </c>
      <c r="Q457">
        <v>0</v>
      </c>
      <c r="R457">
        <v>0</v>
      </c>
      <c r="S457">
        <v>0</v>
      </c>
      <c r="T457" t="s">
        <v>54</v>
      </c>
      <c r="U457" t="s">
        <v>55</v>
      </c>
      <c r="W457" t="s">
        <v>1583</v>
      </c>
      <c r="Y457">
        <v>0</v>
      </c>
      <c r="AA457" t="s">
        <v>40</v>
      </c>
      <c r="AB457" t="s">
        <v>46</v>
      </c>
      <c r="AC457" t="s">
        <v>47</v>
      </c>
      <c r="AG457" t="s">
        <v>1584</v>
      </c>
      <c r="AJ457" t="s">
        <v>40</v>
      </c>
      <c r="AK457">
        <v>5019151941</v>
      </c>
      <c r="AO457" s="1">
        <v>45944</v>
      </c>
      <c r="AP457" s="5">
        <v>0.58333333333333337</v>
      </c>
      <c r="AS457">
        <v>1</v>
      </c>
    </row>
    <row r="458" spans="1:45" x14ac:dyDescent="0.2">
      <c r="A458">
        <f t="shared" si="30"/>
        <v>2025</v>
      </c>
      <c r="B458">
        <f t="shared" si="31"/>
        <v>10</v>
      </c>
      <c r="C458">
        <f t="shared" si="32"/>
        <v>42</v>
      </c>
      <c r="D458" s="2">
        <f t="shared" si="33"/>
        <v>45944</v>
      </c>
      <c r="E458" s="1">
        <v>45944.583333333336</v>
      </c>
      <c r="F458" t="s">
        <v>1585</v>
      </c>
      <c r="G458" t="s">
        <v>36</v>
      </c>
      <c r="H458" t="s">
        <v>1586</v>
      </c>
      <c r="I458" t="s">
        <v>38</v>
      </c>
      <c r="J458" t="s">
        <v>39</v>
      </c>
      <c r="M458" t="s">
        <v>40</v>
      </c>
      <c r="N458" t="s">
        <v>41</v>
      </c>
      <c r="O458" t="s">
        <v>42</v>
      </c>
      <c r="P458">
        <v>4</v>
      </c>
      <c r="Q458">
        <v>0</v>
      </c>
      <c r="R458">
        <v>0</v>
      </c>
      <c r="S458">
        <v>0</v>
      </c>
      <c r="T458" t="s">
        <v>1587</v>
      </c>
      <c r="U458" t="s">
        <v>101</v>
      </c>
      <c r="W458" t="s">
        <v>1538</v>
      </c>
      <c r="Y458">
        <v>0</v>
      </c>
      <c r="AA458" t="s">
        <v>40</v>
      </c>
      <c r="AB458" t="s">
        <v>46</v>
      </c>
      <c r="AC458" t="s">
        <v>47</v>
      </c>
      <c r="AF458" t="s">
        <v>48</v>
      </c>
      <c r="AJ458" t="s">
        <v>40</v>
      </c>
      <c r="AK458" t="s">
        <v>49</v>
      </c>
      <c r="AO458" s="1">
        <v>45944</v>
      </c>
      <c r="AP458" s="5">
        <v>0.58333333333333337</v>
      </c>
      <c r="AS458">
        <v>1</v>
      </c>
    </row>
    <row r="459" spans="1:45" x14ac:dyDescent="0.2">
      <c r="A459">
        <f t="shared" si="30"/>
        <v>2025</v>
      </c>
      <c r="B459">
        <f t="shared" si="31"/>
        <v>10</v>
      </c>
      <c r="C459">
        <f t="shared" si="32"/>
        <v>42</v>
      </c>
      <c r="D459" s="2">
        <f t="shared" si="33"/>
        <v>45944</v>
      </c>
      <c r="E459" s="1">
        <v>45944.583333333336</v>
      </c>
      <c r="F459" t="s">
        <v>1588</v>
      </c>
      <c r="G459" t="s">
        <v>36</v>
      </c>
      <c r="H459" t="s">
        <v>626</v>
      </c>
      <c r="I459" t="s">
        <v>38</v>
      </c>
      <c r="J459" t="s">
        <v>451</v>
      </c>
      <c r="M459" t="s">
        <v>40</v>
      </c>
      <c r="N459" t="s">
        <v>41</v>
      </c>
      <c r="O459" t="s">
        <v>42</v>
      </c>
      <c r="P459">
        <v>23</v>
      </c>
      <c r="Q459">
        <v>0</v>
      </c>
      <c r="R459">
        <v>0</v>
      </c>
      <c r="S459">
        <v>0</v>
      </c>
      <c r="T459" t="s">
        <v>1589</v>
      </c>
      <c r="U459" t="s">
        <v>44</v>
      </c>
      <c r="W459" t="s">
        <v>1538</v>
      </c>
      <c r="Y459">
        <v>0</v>
      </c>
      <c r="AA459" t="s">
        <v>40</v>
      </c>
      <c r="AB459" t="s">
        <v>46</v>
      </c>
      <c r="AC459" t="s">
        <v>47</v>
      </c>
      <c r="AF459" t="s">
        <v>48</v>
      </c>
      <c r="AJ459" t="s">
        <v>40</v>
      </c>
      <c r="AK459" t="s">
        <v>49</v>
      </c>
      <c r="AO459" s="1">
        <v>45944</v>
      </c>
      <c r="AP459" s="5">
        <v>0.58333333333333337</v>
      </c>
      <c r="AS459">
        <v>1</v>
      </c>
    </row>
    <row r="460" spans="1:45" x14ac:dyDescent="0.2">
      <c r="A460">
        <f t="shared" si="30"/>
        <v>2025</v>
      </c>
      <c r="B460">
        <f t="shared" si="31"/>
        <v>10</v>
      </c>
      <c r="C460">
        <f t="shared" si="32"/>
        <v>42</v>
      </c>
      <c r="D460" s="2">
        <f t="shared" si="33"/>
        <v>45944</v>
      </c>
      <c r="E460" s="1">
        <v>45944.625</v>
      </c>
      <c r="F460" t="s">
        <v>1590</v>
      </c>
      <c r="G460" t="s">
        <v>36</v>
      </c>
      <c r="H460">
        <v>453885</v>
      </c>
      <c r="I460" t="s">
        <v>51</v>
      </c>
      <c r="J460" t="s">
        <v>154</v>
      </c>
      <c r="M460" t="s">
        <v>40</v>
      </c>
      <c r="N460" t="s">
        <v>41</v>
      </c>
      <c r="O460" t="s">
        <v>155</v>
      </c>
      <c r="P460">
        <v>33</v>
      </c>
      <c r="Q460">
        <v>0</v>
      </c>
      <c r="R460">
        <v>0</v>
      </c>
      <c r="S460">
        <v>0</v>
      </c>
      <c r="T460" t="s">
        <v>54</v>
      </c>
      <c r="U460" t="s">
        <v>55</v>
      </c>
      <c r="W460" t="s">
        <v>1538</v>
      </c>
      <c r="Y460">
        <v>0</v>
      </c>
      <c r="AA460" t="s">
        <v>40</v>
      </c>
      <c r="AB460" t="s">
        <v>46</v>
      </c>
      <c r="AC460" t="s">
        <v>47</v>
      </c>
      <c r="AG460" t="s">
        <v>1591</v>
      </c>
      <c r="AJ460" t="s">
        <v>40</v>
      </c>
      <c r="AK460">
        <v>5019166965</v>
      </c>
      <c r="AO460" s="1">
        <v>45944</v>
      </c>
      <c r="AP460" s="5">
        <v>0.625</v>
      </c>
      <c r="AS460">
        <v>1</v>
      </c>
    </row>
    <row r="461" spans="1:45" x14ac:dyDescent="0.2">
      <c r="A461">
        <f t="shared" si="30"/>
        <v>2025</v>
      </c>
      <c r="B461">
        <f t="shared" si="31"/>
        <v>10</v>
      </c>
      <c r="C461">
        <f t="shared" si="32"/>
        <v>42</v>
      </c>
      <c r="D461" s="2">
        <f t="shared" si="33"/>
        <v>45944</v>
      </c>
      <c r="E461" s="1">
        <v>45944.666666666664</v>
      </c>
      <c r="F461" t="s">
        <v>1592</v>
      </c>
      <c r="G461" t="s">
        <v>36</v>
      </c>
      <c r="H461">
        <v>453883</v>
      </c>
      <c r="I461" t="s">
        <v>51</v>
      </c>
      <c r="J461" t="s">
        <v>154</v>
      </c>
      <c r="M461" t="s">
        <v>40</v>
      </c>
      <c r="N461" t="s">
        <v>41</v>
      </c>
      <c r="O461" t="s">
        <v>155</v>
      </c>
      <c r="P461">
        <v>33</v>
      </c>
      <c r="Q461">
        <v>0</v>
      </c>
      <c r="R461">
        <v>0</v>
      </c>
      <c r="S461">
        <v>0</v>
      </c>
      <c r="T461" t="s">
        <v>54</v>
      </c>
      <c r="U461" t="s">
        <v>55</v>
      </c>
      <c r="W461" t="s">
        <v>1538</v>
      </c>
      <c r="Y461">
        <v>0</v>
      </c>
      <c r="AA461" t="s">
        <v>40</v>
      </c>
      <c r="AB461" t="s">
        <v>46</v>
      </c>
      <c r="AC461" t="s">
        <v>47</v>
      </c>
      <c r="AG461" t="s">
        <v>1593</v>
      </c>
      <c r="AJ461" t="s">
        <v>40</v>
      </c>
      <c r="AK461">
        <v>5019169120</v>
      </c>
      <c r="AO461" s="1">
        <v>45944</v>
      </c>
      <c r="AP461" s="5">
        <v>0.66666666666666663</v>
      </c>
      <c r="AS461">
        <v>1</v>
      </c>
    </row>
    <row r="462" spans="1:45" x14ac:dyDescent="0.2">
      <c r="A462">
        <f t="shared" si="30"/>
        <v>2025</v>
      </c>
      <c r="B462">
        <f t="shared" si="31"/>
        <v>10</v>
      </c>
      <c r="C462">
        <f t="shared" si="32"/>
        <v>42</v>
      </c>
      <c r="D462" s="2">
        <f t="shared" si="33"/>
        <v>45944</v>
      </c>
      <c r="E462" s="1">
        <v>45944.666666666664</v>
      </c>
      <c r="F462" t="s">
        <v>1594</v>
      </c>
      <c r="G462" t="s">
        <v>36</v>
      </c>
      <c r="H462" t="s">
        <v>1595</v>
      </c>
      <c r="I462" t="s">
        <v>78</v>
      </c>
      <c r="J462" t="s">
        <v>118</v>
      </c>
      <c r="M462" t="s">
        <v>40</v>
      </c>
      <c r="N462" t="s">
        <v>41</v>
      </c>
      <c r="O462" t="s">
        <v>1596</v>
      </c>
      <c r="P462">
        <v>66</v>
      </c>
      <c r="Q462">
        <v>0</v>
      </c>
      <c r="R462">
        <v>0</v>
      </c>
      <c r="S462">
        <v>0</v>
      </c>
      <c r="T462" t="s">
        <v>54</v>
      </c>
      <c r="U462" t="s">
        <v>55</v>
      </c>
      <c r="W462" t="s">
        <v>1597</v>
      </c>
      <c r="Y462">
        <v>0</v>
      </c>
      <c r="AA462" t="s">
        <v>40</v>
      </c>
      <c r="AB462" t="s">
        <v>46</v>
      </c>
      <c r="AC462" t="s">
        <v>47</v>
      </c>
      <c r="AD462" t="s">
        <v>81</v>
      </c>
      <c r="AE462" t="s">
        <v>81</v>
      </c>
      <c r="AG462" t="s">
        <v>1598</v>
      </c>
      <c r="AJ462" t="s">
        <v>40</v>
      </c>
      <c r="AK462" t="s">
        <v>1599</v>
      </c>
      <c r="AO462" s="1">
        <v>45944</v>
      </c>
      <c r="AP462" s="5">
        <v>0.66666666666666663</v>
      </c>
      <c r="AS462">
        <v>1</v>
      </c>
    </row>
    <row r="463" spans="1:45" x14ac:dyDescent="0.2">
      <c r="A463">
        <f t="shared" si="30"/>
        <v>2025</v>
      </c>
      <c r="B463">
        <f t="shared" si="31"/>
        <v>10</v>
      </c>
      <c r="C463">
        <f t="shared" si="32"/>
        <v>42</v>
      </c>
      <c r="D463" s="2">
        <f t="shared" si="33"/>
        <v>45944</v>
      </c>
      <c r="E463" s="1">
        <v>45944.708333333336</v>
      </c>
      <c r="F463" t="s">
        <v>1600</v>
      </c>
      <c r="G463" t="s">
        <v>36</v>
      </c>
      <c r="H463">
        <v>453847</v>
      </c>
      <c r="I463" t="s">
        <v>51</v>
      </c>
      <c r="J463" t="s">
        <v>200</v>
      </c>
      <c r="M463" t="s">
        <v>40</v>
      </c>
      <c r="N463" t="s">
        <v>41</v>
      </c>
      <c r="O463" t="s">
        <v>182</v>
      </c>
      <c r="P463">
        <v>33</v>
      </c>
      <c r="Q463">
        <v>0</v>
      </c>
      <c r="R463">
        <v>0</v>
      </c>
      <c r="S463">
        <v>0</v>
      </c>
      <c r="T463" t="s">
        <v>54</v>
      </c>
      <c r="U463" t="s">
        <v>55</v>
      </c>
      <c r="W463" t="s">
        <v>1601</v>
      </c>
      <c r="Y463">
        <v>0</v>
      </c>
      <c r="AA463" t="s">
        <v>40</v>
      </c>
      <c r="AB463" t="s">
        <v>46</v>
      </c>
      <c r="AC463" t="s">
        <v>47</v>
      </c>
      <c r="AG463" t="s">
        <v>1602</v>
      </c>
      <c r="AJ463" t="s">
        <v>40</v>
      </c>
      <c r="AK463">
        <v>5019158034</v>
      </c>
      <c r="AO463" s="1">
        <v>45944</v>
      </c>
      <c r="AP463" s="5">
        <v>0.70833333333333337</v>
      </c>
      <c r="AS463">
        <v>1</v>
      </c>
    </row>
    <row r="464" spans="1:45" x14ac:dyDescent="0.2">
      <c r="A464">
        <f t="shared" si="30"/>
        <v>2025</v>
      </c>
      <c r="B464">
        <f t="shared" si="31"/>
        <v>10</v>
      </c>
      <c r="C464">
        <f t="shared" si="32"/>
        <v>42</v>
      </c>
      <c r="D464" s="2">
        <f t="shared" si="33"/>
        <v>45944</v>
      </c>
      <c r="E464" s="1">
        <v>45944.708333333336</v>
      </c>
      <c r="F464" t="s">
        <v>1603</v>
      </c>
      <c r="G464" t="s">
        <v>36</v>
      </c>
      <c r="H464" t="s">
        <v>1604</v>
      </c>
      <c r="I464" t="s">
        <v>78</v>
      </c>
      <c r="J464" t="s">
        <v>355</v>
      </c>
      <c r="M464" t="s">
        <v>40</v>
      </c>
      <c r="N464" t="s">
        <v>41</v>
      </c>
      <c r="O464" t="s">
        <v>356</v>
      </c>
      <c r="P464">
        <v>66</v>
      </c>
      <c r="Q464">
        <v>0</v>
      </c>
      <c r="R464">
        <v>0</v>
      </c>
      <c r="S464">
        <v>0</v>
      </c>
      <c r="T464" t="s">
        <v>54</v>
      </c>
      <c r="U464" t="s">
        <v>55</v>
      </c>
      <c r="W464" t="s">
        <v>1605</v>
      </c>
      <c r="Y464">
        <v>0</v>
      </c>
      <c r="AA464" t="s">
        <v>40</v>
      </c>
      <c r="AB464" t="s">
        <v>46</v>
      </c>
      <c r="AC464" t="s">
        <v>47</v>
      </c>
      <c r="AD464" t="s">
        <v>81</v>
      </c>
      <c r="AE464" t="s">
        <v>81</v>
      </c>
      <c r="AG464" t="s">
        <v>1606</v>
      </c>
      <c r="AJ464" t="s">
        <v>40</v>
      </c>
      <c r="AK464" t="s">
        <v>1607</v>
      </c>
      <c r="AO464" s="1">
        <v>45944</v>
      </c>
      <c r="AP464" s="5">
        <v>0.70833333333333337</v>
      </c>
      <c r="AS464">
        <v>1</v>
      </c>
    </row>
    <row r="465" spans="1:45" x14ac:dyDescent="0.2">
      <c r="A465">
        <f t="shared" si="30"/>
        <v>2025</v>
      </c>
      <c r="B465">
        <f t="shared" si="31"/>
        <v>10</v>
      </c>
      <c r="C465">
        <f t="shared" si="32"/>
        <v>42</v>
      </c>
      <c r="D465" s="2">
        <f t="shared" si="33"/>
        <v>45944</v>
      </c>
      <c r="E465" s="1">
        <v>45944.708333333336</v>
      </c>
      <c r="F465" t="s">
        <v>1608</v>
      </c>
      <c r="G465" t="s">
        <v>36</v>
      </c>
      <c r="H465">
        <v>453832</v>
      </c>
      <c r="I465" t="s">
        <v>51</v>
      </c>
      <c r="J465" t="s">
        <v>194</v>
      </c>
      <c r="M465" t="s">
        <v>40</v>
      </c>
      <c r="N465" t="s">
        <v>41</v>
      </c>
      <c r="O465" t="s">
        <v>189</v>
      </c>
      <c r="P465">
        <v>33</v>
      </c>
      <c r="Q465">
        <v>0</v>
      </c>
      <c r="R465">
        <v>0</v>
      </c>
      <c r="S465">
        <v>0</v>
      </c>
      <c r="T465" t="s">
        <v>54</v>
      </c>
      <c r="U465" t="s">
        <v>55</v>
      </c>
      <c r="W465" t="s">
        <v>1494</v>
      </c>
      <c r="Y465">
        <v>0</v>
      </c>
      <c r="AA465" t="s">
        <v>40</v>
      </c>
      <c r="AB465" t="s">
        <v>46</v>
      </c>
      <c r="AC465" t="s">
        <v>47</v>
      </c>
      <c r="AG465" t="s">
        <v>1609</v>
      </c>
      <c r="AJ465" t="s">
        <v>40</v>
      </c>
      <c r="AK465">
        <v>5019145049</v>
      </c>
      <c r="AO465" s="1">
        <v>45944</v>
      </c>
      <c r="AP465" s="5">
        <v>0.70833333333333337</v>
      </c>
      <c r="AS465">
        <v>1</v>
      </c>
    </row>
    <row r="466" spans="1:45" x14ac:dyDescent="0.2">
      <c r="A466">
        <f t="shared" si="30"/>
        <v>2025</v>
      </c>
      <c r="B466">
        <f t="shared" si="31"/>
        <v>10</v>
      </c>
      <c r="C466">
        <f t="shared" si="32"/>
        <v>42</v>
      </c>
      <c r="D466" s="2">
        <f t="shared" si="33"/>
        <v>45944</v>
      </c>
      <c r="E466" s="1">
        <v>45944.75</v>
      </c>
      <c r="F466" t="s">
        <v>1610</v>
      </c>
      <c r="G466" t="s">
        <v>36</v>
      </c>
      <c r="H466">
        <v>453826</v>
      </c>
      <c r="I466" t="s">
        <v>51</v>
      </c>
      <c r="J466" t="s">
        <v>154</v>
      </c>
      <c r="M466" t="s">
        <v>40</v>
      </c>
      <c r="N466" t="s">
        <v>41</v>
      </c>
      <c r="O466" t="s">
        <v>155</v>
      </c>
      <c r="P466">
        <v>33</v>
      </c>
      <c r="Q466">
        <v>0</v>
      </c>
      <c r="R466">
        <v>0</v>
      </c>
      <c r="S466">
        <v>0</v>
      </c>
      <c r="T466" t="s">
        <v>54</v>
      </c>
      <c r="U466" t="s">
        <v>55</v>
      </c>
      <c r="W466" t="s">
        <v>1538</v>
      </c>
      <c r="Y466">
        <v>0</v>
      </c>
      <c r="AA466" t="s">
        <v>40</v>
      </c>
      <c r="AB466" t="s">
        <v>46</v>
      </c>
      <c r="AC466" t="s">
        <v>47</v>
      </c>
      <c r="AG466" t="s">
        <v>1611</v>
      </c>
      <c r="AJ466" t="s">
        <v>40</v>
      </c>
      <c r="AK466">
        <v>5019167964</v>
      </c>
      <c r="AO466" s="1">
        <v>45944</v>
      </c>
      <c r="AP466" s="5">
        <v>0.75</v>
      </c>
      <c r="AS466">
        <v>1</v>
      </c>
    </row>
    <row r="467" spans="1:45" x14ac:dyDescent="0.2">
      <c r="A467">
        <f t="shared" si="30"/>
        <v>2025</v>
      </c>
      <c r="B467">
        <f t="shared" si="31"/>
        <v>10</v>
      </c>
      <c r="C467">
        <f t="shared" si="32"/>
        <v>42</v>
      </c>
      <c r="D467" s="2">
        <f t="shared" si="33"/>
        <v>45944</v>
      </c>
      <c r="E467" s="1">
        <v>45944.75</v>
      </c>
      <c r="F467" t="s">
        <v>1612</v>
      </c>
      <c r="G467" t="s">
        <v>36</v>
      </c>
      <c r="H467" t="s">
        <v>1613</v>
      </c>
      <c r="I467" t="s">
        <v>78</v>
      </c>
      <c r="J467" t="s">
        <v>713</v>
      </c>
      <c r="M467" t="s">
        <v>40</v>
      </c>
      <c r="N467" t="s">
        <v>41</v>
      </c>
      <c r="O467" t="s">
        <v>714</v>
      </c>
      <c r="P467">
        <v>66</v>
      </c>
      <c r="Q467">
        <v>0</v>
      </c>
      <c r="R467">
        <v>0</v>
      </c>
      <c r="S467">
        <v>0</v>
      </c>
      <c r="T467" t="s">
        <v>54</v>
      </c>
      <c r="U467" t="s">
        <v>55</v>
      </c>
      <c r="W467" t="s">
        <v>1614</v>
      </c>
      <c r="Y467">
        <v>0</v>
      </c>
      <c r="AA467" t="s">
        <v>40</v>
      </c>
      <c r="AB467" t="s">
        <v>46</v>
      </c>
      <c r="AC467" t="s">
        <v>47</v>
      </c>
      <c r="AD467" t="s">
        <v>81</v>
      </c>
      <c r="AE467" t="s">
        <v>81</v>
      </c>
      <c r="AG467" t="s">
        <v>1615</v>
      </c>
      <c r="AJ467" t="s">
        <v>40</v>
      </c>
      <c r="AK467" t="s">
        <v>1616</v>
      </c>
      <c r="AO467" s="1">
        <v>45944</v>
      </c>
      <c r="AP467" s="5">
        <v>0.75</v>
      </c>
      <c r="AS467">
        <v>1</v>
      </c>
    </row>
    <row r="468" spans="1:45" x14ac:dyDescent="0.2">
      <c r="A468">
        <f t="shared" si="30"/>
        <v>2025</v>
      </c>
      <c r="B468">
        <f t="shared" si="31"/>
        <v>10</v>
      </c>
      <c r="C468">
        <f t="shared" si="32"/>
        <v>42</v>
      </c>
      <c r="D468" s="2">
        <f t="shared" si="33"/>
        <v>45944</v>
      </c>
      <c r="E468" s="1">
        <v>45944.75</v>
      </c>
      <c r="F468" t="s">
        <v>1617</v>
      </c>
      <c r="G468" t="s">
        <v>36</v>
      </c>
      <c r="H468" t="s">
        <v>1618</v>
      </c>
      <c r="I468" t="s">
        <v>78</v>
      </c>
      <c r="J468" t="s">
        <v>188</v>
      </c>
      <c r="M468" t="s">
        <v>40</v>
      </c>
      <c r="N468" t="s">
        <v>41</v>
      </c>
      <c r="O468" t="s">
        <v>195</v>
      </c>
      <c r="P468">
        <v>66</v>
      </c>
      <c r="Q468">
        <v>0</v>
      </c>
      <c r="R468">
        <v>0</v>
      </c>
      <c r="S468">
        <v>0</v>
      </c>
      <c r="T468" t="s">
        <v>54</v>
      </c>
      <c r="U468" t="s">
        <v>55</v>
      </c>
      <c r="W468" t="s">
        <v>1619</v>
      </c>
      <c r="Y468">
        <v>0</v>
      </c>
      <c r="AA468" t="s">
        <v>40</v>
      </c>
      <c r="AB468" t="s">
        <v>46</v>
      </c>
      <c r="AC468" t="s">
        <v>47</v>
      </c>
      <c r="AD468" t="s">
        <v>81</v>
      </c>
      <c r="AE468" t="s">
        <v>81</v>
      </c>
      <c r="AG468" t="s">
        <v>1620</v>
      </c>
      <c r="AJ468" t="s">
        <v>40</v>
      </c>
      <c r="AK468" t="s">
        <v>1621</v>
      </c>
      <c r="AO468" s="1">
        <v>45944</v>
      </c>
      <c r="AP468" s="5">
        <v>0.75</v>
      </c>
      <c r="AS468">
        <v>1</v>
      </c>
    </row>
    <row r="469" spans="1:45" x14ac:dyDescent="0.2">
      <c r="A469">
        <f t="shared" si="30"/>
        <v>2025</v>
      </c>
      <c r="B469">
        <f t="shared" si="31"/>
        <v>10</v>
      </c>
      <c r="C469">
        <f t="shared" si="32"/>
        <v>42</v>
      </c>
      <c r="D469" s="2">
        <f t="shared" si="33"/>
        <v>45944</v>
      </c>
      <c r="E469" s="1">
        <v>45944.791666666664</v>
      </c>
      <c r="F469" t="s">
        <v>1622</v>
      </c>
      <c r="G469" t="s">
        <v>36</v>
      </c>
      <c r="H469">
        <v>453830</v>
      </c>
      <c r="I469" t="s">
        <v>51</v>
      </c>
      <c r="J469" t="s">
        <v>219</v>
      </c>
      <c r="M469" t="s">
        <v>40</v>
      </c>
      <c r="N469" t="s">
        <v>41</v>
      </c>
      <c r="O469" t="s">
        <v>90</v>
      </c>
      <c r="P469">
        <v>33</v>
      </c>
      <c r="Q469">
        <v>0</v>
      </c>
      <c r="R469">
        <v>0</v>
      </c>
      <c r="S469">
        <v>0</v>
      </c>
      <c r="T469" t="s">
        <v>54</v>
      </c>
      <c r="U469" t="s">
        <v>55</v>
      </c>
      <c r="W469" t="s">
        <v>1623</v>
      </c>
      <c r="X469" t="s">
        <v>1624</v>
      </c>
      <c r="Y469">
        <v>0</v>
      </c>
      <c r="AA469" t="s">
        <v>40</v>
      </c>
      <c r="AB469" t="s">
        <v>46</v>
      </c>
      <c r="AC469" t="s">
        <v>47</v>
      </c>
      <c r="AG469" t="s">
        <v>1625</v>
      </c>
      <c r="AJ469" t="s">
        <v>40</v>
      </c>
      <c r="AK469">
        <v>5019148031</v>
      </c>
      <c r="AL469" t="s">
        <v>1626</v>
      </c>
      <c r="AM469" t="s">
        <v>1627</v>
      </c>
      <c r="AO469" s="1">
        <v>45944</v>
      </c>
      <c r="AP469" s="5">
        <v>0.79166666666666663</v>
      </c>
      <c r="AS469">
        <v>1</v>
      </c>
    </row>
    <row r="470" spans="1:45" x14ac:dyDescent="0.2">
      <c r="A470">
        <f t="shared" si="30"/>
        <v>2025</v>
      </c>
      <c r="B470">
        <f t="shared" si="31"/>
        <v>10</v>
      </c>
      <c r="C470">
        <f t="shared" si="32"/>
        <v>42</v>
      </c>
      <c r="D470" s="2">
        <f t="shared" si="33"/>
        <v>45944</v>
      </c>
      <c r="E470" s="1">
        <v>45944.791666666664</v>
      </c>
      <c r="F470" t="s">
        <v>1628</v>
      </c>
      <c r="G470" t="s">
        <v>36</v>
      </c>
      <c r="H470" t="s">
        <v>1629</v>
      </c>
      <c r="I470" t="s">
        <v>78</v>
      </c>
      <c r="J470" t="s">
        <v>188</v>
      </c>
      <c r="M470" t="s">
        <v>40</v>
      </c>
      <c r="N470" t="s">
        <v>41</v>
      </c>
      <c r="O470" t="s">
        <v>1630</v>
      </c>
      <c r="P470">
        <v>66</v>
      </c>
      <c r="Q470">
        <v>0</v>
      </c>
      <c r="R470">
        <v>0</v>
      </c>
      <c r="S470">
        <v>0</v>
      </c>
      <c r="T470" t="s">
        <v>91</v>
      </c>
      <c r="U470" t="s">
        <v>55</v>
      </c>
      <c r="W470" t="s">
        <v>1631</v>
      </c>
      <c r="X470" t="s">
        <v>1632</v>
      </c>
      <c r="Y470">
        <v>0</v>
      </c>
      <c r="AA470" t="s">
        <v>40</v>
      </c>
      <c r="AB470" t="s">
        <v>46</v>
      </c>
      <c r="AC470" t="s">
        <v>47</v>
      </c>
      <c r="AD470" t="s">
        <v>81</v>
      </c>
      <c r="AE470" t="s">
        <v>81</v>
      </c>
      <c r="AG470" t="s">
        <v>1633</v>
      </c>
      <c r="AJ470" t="s">
        <v>40</v>
      </c>
      <c r="AK470" t="s">
        <v>1634</v>
      </c>
      <c r="AL470" t="s">
        <v>1635</v>
      </c>
      <c r="AM470" t="s">
        <v>1636</v>
      </c>
      <c r="AO470" s="1">
        <v>45944</v>
      </c>
      <c r="AP470" s="5">
        <v>0.79166666666666663</v>
      </c>
      <c r="AS470">
        <v>1</v>
      </c>
    </row>
    <row r="471" spans="1:45" x14ac:dyDescent="0.2">
      <c r="A471">
        <f t="shared" si="30"/>
        <v>2025</v>
      </c>
      <c r="B471">
        <f t="shared" si="31"/>
        <v>10</v>
      </c>
      <c r="C471">
        <f t="shared" si="32"/>
        <v>42</v>
      </c>
      <c r="D471" s="2">
        <f t="shared" si="33"/>
        <v>45944</v>
      </c>
      <c r="E471" s="1">
        <v>45944.791666666664</v>
      </c>
      <c r="F471" t="s">
        <v>1637</v>
      </c>
      <c r="G471" t="s">
        <v>36</v>
      </c>
      <c r="H471">
        <v>457739</v>
      </c>
      <c r="I471" t="s">
        <v>51</v>
      </c>
      <c r="J471" t="s">
        <v>144</v>
      </c>
      <c r="M471" t="s">
        <v>40</v>
      </c>
      <c r="N471" t="s">
        <v>41</v>
      </c>
      <c r="O471" t="s">
        <v>155</v>
      </c>
      <c r="P471">
        <v>33</v>
      </c>
      <c r="Q471">
        <v>0</v>
      </c>
      <c r="R471">
        <v>0</v>
      </c>
      <c r="S471">
        <v>0</v>
      </c>
      <c r="T471" t="s">
        <v>54</v>
      </c>
      <c r="U471" t="s">
        <v>55</v>
      </c>
      <c r="W471" t="s">
        <v>1545</v>
      </c>
      <c r="Y471">
        <v>0</v>
      </c>
      <c r="AA471" t="s">
        <v>40</v>
      </c>
      <c r="AB471" t="s">
        <v>46</v>
      </c>
      <c r="AC471" t="s">
        <v>47</v>
      </c>
      <c r="AG471" t="s">
        <v>1638</v>
      </c>
      <c r="AJ471" t="s">
        <v>40</v>
      </c>
      <c r="AK471">
        <v>5019167965</v>
      </c>
      <c r="AO471" s="1">
        <v>45944</v>
      </c>
      <c r="AP471" s="5">
        <v>0.79166666666666663</v>
      </c>
      <c r="AS471">
        <v>1</v>
      </c>
    </row>
    <row r="472" spans="1:45" x14ac:dyDescent="0.2">
      <c r="A472">
        <f t="shared" si="30"/>
        <v>2025</v>
      </c>
      <c r="B472">
        <f t="shared" si="31"/>
        <v>10</v>
      </c>
      <c r="C472">
        <f t="shared" si="32"/>
        <v>42</v>
      </c>
      <c r="D472" s="2">
        <f t="shared" si="33"/>
        <v>45944</v>
      </c>
      <c r="E472" s="1">
        <v>45944.833333333336</v>
      </c>
      <c r="F472" t="s">
        <v>1639</v>
      </c>
      <c r="G472" t="s">
        <v>36</v>
      </c>
      <c r="H472">
        <v>453854</v>
      </c>
      <c r="I472" t="s">
        <v>51</v>
      </c>
      <c r="J472" t="s">
        <v>126</v>
      </c>
      <c r="M472" t="s">
        <v>40</v>
      </c>
      <c r="N472" t="s">
        <v>41</v>
      </c>
      <c r="O472" t="s">
        <v>90</v>
      </c>
      <c r="P472">
        <v>33</v>
      </c>
      <c r="Q472">
        <v>0</v>
      </c>
      <c r="R472">
        <v>0</v>
      </c>
      <c r="S472">
        <v>0</v>
      </c>
      <c r="T472" t="s">
        <v>54</v>
      </c>
      <c r="U472" t="s">
        <v>55</v>
      </c>
      <c r="W472" t="s">
        <v>1640</v>
      </c>
      <c r="X472" t="s">
        <v>1641</v>
      </c>
      <c r="Y472">
        <v>0</v>
      </c>
      <c r="AA472" t="s">
        <v>40</v>
      </c>
      <c r="AB472" t="s">
        <v>46</v>
      </c>
      <c r="AC472" t="s">
        <v>47</v>
      </c>
      <c r="AG472" t="s">
        <v>1642</v>
      </c>
      <c r="AJ472" t="s">
        <v>40</v>
      </c>
      <c r="AK472">
        <v>5019159431</v>
      </c>
      <c r="AL472" t="s">
        <v>1643</v>
      </c>
      <c r="AM472" t="s">
        <v>1644</v>
      </c>
      <c r="AO472" s="1">
        <v>45944</v>
      </c>
      <c r="AP472" s="5">
        <v>0.83333333333333337</v>
      </c>
      <c r="AS472">
        <v>1</v>
      </c>
    </row>
    <row r="473" spans="1:45" x14ac:dyDescent="0.2">
      <c r="A473">
        <f t="shared" si="30"/>
        <v>2025</v>
      </c>
      <c r="B473">
        <f t="shared" si="31"/>
        <v>10</v>
      </c>
      <c r="C473">
        <f t="shared" si="32"/>
        <v>42</v>
      </c>
      <c r="D473" s="2">
        <f t="shared" si="33"/>
        <v>45945</v>
      </c>
      <c r="E473" s="1">
        <v>45945.25</v>
      </c>
      <c r="F473" t="s">
        <v>1645</v>
      </c>
      <c r="G473" t="s">
        <v>36</v>
      </c>
      <c r="H473">
        <v>459499</v>
      </c>
      <c r="I473" t="s">
        <v>51</v>
      </c>
      <c r="J473" t="s">
        <v>52</v>
      </c>
      <c r="M473" t="s">
        <v>40</v>
      </c>
      <c r="N473" t="s">
        <v>41</v>
      </c>
      <c r="O473" t="s">
        <v>53</v>
      </c>
      <c r="P473">
        <v>33</v>
      </c>
      <c r="Q473">
        <v>0</v>
      </c>
      <c r="R473">
        <v>0</v>
      </c>
      <c r="S473">
        <v>0</v>
      </c>
      <c r="T473" t="s">
        <v>54</v>
      </c>
      <c r="U473" t="s">
        <v>55</v>
      </c>
      <c r="W473" t="s">
        <v>1553</v>
      </c>
      <c r="Y473">
        <v>0</v>
      </c>
      <c r="AA473" t="s">
        <v>40</v>
      </c>
      <c r="AB473" t="s">
        <v>46</v>
      </c>
      <c r="AC473" t="s">
        <v>47</v>
      </c>
      <c r="AG473" t="s">
        <v>1646</v>
      </c>
      <c r="AJ473" t="s">
        <v>40</v>
      </c>
      <c r="AK473">
        <v>5019130075</v>
      </c>
      <c r="AO473" s="1">
        <v>45945</v>
      </c>
      <c r="AP473" s="5">
        <v>0.25</v>
      </c>
      <c r="AS473">
        <v>1</v>
      </c>
    </row>
    <row r="474" spans="1:45" x14ac:dyDescent="0.2">
      <c r="A474">
        <f t="shared" si="30"/>
        <v>2025</v>
      </c>
      <c r="B474">
        <f t="shared" si="31"/>
        <v>10</v>
      </c>
      <c r="C474">
        <f t="shared" si="32"/>
        <v>42</v>
      </c>
      <c r="D474" s="2">
        <f t="shared" si="33"/>
        <v>45945</v>
      </c>
      <c r="E474" s="1">
        <v>45945.25</v>
      </c>
      <c r="F474" t="s">
        <v>1647</v>
      </c>
      <c r="G474" t="s">
        <v>36</v>
      </c>
      <c r="H474">
        <v>459303</v>
      </c>
      <c r="I474" t="s">
        <v>51</v>
      </c>
      <c r="J474" t="s">
        <v>52</v>
      </c>
      <c r="M474" t="s">
        <v>40</v>
      </c>
      <c r="N474" t="s">
        <v>41</v>
      </c>
      <c r="O474" t="s">
        <v>53</v>
      </c>
      <c r="P474">
        <v>33</v>
      </c>
      <c r="Q474">
        <v>0</v>
      </c>
      <c r="R474">
        <v>0</v>
      </c>
      <c r="S474">
        <v>0</v>
      </c>
      <c r="T474" t="s">
        <v>54</v>
      </c>
      <c r="U474" t="s">
        <v>55</v>
      </c>
      <c r="W474" t="s">
        <v>1553</v>
      </c>
      <c r="Y474">
        <v>0</v>
      </c>
      <c r="AA474" t="s">
        <v>40</v>
      </c>
      <c r="AB474" t="s">
        <v>46</v>
      </c>
      <c r="AC474" t="s">
        <v>47</v>
      </c>
      <c r="AG474" t="s">
        <v>1648</v>
      </c>
      <c r="AJ474" t="s">
        <v>40</v>
      </c>
      <c r="AK474">
        <v>5019135809</v>
      </c>
      <c r="AO474" s="1">
        <v>45945</v>
      </c>
      <c r="AP474" s="5">
        <v>0.25</v>
      </c>
      <c r="AS474">
        <v>1</v>
      </c>
    </row>
    <row r="475" spans="1:45" x14ac:dyDescent="0.2">
      <c r="A475">
        <f t="shared" si="30"/>
        <v>2025</v>
      </c>
      <c r="B475">
        <f t="shared" si="31"/>
        <v>10</v>
      </c>
      <c r="C475">
        <f t="shared" si="32"/>
        <v>42</v>
      </c>
      <c r="D475" s="2">
        <f t="shared" si="33"/>
        <v>45945</v>
      </c>
      <c r="E475" s="1">
        <v>45945.291666666664</v>
      </c>
      <c r="F475" t="s">
        <v>1649</v>
      </c>
      <c r="G475" t="s">
        <v>36</v>
      </c>
      <c r="H475" t="s">
        <v>253</v>
      </c>
      <c r="I475" t="s">
        <v>38</v>
      </c>
      <c r="J475" t="s">
        <v>254</v>
      </c>
      <c r="M475" t="s">
        <v>40</v>
      </c>
      <c r="N475" t="s">
        <v>41</v>
      </c>
      <c r="O475" t="s">
        <v>42</v>
      </c>
      <c r="P475">
        <v>1</v>
      </c>
      <c r="Q475">
        <v>0</v>
      </c>
      <c r="R475">
        <v>0</v>
      </c>
      <c r="S475">
        <v>0</v>
      </c>
      <c r="T475">
        <v>5019190410</v>
      </c>
      <c r="U475" t="s">
        <v>101</v>
      </c>
      <c r="W475" t="s">
        <v>1124</v>
      </c>
      <c r="Y475">
        <v>0</v>
      </c>
      <c r="AA475" t="s">
        <v>40</v>
      </c>
      <c r="AB475" t="s">
        <v>46</v>
      </c>
      <c r="AC475" t="s">
        <v>47</v>
      </c>
      <c r="AF475" t="s">
        <v>48</v>
      </c>
      <c r="AJ475" t="s">
        <v>40</v>
      </c>
      <c r="AK475" t="s">
        <v>49</v>
      </c>
      <c r="AO475" s="1">
        <v>45945</v>
      </c>
      <c r="AP475" s="5">
        <v>0.29166666666666669</v>
      </c>
      <c r="AS475">
        <v>1</v>
      </c>
    </row>
    <row r="476" spans="1:45" x14ac:dyDescent="0.2">
      <c r="A476">
        <f t="shared" si="30"/>
        <v>2025</v>
      </c>
      <c r="B476">
        <f t="shared" si="31"/>
        <v>10</v>
      </c>
      <c r="C476">
        <f t="shared" si="32"/>
        <v>42</v>
      </c>
      <c r="D476" s="2">
        <f t="shared" si="33"/>
        <v>45945</v>
      </c>
      <c r="E476" s="1">
        <v>45945.291666666664</v>
      </c>
      <c r="F476" t="s">
        <v>1650</v>
      </c>
      <c r="G476" t="s">
        <v>36</v>
      </c>
      <c r="H476" t="s">
        <v>264</v>
      </c>
      <c r="I476" t="s">
        <v>38</v>
      </c>
      <c r="J476" t="s">
        <v>265</v>
      </c>
      <c r="M476" t="s">
        <v>40</v>
      </c>
      <c r="N476" t="s">
        <v>41</v>
      </c>
      <c r="O476" t="s">
        <v>42</v>
      </c>
      <c r="P476">
        <v>23</v>
      </c>
      <c r="Q476">
        <v>0</v>
      </c>
      <c r="R476">
        <v>0</v>
      </c>
      <c r="S476">
        <v>0</v>
      </c>
      <c r="T476" t="s">
        <v>1651</v>
      </c>
      <c r="U476" t="s">
        <v>55</v>
      </c>
      <c r="W476" t="s">
        <v>1652</v>
      </c>
      <c r="Y476">
        <v>0</v>
      </c>
      <c r="AA476" t="s">
        <v>40</v>
      </c>
      <c r="AB476" t="s">
        <v>46</v>
      </c>
      <c r="AC476" t="s">
        <v>47</v>
      </c>
      <c r="AF476" t="s">
        <v>48</v>
      </c>
      <c r="AJ476" t="s">
        <v>40</v>
      </c>
      <c r="AK476" t="s">
        <v>49</v>
      </c>
      <c r="AO476" s="1">
        <v>45945</v>
      </c>
      <c r="AP476" s="5">
        <v>0.29166666666666669</v>
      </c>
      <c r="AS476">
        <v>1</v>
      </c>
    </row>
    <row r="477" spans="1:45" x14ac:dyDescent="0.2">
      <c r="A477">
        <f t="shared" si="30"/>
        <v>2025</v>
      </c>
      <c r="B477">
        <f t="shared" si="31"/>
        <v>10</v>
      </c>
      <c r="C477">
        <f t="shared" si="32"/>
        <v>42</v>
      </c>
      <c r="D477" s="2">
        <f t="shared" si="33"/>
        <v>45945</v>
      </c>
      <c r="E477" s="1">
        <v>45945.291666666664</v>
      </c>
      <c r="F477" t="s">
        <v>1653</v>
      </c>
      <c r="G477" t="s">
        <v>36</v>
      </c>
      <c r="H477" t="s">
        <v>1654</v>
      </c>
      <c r="I477" t="s">
        <v>78</v>
      </c>
      <c r="J477" t="s">
        <v>52</v>
      </c>
      <c r="M477" t="s">
        <v>40</v>
      </c>
      <c r="N477" t="s">
        <v>41</v>
      </c>
      <c r="O477" t="s">
        <v>145</v>
      </c>
      <c r="P477">
        <v>66</v>
      </c>
      <c r="Q477">
        <v>0</v>
      </c>
      <c r="R477">
        <v>0</v>
      </c>
      <c r="S477">
        <v>0</v>
      </c>
      <c r="T477" t="s">
        <v>54</v>
      </c>
      <c r="U477" t="s">
        <v>55</v>
      </c>
      <c r="W477" t="s">
        <v>1553</v>
      </c>
      <c r="Y477">
        <v>0</v>
      </c>
      <c r="AA477" t="s">
        <v>40</v>
      </c>
      <c r="AB477" t="s">
        <v>46</v>
      </c>
      <c r="AC477" t="s">
        <v>47</v>
      </c>
      <c r="AD477" t="s">
        <v>81</v>
      </c>
      <c r="AE477" t="s">
        <v>81</v>
      </c>
      <c r="AG477" t="s">
        <v>1655</v>
      </c>
      <c r="AJ477" t="s">
        <v>40</v>
      </c>
      <c r="AK477" t="s">
        <v>1656</v>
      </c>
      <c r="AO477" s="1">
        <v>45945</v>
      </c>
      <c r="AP477" s="5">
        <v>0.29166666666666669</v>
      </c>
      <c r="AS477">
        <v>1</v>
      </c>
    </row>
    <row r="478" spans="1:45" x14ac:dyDescent="0.2">
      <c r="A478">
        <f t="shared" si="30"/>
        <v>2025</v>
      </c>
      <c r="B478">
        <f t="shared" si="31"/>
        <v>10</v>
      </c>
      <c r="C478">
        <f t="shared" si="32"/>
        <v>42</v>
      </c>
      <c r="D478" s="2">
        <f t="shared" si="33"/>
        <v>45945</v>
      </c>
      <c r="E478" s="1">
        <v>45945.333333333336</v>
      </c>
      <c r="F478" t="s">
        <v>1657</v>
      </c>
      <c r="G478" t="s">
        <v>36</v>
      </c>
      <c r="H478" t="s">
        <v>1658</v>
      </c>
      <c r="I478" t="s">
        <v>38</v>
      </c>
      <c r="J478" t="s">
        <v>99</v>
      </c>
      <c r="M478" t="s">
        <v>40</v>
      </c>
      <c r="N478" t="s">
        <v>41</v>
      </c>
      <c r="O478" t="s">
        <v>42</v>
      </c>
      <c r="P478">
        <v>20</v>
      </c>
      <c r="Q478">
        <v>0</v>
      </c>
      <c r="R478">
        <v>0</v>
      </c>
      <c r="S478">
        <v>0</v>
      </c>
      <c r="T478" t="s">
        <v>1659</v>
      </c>
      <c r="U478" t="s">
        <v>44</v>
      </c>
      <c r="W478" t="s">
        <v>1660</v>
      </c>
      <c r="Y478">
        <v>0</v>
      </c>
      <c r="AA478" t="s">
        <v>40</v>
      </c>
      <c r="AB478" t="s">
        <v>46</v>
      </c>
      <c r="AC478" t="s">
        <v>47</v>
      </c>
      <c r="AF478" t="s">
        <v>367</v>
      </c>
      <c r="AJ478" t="s">
        <v>40</v>
      </c>
      <c r="AK478" t="s">
        <v>49</v>
      </c>
      <c r="AM478" t="s">
        <v>1661</v>
      </c>
      <c r="AN478" t="s">
        <v>1180</v>
      </c>
      <c r="AO478" s="1">
        <v>45945</v>
      </c>
      <c r="AP478" s="5">
        <v>0.33333333333333331</v>
      </c>
      <c r="AS478">
        <v>1</v>
      </c>
    </row>
    <row r="479" spans="1:45" x14ac:dyDescent="0.2">
      <c r="A479">
        <f t="shared" si="30"/>
        <v>2025</v>
      </c>
      <c r="B479">
        <f t="shared" si="31"/>
        <v>10</v>
      </c>
      <c r="C479">
        <f t="shared" si="32"/>
        <v>42</v>
      </c>
      <c r="D479" s="2">
        <f t="shared" si="33"/>
        <v>45945</v>
      </c>
      <c r="E479" s="1">
        <v>45945.333333333336</v>
      </c>
      <c r="F479" t="s">
        <v>1662</v>
      </c>
      <c r="G479" t="s">
        <v>36</v>
      </c>
      <c r="H479">
        <v>453877</v>
      </c>
      <c r="I479" t="s">
        <v>51</v>
      </c>
      <c r="J479" t="s">
        <v>52</v>
      </c>
      <c r="M479" t="s">
        <v>40</v>
      </c>
      <c r="N479" t="s">
        <v>41</v>
      </c>
      <c r="O479" t="s">
        <v>992</v>
      </c>
      <c r="P479">
        <v>33</v>
      </c>
      <c r="Q479">
        <v>0</v>
      </c>
      <c r="R479">
        <v>0</v>
      </c>
      <c r="S479">
        <v>0</v>
      </c>
      <c r="T479" t="s">
        <v>54</v>
      </c>
      <c r="U479" t="s">
        <v>55</v>
      </c>
      <c r="W479" t="s">
        <v>1663</v>
      </c>
      <c r="Y479">
        <v>0</v>
      </c>
      <c r="AA479" t="s">
        <v>40</v>
      </c>
      <c r="AB479" t="s">
        <v>46</v>
      </c>
      <c r="AC479" t="s">
        <v>47</v>
      </c>
      <c r="AG479" t="s">
        <v>1664</v>
      </c>
      <c r="AJ479" t="s">
        <v>40</v>
      </c>
      <c r="AK479">
        <v>5019166113</v>
      </c>
      <c r="AO479" s="1">
        <v>45945</v>
      </c>
      <c r="AP479" s="5">
        <v>0.33333333333333331</v>
      </c>
      <c r="AS479">
        <v>1</v>
      </c>
    </row>
    <row r="480" spans="1:45" x14ac:dyDescent="0.2">
      <c r="A480">
        <f t="shared" si="30"/>
        <v>2025</v>
      </c>
      <c r="B480">
        <f t="shared" si="31"/>
        <v>10</v>
      </c>
      <c r="C480">
        <f t="shared" si="32"/>
        <v>42</v>
      </c>
      <c r="D480" s="2">
        <f t="shared" si="33"/>
        <v>45945</v>
      </c>
      <c r="E480" s="1">
        <v>45945.333333333336</v>
      </c>
      <c r="F480" t="s">
        <v>1665</v>
      </c>
      <c r="G480" t="s">
        <v>36</v>
      </c>
      <c r="H480" t="s">
        <v>1666</v>
      </c>
      <c r="I480" t="s">
        <v>38</v>
      </c>
      <c r="J480" t="s">
        <v>60</v>
      </c>
      <c r="M480" t="s">
        <v>40</v>
      </c>
      <c r="N480" t="s">
        <v>41</v>
      </c>
      <c r="O480" t="s">
        <v>42</v>
      </c>
      <c r="P480">
        <v>20</v>
      </c>
      <c r="Q480">
        <v>0</v>
      </c>
      <c r="R480">
        <v>0</v>
      </c>
      <c r="S480">
        <v>0</v>
      </c>
      <c r="T480">
        <v>5019124962</v>
      </c>
      <c r="U480" t="s">
        <v>44</v>
      </c>
      <c r="W480" t="s">
        <v>1667</v>
      </c>
      <c r="Y480">
        <v>0</v>
      </c>
      <c r="AA480" t="s">
        <v>40</v>
      </c>
      <c r="AB480" t="s">
        <v>46</v>
      </c>
      <c r="AC480" t="s">
        <v>47</v>
      </c>
      <c r="AF480" t="s">
        <v>133</v>
      </c>
      <c r="AJ480" t="s">
        <v>40</v>
      </c>
      <c r="AK480" t="s">
        <v>49</v>
      </c>
      <c r="AN480">
        <v>258771769</v>
      </c>
      <c r="AO480" s="1">
        <v>45945</v>
      </c>
      <c r="AP480" s="5">
        <v>0.33333333333333331</v>
      </c>
      <c r="AS480">
        <v>1</v>
      </c>
    </row>
    <row r="481" spans="1:45" x14ac:dyDescent="0.2">
      <c r="A481">
        <f t="shared" si="30"/>
        <v>2025</v>
      </c>
      <c r="B481">
        <f t="shared" si="31"/>
        <v>10</v>
      </c>
      <c r="C481">
        <f t="shared" si="32"/>
        <v>42</v>
      </c>
      <c r="D481" s="2">
        <f t="shared" si="33"/>
        <v>45945</v>
      </c>
      <c r="E481" s="1">
        <v>45945.375</v>
      </c>
      <c r="F481" t="s">
        <v>1668</v>
      </c>
      <c r="G481" t="s">
        <v>36</v>
      </c>
      <c r="H481" t="s">
        <v>1669</v>
      </c>
      <c r="I481" t="s">
        <v>78</v>
      </c>
      <c r="J481" t="s">
        <v>52</v>
      </c>
      <c r="M481" t="s">
        <v>40</v>
      </c>
      <c r="N481" t="s">
        <v>41</v>
      </c>
      <c r="O481" t="s">
        <v>79</v>
      </c>
      <c r="P481">
        <v>66</v>
      </c>
      <c r="Q481">
        <v>0</v>
      </c>
      <c r="R481">
        <v>0</v>
      </c>
      <c r="S481">
        <v>0</v>
      </c>
      <c r="T481" t="s">
        <v>54</v>
      </c>
      <c r="U481" t="s">
        <v>55</v>
      </c>
      <c r="W481" t="s">
        <v>1601</v>
      </c>
      <c r="Y481">
        <v>0</v>
      </c>
      <c r="AA481" t="s">
        <v>40</v>
      </c>
      <c r="AB481" t="s">
        <v>46</v>
      </c>
      <c r="AC481" t="s">
        <v>47</v>
      </c>
      <c r="AD481" t="s">
        <v>81</v>
      </c>
      <c r="AE481" t="s">
        <v>81</v>
      </c>
      <c r="AG481" t="s">
        <v>1670</v>
      </c>
      <c r="AJ481" t="s">
        <v>40</v>
      </c>
      <c r="AK481" t="s">
        <v>1671</v>
      </c>
      <c r="AO481" s="1">
        <v>45945</v>
      </c>
      <c r="AP481" s="5">
        <v>0.375</v>
      </c>
      <c r="AS481">
        <v>1</v>
      </c>
    </row>
    <row r="482" spans="1:45" x14ac:dyDescent="0.2">
      <c r="A482">
        <f t="shared" si="30"/>
        <v>2025</v>
      </c>
      <c r="B482">
        <f t="shared" si="31"/>
        <v>10</v>
      </c>
      <c r="C482">
        <f t="shared" si="32"/>
        <v>42</v>
      </c>
      <c r="D482" s="2">
        <f t="shared" si="33"/>
        <v>45945</v>
      </c>
      <c r="E482" s="1">
        <v>45945.375</v>
      </c>
      <c r="F482" t="s">
        <v>1672</v>
      </c>
      <c r="G482" t="s">
        <v>36</v>
      </c>
      <c r="H482" t="s">
        <v>864</v>
      </c>
      <c r="I482" t="s">
        <v>38</v>
      </c>
      <c r="J482" t="s">
        <v>39</v>
      </c>
      <c r="M482" t="s">
        <v>40</v>
      </c>
      <c r="N482" t="s">
        <v>41</v>
      </c>
      <c r="O482" t="s">
        <v>42</v>
      </c>
      <c r="P482">
        <v>32</v>
      </c>
      <c r="Q482">
        <v>0</v>
      </c>
      <c r="R482">
        <v>0</v>
      </c>
      <c r="S482">
        <v>0</v>
      </c>
      <c r="T482" t="s">
        <v>1673</v>
      </c>
      <c r="U482" t="s">
        <v>44</v>
      </c>
      <c r="W482" t="s">
        <v>1652</v>
      </c>
      <c r="Y482">
        <v>0</v>
      </c>
      <c r="AA482" t="s">
        <v>40</v>
      </c>
      <c r="AB482" t="s">
        <v>46</v>
      </c>
      <c r="AC482" t="s">
        <v>47</v>
      </c>
      <c r="AF482" t="s">
        <v>48</v>
      </c>
      <c r="AJ482" t="s">
        <v>40</v>
      </c>
      <c r="AK482" t="s">
        <v>49</v>
      </c>
      <c r="AO482" s="1">
        <v>45945</v>
      </c>
      <c r="AP482" s="5">
        <v>0.375</v>
      </c>
      <c r="AS482">
        <v>1</v>
      </c>
    </row>
    <row r="483" spans="1:45" x14ac:dyDescent="0.2">
      <c r="A483">
        <f t="shared" si="30"/>
        <v>2025</v>
      </c>
      <c r="B483">
        <f t="shared" si="31"/>
        <v>10</v>
      </c>
      <c r="C483">
        <f t="shared" si="32"/>
        <v>42</v>
      </c>
      <c r="D483" s="2">
        <f t="shared" si="33"/>
        <v>45945</v>
      </c>
      <c r="E483" s="1">
        <v>45945.375</v>
      </c>
      <c r="F483" t="s">
        <v>1674</v>
      </c>
      <c r="G483" t="s">
        <v>36</v>
      </c>
      <c r="H483" t="s">
        <v>1675</v>
      </c>
      <c r="I483" t="s">
        <v>38</v>
      </c>
      <c r="J483" t="s">
        <v>60</v>
      </c>
      <c r="M483" t="s">
        <v>40</v>
      </c>
      <c r="N483" t="s">
        <v>41</v>
      </c>
      <c r="O483" t="s">
        <v>42</v>
      </c>
      <c r="P483">
        <v>20</v>
      </c>
      <c r="Q483">
        <v>0</v>
      </c>
      <c r="R483">
        <v>0</v>
      </c>
      <c r="S483">
        <v>0</v>
      </c>
      <c r="T483">
        <v>5019111529</v>
      </c>
      <c r="U483" t="s">
        <v>44</v>
      </c>
      <c r="W483" t="s">
        <v>1676</v>
      </c>
      <c r="Y483">
        <v>0</v>
      </c>
      <c r="AA483" t="s">
        <v>40</v>
      </c>
      <c r="AB483" t="s">
        <v>46</v>
      </c>
      <c r="AC483" t="s">
        <v>47</v>
      </c>
      <c r="AF483" t="s">
        <v>62</v>
      </c>
      <c r="AJ483" t="s">
        <v>40</v>
      </c>
      <c r="AK483" t="s">
        <v>49</v>
      </c>
      <c r="AN483">
        <v>260110699</v>
      </c>
      <c r="AO483" s="1">
        <v>45945</v>
      </c>
      <c r="AP483" s="5">
        <v>0.375</v>
      </c>
      <c r="AS483">
        <v>1</v>
      </c>
    </row>
    <row r="484" spans="1:45" x14ac:dyDescent="0.2">
      <c r="A484">
        <f t="shared" si="30"/>
        <v>2025</v>
      </c>
      <c r="B484">
        <f t="shared" si="31"/>
        <v>10</v>
      </c>
      <c r="C484">
        <f t="shared" si="32"/>
        <v>42</v>
      </c>
      <c r="D484" s="2">
        <f t="shared" si="33"/>
        <v>45945</v>
      </c>
      <c r="E484" s="1">
        <v>45945.416666666664</v>
      </c>
      <c r="F484" t="s">
        <v>1677</v>
      </c>
      <c r="G484" t="s">
        <v>36</v>
      </c>
      <c r="H484" t="s">
        <v>864</v>
      </c>
      <c r="I484" t="s">
        <v>38</v>
      </c>
      <c r="J484" t="s">
        <v>39</v>
      </c>
      <c r="M484" t="s">
        <v>40</v>
      </c>
      <c r="N484" t="s">
        <v>41</v>
      </c>
      <c r="O484" t="s">
        <v>42</v>
      </c>
      <c r="P484">
        <v>31</v>
      </c>
      <c r="Q484">
        <v>0</v>
      </c>
      <c r="R484">
        <v>0</v>
      </c>
      <c r="S484">
        <v>0</v>
      </c>
      <c r="T484" t="s">
        <v>1678</v>
      </c>
      <c r="U484" t="s">
        <v>44</v>
      </c>
      <c r="W484" t="s">
        <v>1652</v>
      </c>
      <c r="Y484">
        <v>0</v>
      </c>
      <c r="AA484" t="s">
        <v>40</v>
      </c>
      <c r="AB484" t="s">
        <v>46</v>
      </c>
      <c r="AC484" t="s">
        <v>47</v>
      </c>
      <c r="AF484" t="s">
        <v>48</v>
      </c>
      <c r="AJ484" t="s">
        <v>40</v>
      </c>
      <c r="AK484" t="s">
        <v>49</v>
      </c>
      <c r="AO484" s="1">
        <v>45945</v>
      </c>
      <c r="AP484" s="5">
        <v>0.41666666666666669</v>
      </c>
      <c r="AS484">
        <v>1</v>
      </c>
    </row>
    <row r="485" spans="1:45" x14ac:dyDescent="0.2">
      <c r="A485">
        <f t="shared" si="30"/>
        <v>2025</v>
      </c>
      <c r="B485">
        <f t="shared" si="31"/>
        <v>10</v>
      </c>
      <c r="C485">
        <f t="shared" si="32"/>
        <v>42</v>
      </c>
      <c r="D485" s="2">
        <f t="shared" si="33"/>
        <v>45945</v>
      </c>
      <c r="E485" s="1">
        <v>45945.416666666664</v>
      </c>
      <c r="F485" t="s">
        <v>1679</v>
      </c>
      <c r="G485" t="s">
        <v>36</v>
      </c>
      <c r="H485" t="s">
        <v>1680</v>
      </c>
      <c r="I485" t="s">
        <v>38</v>
      </c>
      <c r="J485" t="s">
        <v>60</v>
      </c>
      <c r="M485" t="s">
        <v>40</v>
      </c>
      <c r="N485" t="s">
        <v>41</v>
      </c>
      <c r="O485" t="s">
        <v>42</v>
      </c>
      <c r="P485">
        <v>20</v>
      </c>
      <c r="Q485">
        <v>0</v>
      </c>
      <c r="R485">
        <v>0</v>
      </c>
      <c r="S485">
        <v>0</v>
      </c>
      <c r="T485">
        <v>5019100335</v>
      </c>
      <c r="U485" t="s">
        <v>44</v>
      </c>
      <c r="W485" t="s">
        <v>1676</v>
      </c>
      <c r="Y485">
        <v>0</v>
      </c>
      <c r="AA485" t="s">
        <v>40</v>
      </c>
      <c r="AB485" t="s">
        <v>46</v>
      </c>
      <c r="AC485" t="s">
        <v>47</v>
      </c>
      <c r="AF485" t="s">
        <v>62</v>
      </c>
      <c r="AJ485" t="s">
        <v>40</v>
      </c>
      <c r="AK485" t="s">
        <v>49</v>
      </c>
      <c r="AN485">
        <v>260110704</v>
      </c>
      <c r="AO485" s="1">
        <v>45945</v>
      </c>
      <c r="AP485" s="5">
        <v>0.41666666666666669</v>
      </c>
      <c r="AS485">
        <v>1</v>
      </c>
    </row>
    <row r="486" spans="1:45" x14ac:dyDescent="0.2">
      <c r="A486">
        <f t="shared" si="30"/>
        <v>2025</v>
      </c>
      <c r="B486">
        <f t="shared" si="31"/>
        <v>10</v>
      </c>
      <c r="C486">
        <f t="shared" si="32"/>
        <v>42</v>
      </c>
      <c r="D486" s="2">
        <f t="shared" si="33"/>
        <v>45945</v>
      </c>
      <c r="E486" s="1">
        <v>45945.416666666664</v>
      </c>
      <c r="F486" t="s">
        <v>1681</v>
      </c>
      <c r="G486" t="s">
        <v>36</v>
      </c>
      <c r="H486">
        <v>453849</v>
      </c>
      <c r="I486" t="s">
        <v>51</v>
      </c>
      <c r="J486" t="s">
        <v>52</v>
      </c>
      <c r="M486" t="s">
        <v>40</v>
      </c>
      <c r="N486" t="s">
        <v>41</v>
      </c>
      <c r="O486" t="s">
        <v>66</v>
      </c>
      <c r="P486">
        <v>33</v>
      </c>
      <c r="Q486">
        <v>0</v>
      </c>
      <c r="R486">
        <v>0</v>
      </c>
      <c r="S486">
        <v>0</v>
      </c>
      <c r="T486" t="s">
        <v>54</v>
      </c>
      <c r="U486" t="s">
        <v>55</v>
      </c>
      <c r="W486" t="s">
        <v>1398</v>
      </c>
      <c r="Y486">
        <v>0</v>
      </c>
      <c r="AA486" t="s">
        <v>40</v>
      </c>
      <c r="AB486" t="s">
        <v>46</v>
      </c>
      <c r="AC486" t="s">
        <v>47</v>
      </c>
      <c r="AG486" t="s">
        <v>1682</v>
      </c>
      <c r="AJ486" t="s">
        <v>40</v>
      </c>
      <c r="AK486">
        <v>5019180209</v>
      </c>
      <c r="AO486" s="1">
        <v>45945</v>
      </c>
      <c r="AP486" s="5">
        <v>0.41666666666666669</v>
      </c>
      <c r="AS486">
        <v>1</v>
      </c>
    </row>
    <row r="487" spans="1:45" x14ac:dyDescent="0.2">
      <c r="A487">
        <f t="shared" si="30"/>
        <v>2025</v>
      </c>
      <c r="B487">
        <f t="shared" si="31"/>
        <v>10</v>
      </c>
      <c r="C487">
        <f t="shared" si="32"/>
        <v>42</v>
      </c>
      <c r="D487" s="2">
        <f t="shared" si="33"/>
        <v>45945</v>
      </c>
      <c r="E487" s="1">
        <v>45945.416666666664</v>
      </c>
      <c r="F487" t="s">
        <v>1683</v>
      </c>
      <c r="G487" t="s">
        <v>36</v>
      </c>
      <c r="H487" t="s">
        <v>1684</v>
      </c>
      <c r="I487" t="s">
        <v>38</v>
      </c>
      <c r="J487" t="s">
        <v>60</v>
      </c>
      <c r="M487" t="s">
        <v>40</v>
      </c>
      <c r="N487" t="s">
        <v>41</v>
      </c>
      <c r="O487" t="s">
        <v>42</v>
      </c>
      <c r="P487">
        <v>20</v>
      </c>
      <c r="Q487">
        <v>0</v>
      </c>
      <c r="R487">
        <v>0</v>
      </c>
      <c r="S487">
        <v>0</v>
      </c>
      <c r="T487">
        <v>5019113319</v>
      </c>
      <c r="U487" t="s">
        <v>44</v>
      </c>
      <c r="W487" t="s">
        <v>1676</v>
      </c>
      <c r="Y487">
        <v>0</v>
      </c>
      <c r="AA487" t="s">
        <v>40</v>
      </c>
      <c r="AB487" t="s">
        <v>46</v>
      </c>
      <c r="AC487" t="s">
        <v>47</v>
      </c>
      <c r="AF487" t="s">
        <v>62</v>
      </c>
      <c r="AJ487" t="s">
        <v>40</v>
      </c>
      <c r="AK487" t="s">
        <v>49</v>
      </c>
      <c r="AN487">
        <v>259813646</v>
      </c>
      <c r="AO487" s="1">
        <v>45945</v>
      </c>
      <c r="AP487" s="5">
        <v>0.41666666666666669</v>
      </c>
      <c r="AS487">
        <v>1</v>
      </c>
    </row>
    <row r="488" spans="1:45" x14ac:dyDescent="0.2">
      <c r="A488">
        <f t="shared" si="30"/>
        <v>2025</v>
      </c>
      <c r="B488">
        <f t="shared" si="31"/>
        <v>10</v>
      </c>
      <c r="C488">
        <f t="shared" si="32"/>
        <v>42</v>
      </c>
      <c r="D488" s="2">
        <f t="shared" si="33"/>
        <v>45945</v>
      </c>
      <c r="E488" s="1">
        <v>45945.458333333336</v>
      </c>
      <c r="F488" t="s">
        <v>1685</v>
      </c>
      <c r="G488" t="s">
        <v>36</v>
      </c>
      <c r="H488" t="s">
        <v>1167</v>
      </c>
      <c r="I488" t="s">
        <v>38</v>
      </c>
      <c r="J488" t="s">
        <v>1168</v>
      </c>
      <c r="M488" t="s">
        <v>40</v>
      </c>
      <c r="N488" t="s">
        <v>41</v>
      </c>
      <c r="O488" t="s">
        <v>42</v>
      </c>
      <c r="P488">
        <v>3</v>
      </c>
      <c r="Q488">
        <v>0</v>
      </c>
      <c r="R488">
        <v>0</v>
      </c>
      <c r="S488">
        <v>0</v>
      </c>
      <c r="T488">
        <v>5019091751</v>
      </c>
      <c r="U488" t="s">
        <v>101</v>
      </c>
      <c r="W488" t="s">
        <v>1686</v>
      </c>
      <c r="Y488">
        <v>0</v>
      </c>
      <c r="AA488" t="s">
        <v>40</v>
      </c>
      <c r="AB488" t="s">
        <v>46</v>
      </c>
      <c r="AC488" t="s">
        <v>47</v>
      </c>
      <c r="AF488" t="s">
        <v>1169</v>
      </c>
      <c r="AJ488" t="s">
        <v>40</v>
      </c>
      <c r="AK488" t="s">
        <v>49</v>
      </c>
      <c r="AO488" s="1">
        <v>45945</v>
      </c>
      <c r="AP488" s="5">
        <v>0.45833333333333331</v>
      </c>
      <c r="AS488">
        <v>1</v>
      </c>
    </row>
    <row r="489" spans="1:45" x14ac:dyDescent="0.2">
      <c r="A489">
        <f t="shared" si="30"/>
        <v>2025</v>
      </c>
      <c r="B489">
        <f t="shared" si="31"/>
        <v>10</v>
      </c>
      <c r="C489">
        <f t="shared" si="32"/>
        <v>42</v>
      </c>
      <c r="D489" s="2">
        <f t="shared" si="33"/>
        <v>45945</v>
      </c>
      <c r="E489" s="1">
        <v>45945.458333333336</v>
      </c>
      <c r="F489" t="s">
        <v>1687</v>
      </c>
      <c r="G489" t="s">
        <v>36</v>
      </c>
      <c r="H489">
        <v>459545</v>
      </c>
      <c r="I489" t="s">
        <v>51</v>
      </c>
      <c r="J489" t="s">
        <v>52</v>
      </c>
      <c r="M489" t="s">
        <v>40</v>
      </c>
      <c r="N489" t="s">
        <v>41</v>
      </c>
      <c r="O489" t="s">
        <v>433</v>
      </c>
      <c r="P489">
        <v>33</v>
      </c>
      <c r="Q489">
        <v>0</v>
      </c>
      <c r="R489">
        <v>0</v>
      </c>
      <c r="S489">
        <v>0</v>
      </c>
      <c r="T489" t="s">
        <v>54</v>
      </c>
      <c r="U489" t="s">
        <v>55</v>
      </c>
      <c r="W489" t="s">
        <v>1688</v>
      </c>
      <c r="Y489">
        <v>0</v>
      </c>
      <c r="AA489" t="s">
        <v>40</v>
      </c>
      <c r="AB489" t="s">
        <v>46</v>
      </c>
      <c r="AC489" t="s">
        <v>47</v>
      </c>
      <c r="AG489" t="s">
        <v>1689</v>
      </c>
      <c r="AJ489" t="s">
        <v>40</v>
      </c>
      <c r="AK489">
        <v>5019143824</v>
      </c>
      <c r="AO489" s="1">
        <v>45945</v>
      </c>
      <c r="AP489" s="5">
        <v>0.45833333333333331</v>
      </c>
      <c r="AS489">
        <v>1</v>
      </c>
    </row>
    <row r="490" spans="1:45" x14ac:dyDescent="0.2">
      <c r="A490">
        <f t="shared" si="30"/>
        <v>2025</v>
      </c>
      <c r="B490">
        <f t="shared" si="31"/>
        <v>10</v>
      </c>
      <c r="C490">
        <f t="shared" si="32"/>
        <v>42</v>
      </c>
      <c r="D490" s="2">
        <f t="shared" si="33"/>
        <v>45945</v>
      </c>
      <c r="E490" s="1">
        <v>45945.458333333336</v>
      </c>
      <c r="F490" t="s">
        <v>1690</v>
      </c>
      <c r="G490" t="s">
        <v>36</v>
      </c>
      <c r="H490" t="s">
        <v>111</v>
      </c>
      <c r="I490" t="s">
        <v>38</v>
      </c>
      <c r="J490" t="s">
        <v>99</v>
      </c>
      <c r="M490" t="s">
        <v>40</v>
      </c>
      <c r="N490" t="s">
        <v>41</v>
      </c>
      <c r="O490" t="s">
        <v>42</v>
      </c>
      <c r="P490">
        <v>9</v>
      </c>
      <c r="Q490">
        <v>0</v>
      </c>
      <c r="R490">
        <v>0</v>
      </c>
      <c r="S490">
        <v>0</v>
      </c>
      <c r="T490" t="s">
        <v>1691</v>
      </c>
      <c r="U490" t="s">
        <v>44</v>
      </c>
      <c r="W490" t="s">
        <v>1652</v>
      </c>
      <c r="Y490">
        <v>0</v>
      </c>
      <c r="AA490" t="s">
        <v>40</v>
      </c>
      <c r="AB490" t="s">
        <v>46</v>
      </c>
      <c r="AC490" t="s">
        <v>47</v>
      </c>
      <c r="AF490" t="s">
        <v>48</v>
      </c>
      <c r="AJ490" t="s">
        <v>40</v>
      </c>
      <c r="AK490" t="s">
        <v>49</v>
      </c>
      <c r="AO490" s="1">
        <v>45945</v>
      </c>
      <c r="AP490" s="5">
        <v>0.45833333333333331</v>
      </c>
      <c r="AS490">
        <v>1</v>
      </c>
    </row>
    <row r="491" spans="1:45" x14ac:dyDescent="0.2">
      <c r="A491">
        <f t="shared" si="30"/>
        <v>2025</v>
      </c>
      <c r="B491">
        <f t="shared" si="31"/>
        <v>10</v>
      </c>
      <c r="C491">
        <f t="shared" si="32"/>
        <v>42</v>
      </c>
      <c r="D491" s="2">
        <f t="shared" si="33"/>
        <v>45945</v>
      </c>
      <c r="E491" s="1">
        <v>45945.458333333336</v>
      </c>
      <c r="F491" t="s">
        <v>1692</v>
      </c>
      <c r="G491" t="s">
        <v>36</v>
      </c>
      <c r="H491">
        <v>459523</v>
      </c>
      <c r="I491" t="s">
        <v>51</v>
      </c>
      <c r="J491" t="s">
        <v>52</v>
      </c>
      <c r="M491" t="s">
        <v>40</v>
      </c>
      <c r="N491" t="s">
        <v>41</v>
      </c>
      <c r="O491" t="s">
        <v>53</v>
      </c>
      <c r="P491">
        <v>33</v>
      </c>
      <c r="Q491">
        <v>0</v>
      </c>
      <c r="R491">
        <v>0</v>
      </c>
      <c r="S491">
        <v>0</v>
      </c>
      <c r="T491" t="s">
        <v>54</v>
      </c>
      <c r="U491" t="s">
        <v>55</v>
      </c>
      <c r="W491" t="s">
        <v>1693</v>
      </c>
      <c r="Y491">
        <v>0</v>
      </c>
      <c r="AA491" t="s">
        <v>40</v>
      </c>
      <c r="AB491" t="s">
        <v>46</v>
      </c>
      <c r="AC491" t="s">
        <v>47</v>
      </c>
      <c r="AG491" t="s">
        <v>1694</v>
      </c>
      <c r="AJ491" t="s">
        <v>40</v>
      </c>
      <c r="AK491">
        <v>5019166922</v>
      </c>
      <c r="AO491" s="1">
        <v>45945</v>
      </c>
      <c r="AP491" s="5">
        <v>0.45833333333333331</v>
      </c>
      <c r="AS491">
        <v>1</v>
      </c>
    </row>
    <row r="492" spans="1:45" x14ac:dyDescent="0.2">
      <c r="A492">
        <f t="shared" si="30"/>
        <v>2025</v>
      </c>
      <c r="B492">
        <f t="shared" si="31"/>
        <v>10</v>
      </c>
      <c r="C492">
        <f t="shared" si="32"/>
        <v>42</v>
      </c>
      <c r="D492" s="2">
        <f t="shared" si="33"/>
        <v>45945</v>
      </c>
      <c r="E492" s="1">
        <v>45945.458333333336</v>
      </c>
      <c r="F492" t="s">
        <v>1695</v>
      </c>
      <c r="G492" t="s">
        <v>36</v>
      </c>
      <c r="H492" t="s">
        <v>1696</v>
      </c>
      <c r="I492" t="s">
        <v>38</v>
      </c>
      <c r="J492" t="s">
        <v>645</v>
      </c>
      <c r="M492" t="s">
        <v>40</v>
      </c>
      <c r="N492" t="s">
        <v>41</v>
      </c>
      <c r="O492" t="s">
        <v>42</v>
      </c>
      <c r="P492">
        <v>20</v>
      </c>
      <c r="Q492">
        <v>0</v>
      </c>
      <c r="R492">
        <v>0</v>
      </c>
      <c r="S492">
        <v>0</v>
      </c>
      <c r="T492" t="s">
        <v>1697</v>
      </c>
      <c r="U492" t="s">
        <v>44</v>
      </c>
      <c r="W492" t="s">
        <v>1667</v>
      </c>
      <c r="Y492">
        <v>0</v>
      </c>
      <c r="AA492" t="s">
        <v>40</v>
      </c>
      <c r="AB492" t="s">
        <v>46</v>
      </c>
      <c r="AC492" t="s">
        <v>47</v>
      </c>
      <c r="AF492" t="s">
        <v>62</v>
      </c>
      <c r="AJ492" t="s">
        <v>40</v>
      </c>
      <c r="AK492" t="s">
        <v>49</v>
      </c>
      <c r="AN492">
        <v>35221136</v>
      </c>
      <c r="AO492" s="1">
        <v>45945</v>
      </c>
      <c r="AP492" s="5">
        <v>0.45833333333333331</v>
      </c>
      <c r="AS492">
        <v>1</v>
      </c>
    </row>
    <row r="493" spans="1:45" x14ac:dyDescent="0.2">
      <c r="A493">
        <f t="shared" si="30"/>
        <v>2025</v>
      </c>
      <c r="B493">
        <f t="shared" si="31"/>
        <v>10</v>
      </c>
      <c r="C493">
        <f t="shared" si="32"/>
        <v>42</v>
      </c>
      <c r="D493" s="2">
        <f t="shared" si="33"/>
        <v>45945</v>
      </c>
      <c r="E493" s="1">
        <v>45945.5</v>
      </c>
      <c r="F493" t="s">
        <v>1698</v>
      </c>
      <c r="G493" t="s">
        <v>36</v>
      </c>
      <c r="H493" t="s">
        <v>1699</v>
      </c>
      <c r="I493" t="s">
        <v>78</v>
      </c>
      <c r="J493" t="s">
        <v>126</v>
      </c>
      <c r="M493" t="s">
        <v>40</v>
      </c>
      <c r="N493" t="s">
        <v>41</v>
      </c>
      <c r="O493" t="s">
        <v>943</v>
      </c>
      <c r="P493">
        <v>66</v>
      </c>
      <c r="Q493">
        <v>0</v>
      </c>
      <c r="R493">
        <v>0</v>
      </c>
      <c r="S493">
        <v>0</v>
      </c>
      <c r="T493" t="s">
        <v>54</v>
      </c>
      <c r="U493" t="s">
        <v>55</v>
      </c>
      <c r="W493" t="s">
        <v>1700</v>
      </c>
      <c r="Y493">
        <v>0</v>
      </c>
      <c r="AA493" t="s">
        <v>40</v>
      </c>
      <c r="AB493" t="s">
        <v>46</v>
      </c>
      <c r="AC493" t="s">
        <v>47</v>
      </c>
      <c r="AD493" t="s">
        <v>81</v>
      </c>
      <c r="AE493" t="s">
        <v>81</v>
      </c>
      <c r="AG493" t="s">
        <v>1701</v>
      </c>
      <c r="AJ493" t="s">
        <v>40</v>
      </c>
      <c r="AK493" t="s">
        <v>1702</v>
      </c>
      <c r="AO493" s="1">
        <v>45945</v>
      </c>
      <c r="AP493" s="5">
        <v>0.5</v>
      </c>
      <c r="AS493">
        <v>1</v>
      </c>
    </row>
    <row r="494" spans="1:45" x14ac:dyDescent="0.2">
      <c r="A494">
        <f t="shared" si="30"/>
        <v>2025</v>
      </c>
      <c r="B494">
        <f t="shared" si="31"/>
        <v>10</v>
      </c>
      <c r="C494">
        <f t="shared" si="32"/>
        <v>42</v>
      </c>
      <c r="D494" s="2">
        <f t="shared" si="33"/>
        <v>45945</v>
      </c>
      <c r="E494" s="1">
        <v>45945.5</v>
      </c>
      <c r="F494" t="s">
        <v>1703</v>
      </c>
      <c r="G494" t="s">
        <v>36</v>
      </c>
      <c r="H494">
        <v>456567</v>
      </c>
      <c r="I494" t="s">
        <v>51</v>
      </c>
      <c r="J494" t="s">
        <v>52</v>
      </c>
      <c r="M494" t="s">
        <v>40</v>
      </c>
      <c r="N494" t="s">
        <v>41</v>
      </c>
      <c r="O494" t="s">
        <v>53</v>
      </c>
      <c r="P494">
        <v>33</v>
      </c>
      <c r="Q494">
        <v>0</v>
      </c>
      <c r="R494">
        <v>0</v>
      </c>
      <c r="S494">
        <v>0</v>
      </c>
      <c r="T494" t="s">
        <v>54</v>
      </c>
      <c r="U494" t="s">
        <v>55</v>
      </c>
      <c r="W494" t="s">
        <v>1553</v>
      </c>
      <c r="Y494">
        <v>0</v>
      </c>
      <c r="AA494" t="s">
        <v>40</v>
      </c>
      <c r="AB494" t="s">
        <v>46</v>
      </c>
      <c r="AC494" t="s">
        <v>47</v>
      </c>
      <c r="AG494" t="s">
        <v>1704</v>
      </c>
      <c r="AJ494" t="s">
        <v>40</v>
      </c>
      <c r="AK494">
        <v>5019154239</v>
      </c>
      <c r="AO494" s="1">
        <v>45945</v>
      </c>
      <c r="AP494" s="5">
        <v>0.5</v>
      </c>
      <c r="AS494">
        <v>1</v>
      </c>
    </row>
    <row r="495" spans="1:45" x14ac:dyDescent="0.2">
      <c r="A495">
        <f t="shared" si="30"/>
        <v>2025</v>
      </c>
      <c r="B495">
        <f t="shared" si="31"/>
        <v>10</v>
      </c>
      <c r="C495">
        <f t="shared" si="32"/>
        <v>42</v>
      </c>
      <c r="D495" s="2">
        <f t="shared" si="33"/>
        <v>45945</v>
      </c>
      <c r="E495" s="1">
        <v>45945.5</v>
      </c>
      <c r="F495" t="s">
        <v>1705</v>
      </c>
      <c r="G495" t="s">
        <v>36</v>
      </c>
      <c r="H495" t="s">
        <v>106</v>
      </c>
      <c r="I495" t="s">
        <v>38</v>
      </c>
      <c r="J495" t="s">
        <v>107</v>
      </c>
      <c r="M495" t="s">
        <v>40</v>
      </c>
      <c r="N495" t="s">
        <v>41</v>
      </c>
      <c r="O495" t="s">
        <v>42</v>
      </c>
      <c r="P495">
        <v>33</v>
      </c>
      <c r="Q495">
        <v>0</v>
      </c>
      <c r="R495">
        <v>0</v>
      </c>
      <c r="S495">
        <v>0</v>
      </c>
      <c r="T495">
        <v>5019166373</v>
      </c>
      <c r="U495" t="s">
        <v>44</v>
      </c>
      <c r="W495" t="s">
        <v>1686</v>
      </c>
      <c r="Y495">
        <v>0</v>
      </c>
      <c r="AA495" t="s">
        <v>40</v>
      </c>
      <c r="AB495" t="s">
        <v>46</v>
      </c>
      <c r="AC495" t="s">
        <v>47</v>
      </c>
      <c r="AF495" t="s">
        <v>109</v>
      </c>
      <c r="AJ495" t="s">
        <v>40</v>
      </c>
      <c r="AK495" t="s">
        <v>49</v>
      </c>
      <c r="AO495" s="1">
        <v>45945</v>
      </c>
      <c r="AP495" s="5">
        <v>0.5</v>
      </c>
      <c r="AS495">
        <v>1</v>
      </c>
    </row>
    <row r="496" spans="1:45" x14ac:dyDescent="0.2">
      <c r="A496">
        <f t="shared" si="30"/>
        <v>2025</v>
      </c>
      <c r="B496">
        <f t="shared" si="31"/>
        <v>10</v>
      </c>
      <c r="C496">
        <f t="shared" si="32"/>
        <v>42</v>
      </c>
      <c r="D496" s="2">
        <f t="shared" si="33"/>
        <v>45945</v>
      </c>
      <c r="E496" s="1">
        <v>45945.5</v>
      </c>
      <c r="F496" t="s">
        <v>1706</v>
      </c>
      <c r="G496" t="s">
        <v>36</v>
      </c>
      <c r="H496">
        <v>456580</v>
      </c>
      <c r="I496" t="s">
        <v>51</v>
      </c>
      <c r="J496" t="s">
        <v>144</v>
      </c>
      <c r="M496" t="s">
        <v>40</v>
      </c>
      <c r="N496" t="s">
        <v>41</v>
      </c>
      <c r="O496" t="s">
        <v>53</v>
      </c>
      <c r="P496">
        <v>33</v>
      </c>
      <c r="Q496">
        <v>0</v>
      </c>
      <c r="R496">
        <v>0</v>
      </c>
      <c r="S496">
        <v>0</v>
      </c>
      <c r="T496" t="s">
        <v>54</v>
      </c>
      <c r="U496" t="s">
        <v>55</v>
      </c>
      <c r="W496" t="s">
        <v>1707</v>
      </c>
      <c r="X496" t="s">
        <v>1708</v>
      </c>
      <c r="Y496">
        <v>0</v>
      </c>
      <c r="AA496" t="s">
        <v>40</v>
      </c>
      <c r="AB496" t="s">
        <v>46</v>
      </c>
      <c r="AC496" t="s">
        <v>47</v>
      </c>
      <c r="AG496" t="s">
        <v>1709</v>
      </c>
      <c r="AJ496" t="s">
        <v>40</v>
      </c>
      <c r="AK496">
        <v>5019165591</v>
      </c>
      <c r="AL496" t="s">
        <v>1710</v>
      </c>
      <c r="AM496" t="s">
        <v>1711</v>
      </c>
      <c r="AO496" s="1">
        <v>45945</v>
      </c>
      <c r="AP496" s="5">
        <v>0.5</v>
      </c>
      <c r="AS496">
        <v>1</v>
      </c>
    </row>
    <row r="497" spans="1:45" x14ac:dyDescent="0.2">
      <c r="A497">
        <f t="shared" si="30"/>
        <v>2025</v>
      </c>
      <c r="B497">
        <f t="shared" si="31"/>
        <v>10</v>
      </c>
      <c r="C497">
        <f t="shared" si="32"/>
        <v>42</v>
      </c>
      <c r="D497" s="2">
        <f t="shared" si="33"/>
        <v>45945</v>
      </c>
      <c r="E497" s="1">
        <v>45945.541666666664</v>
      </c>
      <c r="F497" t="s">
        <v>1712</v>
      </c>
      <c r="G497" t="s">
        <v>36</v>
      </c>
      <c r="H497" t="s">
        <v>37</v>
      </c>
      <c r="I497" t="s">
        <v>38</v>
      </c>
      <c r="J497" t="s">
        <v>39</v>
      </c>
      <c r="M497" t="s">
        <v>40</v>
      </c>
      <c r="N497" t="s">
        <v>41</v>
      </c>
      <c r="O497" t="s">
        <v>42</v>
      </c>
      <c r="P497">
        <v>23</v>
      </c>
      <c r="Q497">
        <v>0</v>
      </c>
      <c r="R497">
        <v>0</v>
      </c>
      <c r="S497">
        <v>0</v>
      </c>
      <c r="T497" t="s">
        <v>1713</v>
      </c>
      <c r="U497" t="s">
        <v>44</v>
      </c>
      <c r="W497" t="s">
        <v>1652</v>
      </c>
      <c r="Y497">
        <v>0</v>
      </c>
      <c r="AA497" t="s">
        <v>40</v>
      </c>
      <c r="AB497" t="s">
        <v>46</v>
      </c>
      <c r="AC497" t="s">
        <v>47</v>
      </c>
      <c r="AF497" t="s">
        <v>48</v>
      </c>
      <c r="AJ497" t="s">
        <v>40</v>
      </c>
      <c r="AK497" t="s">
        <v>49</v>
      </c>
      <c r="AO497" s="1">
        <v>45945</v>
      </c>
      <c r="AP497" s="5">
        <v>0.54166666666666663</v>
      </c>
      <c r="AS497">
        <v>1</v>
      </c>
    </row>
    <row r="498" spans="1:45" x14ac:dyDescent="0.2">
      <c r="A498">
        <f t="shared" si="30"/>
        <v>2025</v>
      </c>
      <c r="B498">
        <f t="shared" si="31"/>
        <v>10</v>
      </c>
      <c r="C498">
        <f t="shared" si="32"/>
        <v>42</v>
      </c>
      <c r="D498" s="2">
        <f t="shared" si="33"/>
        <v>45945</v>
      </c>
      <c r="E498" s="1">
        <v>45945.541666666664</v>
      </c>
      <c r="F498" t="s">
        <v>1714</v>
      </c>
      <c r="G498" t="s">
        <v>36</v>
      </c>
      <c r="H498" t="s">
        <v>37</v>
      </c>
      <c r="I498" t="s">
        <v>38</v>
      </c>
      <c r="J498" t="s">
        <v>112</v>
      </c>
      <c r="M498" t="s">
        <v>40</v>
      </c>
      <c r="N498" t="s">
        <v>41</v>
      </c>
      <c r="O498" t="s">
        <v>42</v>
      </c>
      <c r="P498">
        <v>23</v>
      </c>
      <c r="Q498">
        <v>0</v>
      </c>
      <c r="R498">
        <v>0</v>
      </c>
      <c r="S498">
        <v>0</v>
      </c>
      <c r="T498" t="s">
        <v>1715</v>
      </c>
      <c r="U498" t="s">
        <v>44</v>
      </c>
      <c r="W498" t="s">
        <v>1652</v>
      </c>
      <c r="Y498">
        <v>0</v>
      </c>
      <c r="AA498" t="s">
        <v>40</v>
      </c>
      <c r="AB498" t="s">
        <v>46</v>
      </c>
      <c r="AC498" t="s">
        <v>47</v>
      </c>
      <c r="AF498" t="s">
        <v>48</v>
      </c>
      <c r="AJ498" t="s">
        <v>40</v>
      </c>
      <c r="AK498" t="s">
        <v>49</v>
      </c>
      <c r="AO498" s="1">
        <v>45945</v>
      </c>
      <c r="AP498" s="5">
        <v>0.54166666666666663</v>
      </c>
      <c r="AS498">
        <v>1</v>
      </c>
    </row>
    <row r="499" spans="1:45" x14ac:dyDescent="0.2">
      <c r="A499">
        <f t="shared" si="30"/>
        <v>2025</v>
      </c>
      <c r="B499">
        <f t="shared" si="31"/>
        <v>10</v>
      </c>
      <c r="C499">
        <f t="shared" si="32"/>
        <v>42</v>
      </c>
      <c r="D499" s="2">
        <f t="shared" si="33"/>
        <v>45945</v>
      </c>
      <c r="E499" s="1">
        <v>45945.541666666664</v>
      </c>
      <c r="F499" t="s">
        <v>1716</v>
      </c>
      <c r="G499" t="s">
        <v>36</v>
      </c>
      <c r="H499">
        <v>459301</v>
      </c>
      <c r="I499" t="s">
        <v>51</v>
      </c>
      <c r="J499" t="s">
        <v>52</v>
      </c>
      <c r="M499" t="s">
        <v>40</v>
      </c>
      <c r="N499" t="s">
        <v>41</v>
      </c>
      <c r="O499" t="s">
        <v>53</v>
      </c>
      <c r="P499">
        <v>33</v>
      </c>
      <c r="Q499">
        <v>0</v>
      </c>
      <c r="R499">
        <v>0</v>
      </c>
      <c r="S499">
        <v>0</v>
      </c>
      <c r="T499" t="s">
        <v>54</v>
      </c>
      <c r="U499" t="s">
        <v>55</v>
      </c>
      <c r="W499" t="s">
        <v>1553</v>
      </c>
      <c r="Y499">
        <v>0</v>
      </c>
      <c r="AA499" t="s">
        <v>40</v>
      </c>
      <c r="AB499" t="s">
        <v>46</v>
      </c>
      <c r="AC499" t="s">
        <v>47</v>
      </c>
      <c r="AG499" t="s">
        <v>1717</v>
      </c>
      <c r="AJ499" t="s">
        <v>40</v>
      </c>
      <c r="AK499">
        <v>5019141165</v>
      </c>
      <c r="AO499" s="1">
        <v>45945</v>
      </c>
      <c r="AP499" s="5">
        <v>0.54166666666666663</v>
      </c>
      <c r="AS499">
        <v>1</v>
      </c>
    </row>
    <row r="500" spans="1:45" x14ac:dyDescent="0.2">
      <c r="A500">
        <f t="shared" si="30"/>
        <v>2025</v>
      </c>
      <c r="B500">
        <f t="shared" si="31"/>
        <v>10</v>
      </c>
      <c r="C500">
        <f t="shared" si="32"/>
        <v>42</v>
      </c>
      <c r="D500" s="2">
        <f t="shared" si="33"/>
        <v>45945</v>
      </c>
      <c r="E500" s="1">
        <v>45945.541666666664</v>
      </c>
      <c r="F500" t="s">
        <v>1718</v>
      </c>
      <c r="G500" t="s">
        <v>36</v>
      </c>
      <c r="H500" t="s">
        <v>1054</v>
      </c>
      <c r="I500" t="s">
        <v>38</v>
      </c>
      <c r="J500" t="s">
        <v>348</v>
      </c>
      <c r="M500" t="s">
        <v>40</v>
      </c>
      <c r="N500" t="s">
        <v>41</v>
      </c>
      <c r="O500" t="s">
        <v>42</v>
      </c>
      <c r="P500">
        <v>17</v>
      </c>
      <c r="Q500">
        <v>0</v>
      </c>
      <c r="R500">
        <v>0</v>
      </c>
      <c r="S500">
        <v>0</v>
      </c>
      <c r="T500" t="s">
        <v>1719</v>
      </c>
      <c r="U500" t="s">
        <v>44</v>
      </c>
      <c r="W500" t="s">
        <v>1652</v>
      </c>
      <c r="Y500">
        <v>0</v>
      </c>
      <c r="AA500" t="s">
        <v>40</v>
      </c>
      <c r="AB500" t="s">
        <v>46</v>
      </c>
      <c r="AC500" t="s">
        <v>47</v>
      </c>
      <c r="AF500" t="s">
        <v>48</v>
      </c>
      <c r="AJ500" t="s">
        <v>40</v>
      </c>
      <c r="AK500" t="s">
        <v>49</v>
      </c>
      <c r="AO500" s="1">
        <v>45945</v>
      </c>
      <c r="AP500" s="5">
        <v>0.54166666666666663</v>
      </c>
      <c r="AS500">
        <v>1</v>
      </c>
    </row>
    <row r="501" spans="1:45" x14ac:dyDescent="0.2">
      <c r="A501">
        <f t="shared" si="30"/>
        <v>2025</v>
      </c>
      <c r="B501">
        <f t="shared" si="31"/>
        <v>10</v>
      </c>
      <c r="C501">
        <f t="shared" si="32"/>
        <v>42</v>
      </c>
      <c r="D501" s="2">
        <f t="shared" si="33"/>
        <v>45945</v>
      </c>
      <c r="E501" s="1">
        <v>45945.583333333336</v>
      </c>
      <c r="F501" t="s">
        <v>1720</v>
      </c>
      <c r="G501" t="s">
        <v>36</v>
      </c>
      <c r="H501" t="s">
        <v>37</v>
      </c>
      <c r="I501" t="s">
        <v>38</v>
      </c>
      <c r="J501" t="s">
        <v>112</v>
      </c>
      <c r="M501" t="s">
        <v>40</v>
      </c>
      <c r="N501" t="s">
        <v>41</v>
      </c>
      <c r="O501" t="s">
        <v>42</v>
      </c>
      <c r="P501">
        <v>23</v>
      </c>
      <c r="Q501">
        <v>0</v>
      </c>
      <c r="R501">
        <v>0</v>
      </c>
      <c r="S501">
        <v>0</v>
      </c>
      <c r="T501" t="s">
        <v>1721</v>
      </c>
      <c r="U501" t="s">
        <v>44</v>
      </c>
      <c r="W501" t="s">
        <v>1652</v>
      </c>
      <c r="Y501">
        <v>0</v>
      </c>
      <c r="AA501" t="s">
        <v>40</v>
      </c>
      <c r="AB501" t="s">
        <v>46</v>
      </c>
      <c r="AC501" t="s">
        <v>47</v>
      </c>
      <c r="AF501" t="s">
        <v>48</v>
      </c>
      <c r="AJ501" t="s">
        <v>40</v>
      </c>
      <c r="AK501" t="s">
        <v>49</v>
      </c>
      <c r="AO501" s="1">
        <v>45945</v>
      </c>
      <c r="AP501" s="5">
        <v>0.58333333333333337</v>
      </c>
      <c r="AS501">
        <v>1</v>
      </c>
    </row>
    <row r="502" spans="1:45" x14ac:dyDescent="0.2">
      <c r="A502">
        <f t="shared" si="30"/>
        <v>2025</v>
      </c>
      <c r="B502">
        <f t="shared" si="31"/>
        <v>10</v>
      </c>
      <c r="C502">
        <f t="shared" si="32"/>
        <v>42</v>
      </c>
      <c r="D502" s="2">
        <f t="shared" si="33"/>
        <v>45945</v>
      </c>
      <c r="E502" s="1">
        <v>45945.583333333336</v>
      </c>
      <c r="F502" t="s">
        <v>1722</v>
      </c>
      <c r="G502" t="s">
        <v>36</v>
      </c>
      <c r="H502" t="s">
        <v>111</v>
      </c>
      <c r="I502" t="s">
        <v>38</v>
      </c>
      <c r="J502" t="s">
        <v>99</v>
      </c>
      <c r="M502" t="s">
        <v>40</v>
      </c>
      <c r="N502" t="s">
        <v>41</v>
      </c>
      <c r="O502" t="s">
        <v>42</v>
      </c>
      <c r="P502">
        <v>23</v>
      </c>
      <c r="Q502">
        <v>0</v>
      </c>
      <c r="R502">
        <v>0</v>
      </c>
      <c r="S502">
        <v>0</v>
      </c>
      <c r="T502" t="s">
        <v>1723</v>
      </c>
      <c r="U502" t="s">
        <v>44</v>
      </c>
      <c r="W502" t="s">
        <v>1652</v>
      </c>
      <c r="Y502">
        <v>0</v>
      </c>
      <c r="AA502" t="s">
        <v>40</v>
      </c>
      <c r="AB502" t="s">
        <v>46</v>
      </c>
      <c r="AC502" t="s">
        <v>47</v>
      </c>
      <c r="AF502" t="s">
        <v>48</v>
      </c>
      <c r="AJ502" t="s">
        <v>40</v>
      </c>
      <c r="AK502" t="s">
        <v>49</v>
      </c>
      <c r="AO502" s="1">
        <v>45945</v>
      </c>
      <c r="AP502" s="5">
        <v>0.58333333333333337</v>
      </c>
      <c r="AS502">
        <v>1</v>
      </c>
    </row>
    <row r="503" spans="1:45" x14ac:dyDescent="0.2">
      <c r="A503">
        <f t="shared" si="30"/>
        <v>2025</v>
      </c>
      <c r="B503">
        <f t="shared" si="31"/>
        <v>10</v>
      </c>
      <c r="C503">
        <f t="shared" si="32"/>
        <v>42</v>
      </c>
      <c r="D503" s="2">
        <f t="shared" si="33"/>
        <v>45945</v>
      </c>
      <c r="E503" s="1">
        <v>45945.583333333336</v>
      </c>
      <c r="F503" t="s">
        <v>1724</v>
      </c>
      <c r="G503" t="s">
        <v>36</v>
      </c>
      <c r="H503">
        <v>453880</v>
      </c>
      <c r="I503" t="s">
        <v>51</v>
      </c>
      <c r="J503" t="s">
        <v>154</v>
      </c>
      <c r="M503" t="s">
        <v>40</v>
      </c>
      <c r="N503" t="s">
        <v>41</v>
      </c>
      <c r="O503" t="s">
        <v>155</v>
      </c>
      <c r="P503">
        <v>33</v>
      </c>
      <c r="Q503">
        <v>0</v>
      </c>
      <c r="R503">
        <v>0</v>
      </c>
      <c r="S503">
        <v>0</v>
      </c>
      <c r="T503" t="s">
        <v>54</v>
      </c>
      <c r="U503" t="s">
        <v>55</v>
      </c>
      <c r="W503" t="s">
        <v>1652</v>
      </c>
      <c r="Y503">
        <v>0</v>
      </c>
      <c r="AA503" t="s">
        <v>40</v>
      </c>
      <c r="AB503" t="s">
        <v>46</v>
      </c>
      <c r="AC503" t="s">
        <v>47</v>
      </c>
      <c r="AG503" t="s">
        <v>1725</v>
      </c>
      <c r="AJ503" t="s">
        <v>40</v>
      </c>
      <c r="AK503">
        <v>5019165023</v>
      </c>
      <c r="AO503" s="1">
        <v>45945</v>
      </c>
      <c r="AP503" s="5">
        <v>0.58333333333333337</v>
      </c>
      <c r="AS503">
        <v>1</v>
      </c>
    </row>
    <row r="504" spans="1:45" x14ac:dyDescent="0.2">
      <c r="A504">
        <f t="shared" si="30"/>
        <v>2025</v>
      </c>
      <c r="B504">
        <f t="shared" si="31"/>
        <v>10</v>
      </c>
      <c r="C504">
        <f t="shared" si="32"/>
        <v>42</v>
      </c>
      <c r="D504" s="2">
        <f t="shared" si="33"/>
        <v>45945</v>
      </c>
      <c r="E504" s="1">
        <v>45945.625</v>
      </c>
      <c r="F504" t="s">
        <v>1726</v>
      </c>
      <c r="G504" t="s">
        <v>36</v>
      </c>
      <c r="H504" t="s">
        <v>111</v>
      </c>
      <c r="I504" t="s">
        <v>38</v>
      </c>
      <c r="J504" t="s">
        <v>99</v>
      </c>
      <c r="M504" t="s">
        <v>40</v>
      </c>
      <c r="N504" t="s">
        <v>41</v>
      </c>
      <c r="O504" t="s">
        <v>42</v>
      </c>
      <c r="P504">
        <v>23</v>
      </c>
      <c r="Q504">
        <v>0</v>
      </c>
      <c r="R504">
        <v>0</v>
      </c>
      <c r="S504">
        <v>0</v>
      </c>
      <c r="T504" t="s">
        <v>1727</v>
      </c>
      <c r="U504" t="s">
        <v>44</v>
      </c>
      <c r="W504" t="s">
        <v>1652</v>
      </c>
      <c r="Y504">
        <v>0</v>
      </c>
      <c r="AA504" t="s">
        <v>40</v>
      </c>
      <c r="AB504" t="s">
        <v>46</v>
      </c>
      <c r="AC504" t="s">
        <v>47</v>
      </c>
      <c r="AF504" t="s">
        <v>48</v>
      </c>
      <c r="AJ504" t="s">
        <v>40</v>
      </c>
      <c r="AK504" t="s">
        <v>49</v>
      </c>
      <c r="AO504" s="1">
        <v>45945</v>
      </c>
      <c r="AP504" s="5">
        <v>0.625</v>
      </c>
      <c r="AS504">
        <v>1</v>
      </c>
    </row>
    <row r="505" spans="1:45" x14ac:dyDescent="0.2">
      <c r="A505">
        <f t="shared" si="30"/>
        <v>2025</v>
      </c>
      <c r="B505">
        <f t="shared" si="31"/>
        <v>10</v>
      </c>
      <c r="C505">
        <f t="shared" si="32"/>
        <v>42</v>
      </c>
      <c r="D505" s="2">
        <f t="shared" si="33"/>
        <v>45945</v>
      </c>
      <c r="E505" s="1">
        <v>45945.625</v>
      </c>
      <c r="F505" t="s">
        <v>1728</v>
      </c>
      <c r="G505" t="s">
        <v>36</v>
      </c>
      <c r="H505" t="s">
        <v>1729</v>
      </c>
      <c r="I505" t="s">
        <v>218</v>
      </c>
      <c r="J505" t="s">
        <v>200</v>
      </c>
      <c r="M505" t="s">
        <v>40</v>
      </c>
      <c r="N505" t="s">
        <v>41</v>
      </c>
      <c r="O505" t="s">
        <v>1730</v>
      </c>
      <c r="P505">
        <v>99</v>
      </c>
      <c r="Q505">
        <v>0</v>
      </c>
      <c r="R505">
        <v>0</v>
      </c>
      <c r="S505">
        <v>0</v>
      </c>
      <c r="T505" t="s">
        <v>54</v>
      </c>
      <c r="U505" t="s">
        <v>55</v>
      </c>
      <c r="W505" t="s">
        <v>1731</v>
      </c>
      <c r="Y505">
        <v>0</v>
      </c>
      <c r="AA505" t="s">
        <v>40</v>
      </c>
      <c r="AB505" t="s">
        <v>46</v>
      </c>
      <c r="AC505" t="s">
        <v>47</v>
      </c>
      <c r="AD505" t="s">
        <v>223</v>
      </c>
      <c r="AE505" t="s">
        <v>223</v>
      </c>
      <c r="AG505" t="s">
        <v>1732</v>
      </c>
      <c r="AJ505" t="s">
        <v>40</v>
      </c>
      <c r="AK505" t="s">
        <v>1733</v>
      </c>
      <c r="AO505" s="1">
        <v>45945</v>
      </c>
      <c r="AP505" s="5">
        <v>0.625</v>
      </c>
      <c r="AS505">
        <v>1</v>
      </c>
    </row>
    <row r="506" spans="1:45" x14ac:dyDescent="0.2">
      <c r="A506">
        <f t="shared" si="30"/>
        <v>2025</v>
      </c>
      <c r="B506">
        <f t="shared" si="31"/>
        <v>10</v>
      </c>
      <c r="C506">
        <f t="shared" si="32"/>
        <v>42</v>
      </c>
      <c r="D506" s="2">
        <f t="shared" si="33"/>
        <v>45945</v>
      </c>
      <c r="E506" s="1">
        <v>45945.625</v>
      </c>
      <c r="F506" t="s">
        <v>1734</v>
      </c>
      <c r="G506" t="s">
        <v>36</v>
      </c>
      <c r="H506" t="s">
        <v>37</v>
      </c>
      <c r="I506" t="s">
        <v>38</v>
      </c>
      <c r="J506" t="s">
        <v>39</v>
      </c>
      <c r="M506" t="s">
        <v>40</v>
      </c>
      <c r="N506" t="s">
        <v>41</v>
      </c>
      <c r="O506" t="s">
        <v>42</v>
      </c>
      <c r="P506">
        <v>23</v>
      </c>
      <c r="Q506">
        <v>0</v>
      </c>
      <c r="R506">
        <v>0</v>
      </c>
      <c r="S506">
        <v>0</v>
      </c>
      <c r="T506" t="s">
        <v>1735</v>
      </c>
      <c r="U506" t="s">
        <v>44</v>
      </c>
      <c r="W506" t="s">
        <v>1652</v>
      </c>
      <c r="Y506">
        <v>0</v>
      </c>
      <c r="AA506" t="s">
        <v>40</v>
      </c>
      <c r="AB506" t="s">
        <v>46</v>
      </c>
      <c r="AC506" t="s">
        <v>47</v>
      </c>
      <c r="AF506" t="s">
        <v>48</v>
      </c>
      <c r="AJ506" t="s">
        <v>40</v>
      </c>
      <c r="AK506" t="s">
        <v>49</v>
      </c>
      <c r="AO506" s="1">
        <v>45945</v>
      </c>
      <c r="AP506" s="5">
        <v>0.625</v>
      </c>
      <c r="AS506">
        <v>1</v>
      </c>
    </row>
    <row r="507" spans="1:45" x14ac:dyDescent="0.2">
      <c r="A507">
        <f t="shared" si="30"/>
        <v>2025</v>
      </c>
      <c r="B507">
        <f t="shared" si="31"/>
        <v>10</v>
      </c>
      <c r="C507">
        <f t="shared" si="32"/>
        <v>42</v>
      </c>
      <c r="D507" s="2">
        <f t="shared" si="33"/>
        <v>45945</v>
      </c>
      <c r="E507" s="1">
        <v>45945.666666666664</v>
      </c>
      <c r="F507" t="s">
        <v>1736</v>
      </c>
      <c r="G507" t="s">
        <v>36</v>
      </c>
      <c r="H507" t="s">
        <v>1054</v>
      </c>
      <c r="I507" t="s">
        <v>38</v>
      </c>
      <c r="J507" t="s">
        <v>348</v>
      </c>
      <c r="M507" t="s">
        <v>40</v>
      </c>
      <c r="N507" t="s">
        <v>41</v>
      </c>
      <c r="O507" t="s">
        <v>42</v>
      </c>
      <c r="P507">
        <v>23</v>
      </c>
      <c r="Q507">
        <v>0</v>
      </c>
      <c r="R507">
        <v>0</v>
      </c>
      <c r="S507">
        <v>0</v>
      </c>
      <c r="T507" t="s">
        <v>1737</v>
      </c>
      <c r="U507" t="s">
        <v>44</v>
      </c>
      <c r="W507" t="s">
        <v>1738</v>
      </c>
      <c r="Y507">
        <v>0</v>
      </c>
      <c r="AA507" t="s">
        <v>40</v>
      </c>
      <c r="AB507" t="s">
        <v>46</v>
      </c>
      <c r="AC507" t="s">
        <v>47</v>
      </c>
      <c r="AF507" t="s">
        <v>48</v>
      </c>
      <c r="AJ507" t="s">
        <v>40</v>
      </c>
      <c r="AK507" t="s">
        <v>49</v>
      </c>
      <c r="AO507" s="1">
        <v>45945</v>
      </c>
      <c r="AP507" s="5">
        <v>0.66666666666666663</v>
      </c>
      <c r="AS507">
        <v>1</v>
      </c>
    </row>
    <row r="508" spans="1:45" x14ac:dyDescent="0.2">
      <c r="A508">
        <f t="shared" si="30"/>
        <v>2025</v>
      </c>
      <c r="B508">
        <f t="shared" si="31"/>
        <v>10</v>
      </c>
      <c r="C508">
        <f t="shared" si="32"/>
        <v>42</v>
      </c>
      <c r="D508" s="2">
        <f t="shared" si="33"/>
        <v>45945</v>
      </c>
      <c r="E508" s="1">
        <v>45945.666666666664</v>
      </c>
      <c r="F508" t="s">
        <v>1739</v>
      </c>
      <c r="G508" t="s">
        <v>36</v>
      </c>
      <c r="H508">
        <v>457742</v>
      </c>
      <c r="I508" t="s">
        <v>51</v>
      </c>
      <c r="J508" t="s">
        <v>154</v>
      </c>
      <c r="M508" t="s">
        <v>40</v>
      </c>
      <c r="N508" t="s">
        <v>41</v>
      </c>
      <c r="O508" t="s">
        <v>155</v>
      </c>
      <c r="P508">
        <v>33</v>
      </c>
      <c r="Q508">
        <v>0</v>
      </c>
      <c r="R508">
        <v>0</v>
      </c>
      <c r="S508">
        <v>0</v>
      </c>
      <c r="T508" t="s">
        <v>54</v>
      </c>
      <c r="U508" t="s">
        <v>55</v>
      </c>
      <c r="W508" t="s">
        <v>1652</v>
      </c>
      <c r="Y508">
        <v>0</v>
      </c>
      <c r="AA508" t="s">
        <v>40</v>
      </c>
      <c r="AB508" t="s">
        <v>46</v>
      </c>
      <c r="AC508" t="s">
        <v>47</v>
      </c>
      <c r="AG508" t="s">
        <v>1740</v>
      </c>
      <c r="AJ508" t="s">
        <v>40</v>
      </c>
      <c r="AK508">
        <v>5019170350</v>
      </c>
      <c r="AO508" s="1">
        <v>45945</v>
      </c>
      <c r="AP508" s="5">
        <v>0.66666666666666663</v>
      </c>
      <c r="AS508">
        <v>1</v>
      </c>
    </row>
    <row r="509" spans="1:45" x14ac:dyDescent="0.2">
      <c r="A509">
        <f t="shared" si="30"/>
        <v>2025</v>
      </c>
      <c r="B509">
        <f t="shared" si="31"/>
        <v>10</v>
      </c>
      <c r="C509">
        <f t="shared" si="32"/>
        <v>42</v>
      </c>
      <c r="D509" s="2">
        <f t="shared" si="33"/>
        <v>45945</v>
      </c>
      <c r="E509" s="1">
        <v>45945.666666666664</v>
      </c>
      <c r="F509" t="s">
        <v>1741</v>
      </c>
      <c r="G509" t="s">
        <v>36</v>
      </c>
      <c r="H509" t="s">
        <v>1054</v>
      </c>
      <c r="I509" t="s">
        <v>38</v>
      </c>
      <c r="J509" t="s">
        <v>348</v>
      </c>
      <c r="M509" t="s">
        <v>40</v>
      </c>
      <c r="N509" t="s">
        <v>41</v>
      </c>
      <c r="O509" t="s">
        <v>42</v>
      </c>
      <c r="P509">
        <v>23</v>
      </c>
      <c r="Q509">
        <v>0</v>
      </c>
      <c r="R509">
        <v>0</v>
      </c>
      <c r="S509">
        <v>0</v>
      </c>
      <c r="T509" t="s">
        <v>1742</v>
      </c>
      <c r="U509" t="s">
        <v>44</v>
      </c>
      <c r="W509" t="s">
        <v>1652</v>
      </c>
      <c r="Y509">
        <v>0</v>
      </c>
      <c r="AA509" t="s">
        <v>40</v>
      </c>
      <c r="AB509" t="s">
        <v>46</v>
      </c>
      <c r="AC509" t="s">
        <v>47</v>
      </c>
      <c r="AF509" t="s">
        <v>48</v>
      </c>
      <c r="AJ509" t="s">
        <v>40</v>
      </c>
      <c r="AK509" t="s">
        <v>49</v>
      </c>
      <c r="AO509" s="1">
        <v>45945</v>
      </c>
      <c r="AP509" s="5">
        <v>0.66666666666666663</v>
      </c>
      <c r="AS509">
        <v>1</v>
      </c>
    </row>
    <row r="510" spans="1:45" x14ac:dyDescent="0.2">
      <c r="A510">
        <f t="shared" si="30"/>
        <v>2025</v>
      </c>
      <c r="B510">
        <f t="shared" si="31"/>
        <v>10</v>
      </c>
      <c r="C510">
        <f t="shared" si="32"/>
        <v>42</v>
      </c>
      <c r="D510" s="2">
        <f t="shared" si="33"/>
        <v>45945</v>
      </c>
      <c r="E510" s="1">
        <v>45945.666666666664</v>
      </c>
      <c r="F510" t="s">
        <v>1743</v>
      </c>
      <c r="G510" t="s">
        <v>36</v>
      </c>
      <c r="H510" t="s">
        <v>111</v>
      </c>
      <c r="I510" t="s">
        <v>38</v>
      </c>
      <c r="J510" t="s">
        <v>99</v>
      </c>
      <c r="M510" t="s">
        <v>40</v>
      </c>
      <c r="N510" t="s">
        <v>41</v>
      </c>
      <c r="O510" t="s">
        <v>42</v>
      </c>
      <c r="P510">
        <v>23</v>
      </c>
      <c r="Q510">
        <v>0</v>
      </c>
      <c r="R510">
        <v>0</v>
      </c>
      <c r="S510">
        <v>0</v>
      </c>
      <c r="T510" t="s">
        <v>1744</v>
      </c>
      <c r="U510" t="s">
        <v>44</v>
      </c>
      <c r="W510" t="s">
        <v>1652</v>
      </c>
      <c r="Y510">
        <v>0</v>
      </c>
      <c r="AA510" t="s">
        <v>40</v>
      </c>
      <c r="AB510" t="s">
        <v>46</v>
      </c>
      <c r="AC510" t="s">
        <v>47</v>
      </c>
      <c r="AF510" t="s">
        <v>48</v>
      </c>
      <c r="AJ510" t="s">
        <v>40</v>
      </c>
      <c r="AK510" t="s">
        <v>49</v>
      </c>
      <c r="AO510" s="1">
        <v>45945</v>
      </c>
      <c r="AP510" s="5">
        <v>0.66666666666666663</v>
      </c>
      <c r="AS510">
        <v>1</v>
      </c>
    </row>
    <row r="511" spans="1:45" x14ac:dyDescent="0.2">
      <c r="A511">
        <f t="shared" si="30"/>
        <v>2025</v>
      </c>
      <c r="B511">
        <f t="shared" si="31"/>
        <v>10</v>
      </c>
      <c r="C511">
        <f t="shared" si="32"/>
        <v>42</v>
      </c>
      <c r="D511" s="2">
        <f t="shared" si="33"/>
        <v>45945</v>
      </c>
      <c r="E511" s="1">
        <v>45945.708333333336</v>
      </c>
      <c r="F511" t="s">
        <v>1745</v>
      </c>
      <c r="G511" t="s">
        <v>36</v>
      </c>
      <c r="H511">
        <v>453835</v>
      </c>
      <c r="I511" t="s">
        <v>51</v>
      </c>
      <c r="J511" t="s">
        <v>188</v>
      </c>
      <c r="M511" t="s">
        <v>40</v>
      </c>
      <c r="N511" t="s">
        <v>41</v>
      </c>
      <c r="O511" t="s">
        <v>189</v>
      </c>
      <c r="P511">
        <v>33</v>
      </c>
      <c r="Q511">
        <v>0</v>
      </c>
      <c r="R511">
        <v>0</v>
      </c>
      <c r="S511">
        <v>0</v>
      </c>
      <c r="T511" t="s">
        <v>54</v>
      </c>
      <c r="U511" t="s">
        <v>55</v>
      </c>
      <c r="W511" t="s">
        <v>1576</v>
      </c>
      <c r="Y511">
        <v>0</v>
      </c>
      <c r="AA511" t="s">
        <v>40</v>
      </c>
      <c r="AB511" t="s">
        <v>46</v>
      </c>
      <c r="AC511" t="s">
        <v>47</v>
      </c>
      <c r="AG511" t="s">
        <v>1746</v>
      </c>
      <c r="AJ511" t="s">
        <v>40</v>
      </c>
      <c r="AK511">
        <v>5019169536</v>
      </c>
      <c r="AO511" s="1">
        <v>45945</v>
      </c>
      <c r="AP511" s="5">
        <v>0.70833333333333337</v>
      </c>
      <c r="AS511">
        <v>1</v>
      </c>
    </row>
    <row r="512" spans="1:45" x14ac:dyDescent="0.2">
      <c r="A512">
        <f t="shared" si="30"/>
        <v>2025</v>
      </c>
      <c r="B512">
        <f t="shared" si="31"/>
        <v>10</v>
      </c>
      <c r="C512">
        <f t="shared" si="32"/>
        <v>42</v>
      </c>
      <c r="D512" s="2">
        <f t="shared" si="33"/>
        <v>45945</v>
      </c>
      <c r="E512" s="1">
        <v>45945.708333333336</v>
      </c>
      <c r="F512" t="s">
        <v>1747</v>
      </c>
      <c r="G512" t="s">
        <v>36</v>
      </c>
      <c r="H512">
        <v>453828</v>
      </c>
      <c r="I512" t="s">
        <v>51</v>
      </c>
      <c r="J512" t="s">
        <v>154</v>
      </c>
      <c r="M512" t="s">
        <v>40</v>
      </c>
      <c r="N512" t="s">
        <v>41</v>
      </c>
      <c r="O512" t="s">
        <v>155</v>
      </c>
      <c r="P512">
        <v>33</v>
      </c>
      <c r="Q512">
        <v>0</v>
      </c>
      <c r="R512">
        <v>0</v>
      </c>
      <c r="S512">
        <v>0</v>
      </c>
      <c r="T512" t="s">
        <v>54</v>
      </c>
      <c r="U512" t="s">
        <v>55</v>
      </c>
      <c r="W512" t="s">
        <v>1660</v>
      </c>
      <c r="Y512">
        <v>0</v>
      </c>
      <c r="AA512" t="s">
        <v>40</v>
      </c>
      <c r="AB512" t="s">
        <v>46</v>
      </c>
      <c r="AC512" t="s">
        <v>47</v>
      </c>
      <c r="AG512" t="s">
        <v>1748</v>
      </c>
      <c r="AJ512" t="s">
        <v>40</v>
      </c>
      <c r="AK512">
        <v>5019156798</v>
      </c>
      <c r="AO512" s="1">
        <v>45945</v>
      </c>
      <c r="AP512" s="5">
        <v>0.70833333333333337</v>
      </c>
      <c r="AS512">
        <v>1</v>
      </c>
    </row>
    <row r="513" spans="1:45" x14ac:dyDescent="0.2">
      <c r="A513">
        <f t="shared" si="30"/>
        <v>2025</v>
      </c>
      <c r="B513">
        <f t="shared" si="31"/>
        <v>10</v>
      </c>
      <c r="C513">
        <f t="shared" si="32"/>
        <v>42</v>
      </c>
      <c r="D513" s="2">
        <f t="shared" si="33"/>
        <v>45945</v>
      </c>
      <c r="E513" s="1">
        <v>45945.708333333336</v>
      </c>
      <c r="F513" t="s">
        <v>1749</v>
      </c>
      <c r="G513" t="s">
        <v>36</v>
      </c>
      <c r="H513">
        <v>453833</v>
      </c>
      <c r="I513" t="s">
        <v>51</v>
      </c>
      <c r="J513" t="s">
        <v>154</v>
      </c>
      <c r="M513" t="s">
        <v>40</v>
      </c>
      <c r="N513" t="s">
        <v>41</v>
      </c>
      <c r="O513" t="s">
        <v>182</v>
      </c>
      <c r="P513">
        <v>33</v>
      </c>
      <c r="Q513">
        <v>0</v>
      </c>
      <c r="R513">
        <v>0</v>
      </c>
      <c r="S513">
        <v>0</v>
      </c>
      <c r="T513" t="s">
        <v>54</v>
      </c>
      <c r="U513" t="s">
        <v>55</v>
      </c>
      <c r="W513" t="s">
        <v>1750</v>
      </c>
      <c r="Y513">
        <v>0</v>
      </c>
      <c r="AA513" t="s">
        <v>40</v>
      </c>
      <c r="AB513" t="s">
        <v>46</v>
      </c>
      <c r="AC513" t="s">
        <v>47</v>
      </c>
      <c r="AG513" t="s">
        <v>1751</v>
      </c>
      <c r="AJ513" t="s">
        <v>40</v>
      </c>
      <c r="AK513">
        <v>5019173516</v>
      </c>
      <c r="AO513" s="1">
        <v>45945</v>
      </c>
      <c r="AP513" s="5">
        <v>0.70833333333333337</v>
      </c>
      <c r="AS513">
        <v>1</v>
      </c>
    </row>
    <row r="514" spans="1:45" x14ac:dyDescent="0.2">
      <c r="A514">
        <f t="shared" ref="A514:A577" si="34">YEAR(D514)</f>
        <v>2025</v>
      </c>
      <c r="B514">
        <f t="shared" ref="B514:B577" si="35">MONTH(D514)</f>
        <v>10</v>
      </c>
      <c r="C514">
        <f t="shared" ref="C514:C577" si="36">WEEKNUM(D514)</f>
        <v>42</v>
      </c>
      <c r="D514" s="2">
        <f t="shared" ref="D514:D577" si="37">INT(E514)</f>
        <v>45945</v>
      </c>
      <c r="E514" s="1">
        <v>45945.75</v>
      </c>
      <c r="F514" t="s">
        <v>1752</v>
      </c>
      <c r="G514" t="s">
        <v>36</v>
      </c>
      <c r="H514" t="s">
        <v>1753</v>
      </c>
      <c r="I514" t="s">
        <v>162</v>
      </c>
      <c r="J514" t="s">
        <v>89</v>
      </c>
      <c r="M514" t="s">
        <v>40</v>
      </c>
      <c r="N514" t="s">
        <v>41</v>
      </c>
      <c r="O514" t="s">
        <v>1754</v>
      </c>
      <c r="P514">
        <v>132</v>
      </c>
      <c r="Q514">
        <v>0</v>
      </c>
      <c r="R514">
        <v>0</v>
      </c>
      <c r="S514">
        <v>0</v>
      </c>
      <c r="T514" t="s">
        <v>54</v>
      </c>
      <c r="U514" t="s">
        <v>55</v>
      </c>
      <c r="W514" t="s">
        <v>1755</v>
      </c>
      <c r="Y514">
        <v>0</v>
      </c>
      <c r="AA514" t="s">
        <v>40</v>
      </c>
      <c r="AB514" t="s">
        <v>46</v>
      </c>
      <c r="AC514" t="s">
        <v>47</v>
      </c>
      <c r="AD514" t="s">
        <v>166</v>
      </c>
      <c r="AE514" t="s">
        <v>166</v>
      </c>
      <c r="AG514" t="s">
        <v>1756</v>
      </c>
      <c r="AJ514" t="s">
        <v>40</v>
      </c>
      <c r="AK514" t="s">
        <v>1757</v>
      </c>
      <c r="AO514" s="1">
        <v>45945</v>
      </c>
      <c r="AP514" s="5">
        <v>0.75</v>
      </c>
      <c r="AS514">
        <v>1</v>
      </c>
    </row>
    <row r="515" spans="1:45" x14ac:dyDescent="0.2">
      <c r="A515">
        <f t="shared" si="34"/>
        <v>2025</v>
      </c>
      <c r="B515">
        <f t="shared" si="35"/>
        <v>10</v>
      </c>
      <c r="C515">
        <f t="shared" si="36"/>
        <v>42</v>
      </c>
      <c r="D515" s="2">
        <f t="shared" si="37"/>
        <v>45945</v>
      </c>
      <c r="E515" s="1">
        <v>45945.75</v>
      </c>
      <c r="F515" t="s">
        <v>1758</v>
      </c>
      <c r="G515" t="s">
        <v>36</v>
      </c>
      <c r="H515">
        <v>453851</v>
      </c>
      <c r="I515" t="s">
        <v>51</v>
      </c>
      <c r="J515" t="s">
        <v>219</v>
      </c>
      <c r="M515" t="s">
        <v>40</v>
      </c>
      <c r="N515" t="s">
        <v>41</v>
      </c>
      <c r="O515" t="s">
        <v>90</v>
      </c>
      <c r="P515">
        <v>33</v>
      </c>
      <c r="Q515">
        <v>0</v>
      </c>
      <c r="R515">
        <v>0</v>
      </c>
      <c r="S515">
        <v>0</v>
      </c>
      <c r="T515" t="s">
        <v>54</v>
      </c>
      <c r="U515" t="s">
        <v>55</v>
      </c>
      <c r="W515" t="s">
        <v>1759</v>
      </c>
      <c r="X515" t="s">
        <v>1760</v>
      </c>
      <c r="Y515">
        <v>0</v>
      </c>
      <c r="AA515" t="s">
        <v>40</v>
      </c>
      <c r="AB515" t="s">
        <v>46</v>
      </c>
      <c r="AC515" t="s">
        <v>47</v>
      </c>
      <c r="AG515" t="s">
        <v>1761</v>
      </c>
      <c r="AJ515" t="s">
        <v>40</v>
      </c>
      <c r="AK515">
        <v>5019165997</v>
      </c>
      <c r="AL515" t="s">
        <v>1762</v>
      </c>
      <c r="AM515" t="s">
        <v>1763</v>
      </c>
      <c r="AO515" s="1">
        <v>45945</v>
      </c>
      <c r="AP515" s="5">
        <v>0.75</v>
      </c>
      <c r="AS515">
        <v>1</v>
      </c>
    </row>
    <row r="516" spans="1:45" x14ac:dyDescent="0.2">
      <c r="A516">
        <f t="shared" si="34"/>
        <v>2025</v>
      </c>
      <c r="B516">
        <f t="shared" si="35"/>
        <v>10</v>
      </c>
      <c r="C516">
        <f t="shared" si="36"/>
        <v>42</v>
      </c>
      <c r="D516" s="2">
        <f t="shared" si="37"/>
        <v>45945</v>
      </c>
      <c r="E516" s="1">
        <v>45945.791666666664</v>
      </c>
      <c r="F516" t="s">
        <v>1764</v>
      </c>
      <c r="G516" t="s">
        <v>36</v>
      </c>
      <c r="H516" t="s">
        <v>1765</v>
      </c>
      <c r="I516" t="s">
        <v>78</v>
      </c>
      <c r="J516" t="s">
        <v>163</v>
      </c>
      <c r="M516" t="s">
        <v>40</v>
      </c>
      <c r="N516" t="s">
        <v>41</v>
      </c>
      <c r="O516" t="s">
        <v>1101</v>
      </c>
      <c r="P516">
        <v>66</v>
      </c>
      <c r="Q516">
        <v>0</v>
      </c>
      <c r="R516">
        <v>0</v>
      </c>
      <c r="S516">
        <v>0</v>
      </c>
      <c r="T516" t="s">
        <v>54</v>
      </c>
      <c r="U516" t="s">
        <v>55</v>
      </c>
      <c r="W516" t="s">
        <v>1766</v>
      </c>
      <c r="Y516">
        <v>0</v>
      </c>
      <c r="AA516" t="s">
        <v>40</v>
      </c>
      <c r="AB516" t="s">
        <v>46</v>
      </c>
      <c r="AC516" t="s">
        <v>47</v>
      </c>
      <c r="AD516" t="s">
        <v>81</v>
      </c>
      <c r="AE516" t="s">
        <v>81</v>
      </c>
      <c r="AG516" t="s">
        <v>1767</v>
      </c>
      <c r="AJ516" t="s">
        <v>40</v>
      </c>
      <c r="AK516" t="s">
        <v>1768</v>
      </c>
      <c r="AO516" s="1">
        <v>45945</v>
      </c>
      <c r="AP516" s="5">
        <v>0.79166666666666663</v>
      </c>
      <c r="AS516">
        <v>1</v>
      </c>
    </row>
    <row r="517" spans="1:45" x14ac:dyDescent="0.2">
      <c r="A517">
        <f t="shared" si="34"/>
        <v>2025</v>
      </c>
      <c r="B517">
        <f t="shared" si="35"/>
        <v>10</v>
      </c>
      <c r="C517">
        <f t="shared" si="36"/>
        <v>42</v>
      </c>
      <c r="D517" s="2">
        <f t="shared" si="37"/>
        <v>45945</v>
      </c>
      <c r="E517" s="1">
        <v>45945.791666666664</v>
      </c>
      <c r="F517" t="s">
        <v>1769</v>
      </c>
      <c r="G517" t="s">
        <v>36</v>
      </c>
      <c r="H517">
        <v>453859</v>
      </c>
      <c r="I517" t="s">
        <v>51</v>
      </c>
      <c r="J517" t="s">
        <v>144</v>
      </c>
      <c r="M517" t="s">
        <v>40</v>
      </c>
      <c r="N517" t="s">
        <v>41</v>
      </c>
      <c r="O517" t="s">
        <v>155</v>
      </c>
      <c r="P517">
        <v>33</v>
      </c>
      <c r="Q517">
        <v>0</v>
      </c>
      <c r="R517">
        <v>0</v>
      </c>
      <c r="S517">
        <v>0</v>
      </c>
      <c r="T517" t="s">
        <v>54</v>
      </c>
      <c r="U517" t="s">
        <v>55</v>
      </c>
      <c r="W517" t="s">
        <v>1478</v>
      </c>
      <c r="Y517">
        <v>0</v>
      </c>
      <c r="AA517" t="s">
        <v>40</v>
      </c>
      <c r="AB517" t="s">
        <v>46</v>
      </c>
      <c r="AC517" t="s">
        <v>47</v>
      </c>
      <c r="AG517" t="s">
        <v>1770</v>
      </c>
      <c r="AJ517" t="s">
        <v>40</v>
      </c>
      <c r="AK517">
        <v>5019180243</v>
      </c>
      <c r="AO517" s="1">
        <v>45945</v>
      </c>
      <c r="AP517" s="5">
        <v>0.79166666666666663</v>
      </c>
      <c r="AS517">
        <v>1</v>
      </c>
    </row>
    <row r="518" spans="1:45" x14ac:dyDescent="0.2">
      <c r="A518">
        <f t="shared" si="34"/>
        <v>2025</v>
      </c>
      <c r="B518">
        <f t="shared" si="35"/>
        <v>10</v>
      </c>
      <c r="C518">
        <f t="shared" si="36"/>
        <v>42</v>
      </c>
      <c r="D518" s="2">
        <f t="shared" si="37"/>
        <v>45945</v>
      </c>
      <c r="E518" s="1">
        <v>45945.791666666664</v>
      </c>
      <c r="F518" t="s">
        <v>1771</v>
      </c>
      <c r="G518" t="s">
        <v>36</v>
      </c>
      <c r="H518">
        <v>453842</v>
      </c>
      <c r="I518" t="s">
        <v>51</v>
      </c>
      <c r="J518" t="s">
        <v>194</v>
      </c>
      <c r="M518" t="s">
        <v>40</v>
      </c>
      <c r="N518" t="s">
        <v>41</v>
      </c>
      <c r="O518" t="s">
        <v>189</v>
      </c>
      <c r="P518">
        <v>33</v>
      </c>
      <c r="Q518">
        <v>0</v>
      </c>
      <c r="R518">
        <v>0</v>
      </c>
      <c r="S518">
        <v>0</v>
      </c>
      <c r="T518" t="s">
        <v>54</v>
      </c>
      <c r="U518" t="s">
        <v>55</v>
      </c>
      <c r="W518" t="s">
        <v>1772</v>
      </c>
      <c r="Y518">
        <v>0</v>
      </c>
      <c r="AA518" t="s">
        <v>40</v>
      </c>
      <c r="AB518" t="s">
        <v>46</v>
      </c>
      <c r="AC518" t="s">
        <v>47</v>
      </c>
      <c r="AG518" t="s">
        <v>1773</v>
      </c>
      <c r="AJ518" t="s">
        <v>40</v>
      </c>
      <c r="AK518">
        <v>5019163858</v>
      </c>
      <c r="AO518" s="1">
        <v>45945</v>
      </c>
      <c r="AP518" s="5">
        <v>0.79166666666666663</v>
      </c>
      <c r="AS518">
        <v>1</v>
      </c>
    </row>
    <row r="519" spans="1:45" x14ac:dyDescent="0.2">
      <c r="A519">
        <f t="shared" si="34"/>
        <v>2025</v>
      </c>
      <c r="B519">
        <f t="shared" si="35"/>
        <v>10</v>
      </c>
      <c r="C519">
        <f t="shared" si="36"/>
        <v>42</v>
      </c>
      <c r="D519" s="2">
        <f t="shared" si="37"/>
        <v>45945</v>
      </c>
      <c r="E519" s="1">
        <v>45945.833333333336</v>
      </c>
      <c r="F519" t="s">
        <v>1774</v>
      </c>
      <c r="G519" t="s">
        <v>36</v>
      </c>
      <c r="H519" t="s">
        <v>1775</v>
      </c>
      <c r="I519" t="s">
        <v>1776</v>
      </c>
      <c r="J519" t="s">
        <v>99</v>
      </c>
      <c r="M519" t="s">
        <v>40</v>
      </c>
      <c r="N519" t="s">
        <v>41</v>
      </c>
      <c r="O519" t="s">
        <v>1777</v>
      </c>
      <c r="P519">
        <v>16</v>
      </c>
      <c r="Q519">
        <v>0</v>
      </c>
      <c r="R519">
        <v>0</v>
      </c>
      <c r="S519">
        <v>0</v>
      </c>
      <c r="T519" t="s">
        <v>1778</v>
      </c>
      <c r="U519" t="s">
        <v>44</v>
      </c>
      <c r="W519" t="s">
        <v>1660</v>
      </c>
      <c r="Y519">
        <v>0</v>
      </c>
      <c r="AA519" t="s">
        <v>40</v>
      </c>
      <c r="AB519" t="s">
        <v>46</v>
      </c>
      <c r="AC519" t="s">
        <v>47</v>
      </c>
      <c r="AD519" t="s">
        <v>223</v>
      </c>
      <c r="AE519" t="s">
        <v>223</v>
      </c>
      <c r="AF519" t="s">
        <v>367</v>
      </c>
      <c r="AG519" t="s">
        <v>223</v>
      </c>
      <c r="AJ519" t="s">
        <v>40</v>
      </c>
      <c r="AK519" t="s">
        <v>49</v>
      </c>
      <c r="AL519" t="s">
        <v>1045</v>
      </c>
      <c r="AM519" t="s">
        <v>1045</v>
      </c>
      <c r="AO519" s="1">
        <v>45945</v>
      </c>
      <c r="AP519" s="5">
        <v>0.83333333333333337</v>
      </c>
      <c r="AS519">
        <v>1</v>
      </c>
    </row>
    <row r="520" spans="1:45" x14ac:dyDescent="0.2">
      <c r="A520">
        <f t="shared" si="34"/>
        <v>2025</v>
      </c>
      <c r="B520">
        <f t="shared" si="35"/>
        <v>10</v>
      </c>
      <c r="C520">
        <f t="shared" si="36"/>
        <v>42</v>
      </c>
      <c r="D520" s="2">
        <f t="shared" si="37"/>
        <v>45945</v>
      </c>
      <c r="E520" s="1">
        <v>45945.833333333336</v>
      </c>
      <c r="F520" t="s">
        <v>1779</v>
      </c>
      <c r="G520" t="s">
        <v>36</v>
      </c>
      <c r="H520" t="s">
        <v>1780</v>
      </c>
      <c r="I520" t="s">
        <v>78</v>
      </c>
      <c r="J520" t="s">
        <v>144</v>
      </c>
      <c r="M520" t="s">
        <v>40</v>
      </c>
      <c r="N520" t="s">
        <v>41</v>
      </c>
      <c r="O520" t="s">
        <v>1781</v>
      </c>
      <c r="P520">
        <v>66</v>
      </c>
      <c r="Q520">
        <v>0</v>
      </c>
      <c r="R520">
        <v>0</v>
      </c>
      <c r="S520">
        <v>0</v>
      </c>
      <c r="T520" t="s">
        <v>54</v>
      </c>
      <c r="U520" t="s">
        <v>55</v>
      </c>
      <c r="W520" t="s">
        <v>1663</v>
      </c>
      <c r="Y520">
        <v>0</v>
      </c>
      <c r="AA520" t="s">
        <v>40</v>
      </c>
      <c r="AB520" t="s">
        <v>46</v>
      </c>
      <c r="AC520" t="s">
        <v>47</v>
      </c>
      <c r="AD520" t="s">
        <v>81</v>
      </c>
      <c r="AE520" t="s">
        <v>81</v>
      </c>
      <c r="AG520" t="s">
        <v>1782</v>
      </c>
      <c r="AJ520" t="s">
        <v>40</v>
      </c>
      <c r="AK520" t="s">
        <v>1783</v>
      </c>
      <c r="AO520" s="1">
        <v>45945</v>
      </c>
      <c r="AP520" s="5">
        <v>0.83333333333333337</v>
      </c>
      <c r="AS520">
        <v>1</v>
      </c>
    </row>
    <row r="521" spans="1:45" x14ac:dyDescent="0.2">
      <c r="A521">
        <f t="shared" si="34"/>
        <v>2025</v>
      </c>
      <c r="B521">
        <f t="shared" si="35"/>
        <v>10</v>
      </c>
      <c r="C521">
        <f t="shared" si="36"/>
        <v>42</v>
      </c>
      <c r="D521" s="2">
        <f t="shared" si="37"/>
        <v>45946</v>
      </c>
      <c r="E521" s="1">
        <v>45946.25</v>
      </c>
      <c r="F521" t="s">
        <v>1784</v>
      </c>
      <c r="G521" t="s">
        <v>36</v>
      </c>
      <c r="H521">
        <v>460221</v>
      </c>
      <c r="I521" t="s">
        <v>51</v>
      </c>
      <c r="J521" t="s">
        <v>52</v>
      </c>
      <c r="M521" t="s">
        <v>40</v>
      </c>
      <c r="N521" t="s">
        <v>41</v>
      </c>
      <c r="O521" t="s">
        <v>433</v>
      </c>
      <c r="P521">
        <v>33</v>
      </c>
      <c r="Q521">
        <v>0</v>
      </c>
      <c r="R521">
        <v>0</v>
      </c>
      <c r="S521">
        <v>0</v>
      </c>
      <c r="T521" t="s">
        <v>54</v>
      </c>
      <c r="U521" t="s">
        <v>55</v>
      </c>
      <c r="W521" t="s">
        <v>1785</v>
      </c>
      <c r="Y521">
        <v>0</v>
      </c>
      <c r="AA521" t="s">
        <v>40</v>
      </c>
      <c r="AB521" t="s">
        <v>46</v>
      </c>
      <c r="AC521" t="s">
        <v>47</v>
      </c>
      <c r="AG521" t="s">
        <v>1786</v>
      </c>
      <c r="AJ521" t="s">
        <v>40</v>
      </c>
      <c r="AK521">
        <v>5019194280</v>
      </c>
      <c r="AO521" s="1">
        <v>45946</v>
      </c>
      <c r="AP521" s="5">
        <v>0.25</v>
      </c>
      <c r="AS521">
        <v>1</v>
      </c>
    </row>
    <row r="522" spans="1:45" x14ac:dyDescent="0.2">
      <c r="A522">
        <f t="shared" si="34"/>
        <v>2025</v>
      </c>
      <c r="B522">
        <f t="shared" si="35"/>
        <v>10</v>
      </c>
      <c r="C522">
        <f t="shared" si="36"/>
        <v>42</v>
      </c>
      <c r="D522" s="2">
        <f t="shared" si="37"/>
        <v>45946</v>
      </c>
      <c r="E522" s="1">
        <v>45946.25</v>
      </c>
      <c r="F522" t="s">
        <v>1787</v>
      </c>
      <c r="G522" t="s">
        <v>36</v>
      </c>
      <c r="H522">
        <v>456585</v>
      </c>
      <c r="I522" t="s">
        <v>51</v>
      </c>
      <c r="J522" t="s">
        <v>52</v>
      </c>
      <c r="M522" t="s">
        <v>40</v>
      </c>
      <c r="N522" t="s">
        <v>41</v>
      </c>
      <c r="O522" t="s">
        <v>53</v>
      </c>
      <c r="P522">
        <v>33</v>
      </c>
      <c r="Q522">
        <v>0</v>
      </c>
      <c r="R522">
        <v>0</v>
      </c>
      <c r="S522">
        <v>0</v>
      </c>
      <c r="T522" t="s">
        <v>54</v>
      </c>
      <c r="U522" t="s">
        <v>55</v>
      </c>
      <c r="W522" t="s">
        <v>1759</v>
      </c>
      <c r="Y522">
        <v>0</v>
      </c>
      <c r="AA522" t="s">
        <v>40</v>
      </c>
      <c r="AB522" t="s">
        <v>46</v>
      </c>
      <c r="AC522" t="s">
        <v>47</v>
      </c>
      <c r="AG522" t="s">
        <v>1788</v>
      </c>
      <c r="AJ522" t="s">
        <v>40</v>
      </c>
      <c r="AK522">
        <v>5019194920</v>
      </c>
      <c r="AO522" s="1">
        <v>45946</v>
      </c>
      <c r="AP522" s="5">
        <v>0.25</v>
      </c>
      <c r="AS522">
        <v>1</v>
      </c>
    </row>
    <row r="523" spans="1:45" x14ac:dyDescent="0.2">
      <c r="A523">
        <f t="shared" si="34"/>
        <v>2025</v>
      </c>
      <c r="B523">
        <f t="shared" si="35"/>
        <v>10</v>
      </c>
      <c r="C523">
        <f t="shared" si="36"/>
        <v>42</v>
      </c>
      <c r="D523" s="2">
        <f t="shared" si="37"/>
        <v>45946</v>
      </c>
      <c r="E523" s="1">
        <v>45946.291666666664</v>
      </c>
      <c r="F523" t="s">
        <v>1789</v>
      </c>
      <c r="G523" t="s">
        <v>36</v>
      </c>
      <c r="H523" t="s">
        <v>253</v>
      </c>
      <c r="I523" t="s">
        <v>38</v>
      </c>
      <c r="J523" t="s">
        <v>254</v>
      </c>
      <c r="M523" t="s">
        <v>40</v>
      </c>
      <c r="N523" t="s">
        <v>41</v>
      </c>
      <c r="O523" t="s">
        <v>42</v>
      </c>
      <c r="P523">
        <v>1</v>
      </c>
      <c r="Q523">
        <v>0</v>
      </c>
      <c r="R523">
        <v>0</v>
      </c>
      <c r="S523">
        <v>0</v>
      </c>
      <c r="T523">
        <v>5019197070</v>
      </c>
      <c r="U523" t="s">
        <v>101</v>
      </c>
      <c r="W523" t="s">
        <v>1663</v>
      </c>
      <c r="Y523">
        <v>0</v>
      </c>
      <c r="AA523" t="s">
        <v>40</v>
      </c>
      <c r="AB523" t="s">
        <v>46</v>
      </c>
      <c r="AC523" t="s">
        <v>47</v>
      </c>
      <c r="AF523" t="s">
        <v>48</v>
      </c>
      <c r="AJ523" t="s">
        <v>40</v>
      </c>
      <c r="AK523" t="s">
        <v>49</v>
      </c>
      <c r="AO523" s="1">
        <v>45946</v>
      </c>
      <c r="AP523" s="5">
        <v>0.29166666666666669</v>
      </c>
      <c r="AS523">
        <v>1</v>
      </c>
    </row>
    <row r="524" spans="1:45" x14ac:dyDescent="0.2">
      <c r="A524">
        <f t="shared" si="34"/>
        <v>2025</v>
      </c>
      <c r="B524">
        <f t="shared" si="35"/>
        <v>10</v>
      </c>
      <c r="C524">
        <f t="shared" si="36"/>
        <v>42</v>
      </c>
      <c r="D524" s="2">
        <f t="shared" si="37"/>
        <v>45946</v>
      </c>
      <c r="E524" s="1">
        <v>45946.291666666664</v>
      </c>
      <c r="F524" t="s">
        <v>1790</v>
      </c>
      <c r="G524" t="s">
        <v>36</v>
      </c>
      <c r="H524" t="s">
        <v>1791</v>
      </c>
      <c r="I524" t="s">
        <v>38</v>
      </c>
      <c r="J524" t="s">
        <v>99</v>
      </c>
      <c r="M524" t="s">
        <v>40</v>
      </c>
      <c r="N524" t="s">
        <v>41</v>
      </c>
      <c r="O524" t="s">
        <v>42</v>
      </c>
      <c r="P524">
        <v>11</v>
      </c>
      <c r="Q524">
        <v>0</v>
      </c>
      <c r="R524">
        <v>0</v>
      </c>
      <c r="S524">
        <v>0</v>
      </c>
      <c r="T524" t="s">
        <v>1792</v>
      </c>
      <c r="U524" t="s">
        <v>44</v>
      </c>
      <c r="W524" t="s">
        <v>1766</v>
      </c>
      <c r="Y524">
        <v>0</v>
      </c>
      <c r="AA524" t="s">
        <v>40</v>
      </c>
      <c r="AB524" t="s">
        <v>46</v>
      </c>
      <c r="AC524" t="s">
        <v>47</v>
      </c>
      <c r="AF524" t="s">
        <v>367</v>
      </c>
      <c r="AJ524" t="s">
        <v>40</v>
      </c>
      <c r="AK524" t="s">
        <v>49</v>
      </c>
      <c r="AM524" t="s">
        <v>1793</v>
      </c>
      <c r="AN524" t="s">
        <v>1794</v>
      </c>
      <c r="AO524" s="1">
        <v>45946</v>
      </c>
      <c r="AP524" s="5">
        <v>0.29166666666666669</v>
      </c>
      <c r="AS524">
        <v>1</v>
      </c>
    </row>
    <row r="525" spans="1:45" x14ac:dyDescent="0.2">
      <c r="A525">
        <f t="shared" si="34"/>
        <v>2025</v>
      </c>
      <c r="B525">
        <f t="shared" si="35"/>
        <v>10</v>
      </c>
      <c r="C525">
        <f t="shared" si="36"/>
        <v>42</v>
      </c>
      <c r="D525" s="2">
        <f t="shared" si="37"/>
        <v>45946</v>
      </c>
      <c r="E525" s="1">
        <v>45946.291666666664</v>
      </c>
      <c r="F525" t="s">
        <v>1795</v>
      </c>
      <c r="G525" t="s">
        <v>36</v>
      </c>
      <c r="H525">
        <v>460084</v>
      </c>
      <c r="I525" t="s">
        <v>51</v>
      </c>
      <c r="J525" t="s">
        <v>52</v>
      </c>
      <c r="M525" t="s">
        <v>40</v>
      </c>
      <c r="N525" t="s">
        <v>41</v>
      </c>
      <c r="O525" t="s">
        <v>53</v>
      </c>
      <c r="P525">
        <v>33</v>
      </c>
      <c r="Q525">
        <v>0</v>
      </c>
      <c r="R525">
        <v>0</v>
      </c>
      <c r="S525">
        <v>0</v>
      </c>
      <c r="T525" t="s">
        <v>54</v>
      </c>
      <c r="U525" t="s">
        <v>55</v>
      </c>
      <c r="W525" t="s">
        <v>1759</v>
      </c>
      <c r="Y525">
        <v>0</v>
      </c>
      <c r="AA525" t="s">
        <v>40</v>
      </c>
      <c r="AB525" t="s">
        <v>46</v>
      </c>
      <c r="AC525" t="s">
        <v>47</v>
      </c>
      <c r="AG525" t="s">
        <v>1796</v>
      </c>
      <c r="AJ525" t="s">
        <v>40</v>
      </c>
      <c r="AK525">
        <v>5019165669</v>
      </c>
      <c r="AO525" s="1">
        <v>45946</v>
      </c>
      <c r="AP525" s="5">
        <v>0.29166666666666669</v>
      </c>
      <c r="AS525">
        <v>1</v>
      </c>
    </row>
    <row r="526" spans="1:45" x14ac:dyDescent="0.2">
      <c r="A526">
        <f t="shared" si="34"/>
        <v>2025</v>
      </c>
      <c r="B526">
        <f t="shared" si="35"/>
        <v>10</v>
      </c>
      <c r="C526">
        <f t="shared" si="36"/>
        <v>42</v>
      </c>
      <c r="D526" s="2">
        <f t="shared" si="37"/>
        <v>45946</v>
      </c>
      <c r="E526" s="1">
        <v>45946.333333333336</v>
      </c>
      <c r="F526" t="s">
        <v>1797</v>
      </c>
      <c r="G526" t="s">
        <v>36</v>
      </c>
      <c r="H526">
        <v>460316</v>
      </c>
      <c r="I526" t="s">
        <v>51</v>
      </c>
      <c r="J526" t="s">
        <v>144</v>
      </c>
      <c r="M526" t="s">
        <v>40</v>
      </c>
      <c r="N526" t="s">
        <v>41</v>
      </c>
      <c r="O526" t="s">
        <v>1086</v>
      </c>
      <c r="P526">
        <v>6</v>
      </c>
      <c r="Q526">
        <v>0</v>
      </c>
      <c r="R526">
        <v>0</v>
      </c>
      <c r="S526">
        <v>0</v>
      </c>
      <c r="T526" t="s">
        <v>54</v>
      </c>
      <c r="U526" t="s">
        <v>392</v>
      </c>
      <c r="W526" t="s">
        <v>1798</v>
      </c>
      <c r="X526" t="s">
        <v>1799</v>
      </c>
      <c r="Y526">
        <v>0</v>
      </c>
      <c r="AA526" t="s">
        <v>40</v>
      </c>
      <c r="AB526" t="s">
        <v>46</v>
      </c>
      <c r="AC526" t="s">
        <v>47</v>
      </c>
      <c r="AG526" t="s">
        <v>1800</v>
      </c>
      <c r="AJ526" t="s">
        <v>40</v>
      </c>
      <c r="AK526">
        <v>5019173799</v>
      </c>
      <c r="AL526" t="s">
        <v>1801</v>
      </c>
      <c r="AM526" t="s">
        <v>1802</v>
      </c>
      <c r="AO526" s="1">
        <v>45946</v>
      </c>
      <c r="AP526" s="5">
        <v>0.33333333333333331</v>
      </c>
      <c r="AS526">
        <v>1</v>
      </c>
    </row>
    <row r="527" spans="1:45" x14ac:dyDescent="0.2">
      <c r="A527">
        <f t="shared" si="34"/>
        <v>2025</v>
      </c>
      <c r="B527">
        <f t="shared" si="35"/>
        <v>10</v>
      </c>
      <c r="C527">
        <f t="shared" si="36"/>
        <v>42</v>
      </c>
      <c r="D527" s="2">
        <f t="shared" si="37"/>
        <v>45946</v>
      </c>
      <c r="E527" s="1">
        <v>45946.333333333336</v>
      </c>
      <c r="F527" t="s">
        <v>1803</v>
      </c>
      <c r="G527" t="s">
        <v>36</v>
      </c>
      <c r="H527" t="s">
        <v>1804</v>
      </c>
      <c r="I527" t="s">
        <v>38</v>
      </c>
      <c r="J527" t="s">
        <v>60</v>
      </c>
      <c r="M527" t="s">
        <v>40</v>
      </c>
      <c r="N527" t="s">
        <v>41</v>
      </c>
      <c r="O527" t="s">
        <v>42</v>
      </c>
      <c r="P527">
        <v>20</v>
      </c>
      <c r="Q527">
        <v>0</v>
      </c>
      <c r="R527">
        <v>0</v>
      </c>
      <c r="S527">
        <v>0</v>
      </c>
      <c r="T527" t="s">
        <v>1805</v>
      </c>
      <c r="U527" t="s">
        <v>44</v>
      </c>
      <c r="W527" t="s">
        <v>1806</v>
      </c>
      <c r="Y527">
        <v>0</v>
      </c>
      <c r="AA527" t="s">
        <v>40</v>
      </c>
      <c r="AB527" t="s">
        <v>46</v>
      </c>
      <c r="AC527" t="s">
        <v>47</v>
      </c>
      <c r="AF527" t="s">
        <v>62</v>
      </c>
      <c r="AJ527" t="s">
        <v>40</v>
      </c>
      <c r="AK527" t="s">
        <v>49</v>
      </c>
      <c r="AN527">
        <v>260365795</v>
      </c>
      <c r="AO527" s="1">
        <v>45946</v>
      </c>
      <c r="AP527" s="5">
        <v>0.33333333333333331</v>
      </c>
      <c r="AS527">
        <v>1</v>
      </c>
    </row>
    <row r="528" spans="1:45" x14ac:dyDescent="0.2">
      <c r="A528">
        <f t="shared" si="34"/>
        <v>2025</v>
      </c>
      <c r="B528">
        <f t="shared" si="35"/>
        <v>10</v>
      </c>
      <c r="C528">
        <f t="shared" si="36"/>
        <v>42</v>
      </c>
      <c r="D528" s="2">
        <f t="shared" si="37"/>
        <v>45946</v>
      </c>
      <c r="E528" s="1">
        <v>45946.333333333336</v>
      </c>
      <c r="F528" t="s">
        <v>1807</v>
      </c>
      <c r="G528" t="s">
        <v>36</v>
      </c>
      <c r="H528" t="s">
        <v>1808</v>
      </c>
      <c r="I528" t="s">
        <v>38</v>
      </c>
      <c r="J528" t="s">
        <v>99</v>
      </c>
      <c r="M528" t="s">
        <v>40</v>
      </c>
      <c r="N528" t="s">
        <v>41</v>
      </c>
      <c r="O528" t="s">
        <v>42</v>
      </c>
      <c r="P528">
        <v>23</v>
      </c>
      <c r="Q528">
        <v>0</v>
      </c>
      <c r="R528">
        <v>0</v>
      </c>
      <c r="S528">
        <v>0</v>
      </c>
      <c r="T528" t="s">
        <v>1809</v>
      </c>
      <c r="U528" t="s">
        <v>44</v>
      </c>
      <c r="W528" t="s">
        <v>1766</v>
      </c>
      <c r="Y528">
        <v>0</v>
      </c>
      <c r="AA528" t="s">
        <v>40</v>
      </c>
      <c r="AB528" t="s">
        <v>46</v>
      </c>
      <c r="AC528" t="s">
        <v>47</v>
      </c>
      <c r="AF528" t="s">
        <v>367</v>
      </c>
      <c r="AJ528" t="s">
        <v>40</v>
      </c>
      <c r="AK528" t="s">
        <v>49</v>
      </c>
      <c r="AM528" t="s">
        <v>1810</v>
      </c>
      <c r="AN528" t="s">
        <v>1811</v>
      </c>
      <c r="AO528" s="1">
        <v>45946</v>
      </c>
      <c r="AP528" s="5">
        <v>0.33333333333333331</v>
      </c>
      <c r="AS528">
        <v>1</v>
      </c>
    </row>
    <row r="529" spans="1:45" x14ac:dyDescent="0.2">
      <c r="A529">
        <f t="shared" si="34"/>
        <v>2025</v>
      </c>
      <c r="B529">
        <f t="shared" si="35"/>
        <v>10</v>
      </c>
      <c r="C529">
        <f t="shared" si="36"/>
        <v>42</v>
      </c>
      <c r="D529" s="2">
        <f t="shared" si="37"/>
        <v>45946</v>
      </c>
      <c r="E529" s="1">
        <v>45946.333333333336</v>
      </c>
      <c r="F529" t="s">
        <v>1812</v>
      </c>
      <c r="G529" t="s">
        <v>36</v>
      </c>
      <c r="H529" t="s">
        <v>264</v>
      </c>
      <c r="I529" t="s">
        <v>38</v>
      </c>
      <c r="J529" t="s">
        <v>265</v>
      </c>
      <c r="M529" t="s">
        <v>40</v>
      </c>
      <c r="N529" t="s">
        <v>41</v>
      </c>
      <c r="O529" t="s">
        <v>42</v>
      </c>
      <c r="P529">
        <v>23</v>
      </c>
      <c r="Q529">
        <v>0</v>
      </c>
      <c r="R529">
        <v>0</v>
      </c>
      <c r="S529">
        <v>0</v>
      </c>
      <c r="T529" t="s">
        <v>1813</v>
      </c>
      <c r="U529" t="s">
        <v>55</v>
      </c>
      <c r="W529" t="s">
        <v>1700</v>
      </c>
      <c r="Y529">
        <v>0</v>
      </c>
      <c r="AA529" t="s">
        <v>40</v>
      </c>
      <c r="AB529" t="s">
        <v>46</v>
      </c>
      <c r="AC529" t="s">
        <v>47</v>
      </c>
      <c r="AF529" t="s">
        <v>48</v>
      </c>
      <c r="AJ529" t="s">
        <v>40</v>
      </c>
      <c r="AK529" t="s">
        <v>49</v>
      </c>
      <c r="AO529" s="1">
        <v>45946</v>
      </c>
      <c r="AP529" s="5">
        <v>0.33333333333333331</v>
      </c>
      <c r="AS529">
        <v>1</v>
      </c>
    </row>
    <row r="530" spans="1:45" x14ac:dyDescent="0.2">
      <c r="A530">
        <f t="shared" si="34"/>
        <v>2025</v>
      </c>
      <c r="B530">
        <f t="shared" si="35"/>
        <v>10</v>
      </c>
      <c r="C530">
        <f t="shared" si="36"/>
        <v>42</v>
      </c>
      <c r="D530" s="2">
        <f t="shared" si="37"/>
        <v>45946</v>
      </c>
      <c r="E530" s="1">
        <v>45946.375</v>
      </c>
      <c r="F530" t="s">
        <v>1814</v>
      </c>
      <c r="G530" t="s">
        <v>36</v>
      </c>
      <c r="H530" t="s">
        <v>1815</v>
      </c>
      <c r="I530" t="s">
        <v>78</v>
      </c>
      <c r="J530" t="s">
        <v>52</v>
      </c>
      <c r="M530" t="s">
        <v>40</v>
      </c>
      <c r="N530" t="s">
        <v>41</v>
      </c>
      <c r="O530" t="s">
        <v>79</v>
      </c>
      <c r="P530">
        <v>66</v>
      </c>
      <c r="Q530">
        <v>0</v>
      </c>
      <c r="R530">
        <v>0</v>
      </c>
      <c r="S530">
        <v>0</v>
      </c>
      <c r="T530" t="s">
        <v>54</v>
      </c>
      <c r="U530" t="s">
        <v>55</v>
      </c>
      <c r="W530" t="s">
        <v>1663</v>
      </c>
      <c r="Y530">
        <v>0</v>
      </c>
      <c r="AA530" t="s">
        <v>40</v>
      </c>
      <c r="AB530" t="s">
        <v>46</v>
      </c>
      <c r="AC530" t="s">
        <v>47</v>
      </c>
      <c r="AD530" t="s">
        <v>81</v>
      </c>
      <c r="AE530" t="s">
        <v>81</v>
      </c>
      <c r="AG530" t="s">
        <v>1816</v>
      </c>
      <c r="AJ530" t="s">
        <v>40</v>
      </c>
      <c r="AK530" t="s">
        <v>1817</v>
      </c>
      <c r="AO530" s="1">
        <v>45946</v>
      </c>
      <c r="AP530" s="5">
        <v>0.375</v>
      </c>
      <c r="AS530">
        <v>1</v>
      </c>
    </row>
    <row r="531" spans="1:45" x14ac:dyDescent="0.2">
      <c r="A531">
        <f t="shared" si="34"/>
        <v>2025</v>
      </c>
      <c r="B531">
        <f t="shared" si="35"/>
        <v>10</v>
      </c>
      <c r="C531">
        <f t="shared" si="36"/>
        <v>42</v>
      </c>
      <c r="D531" s="2">
        <f t="shared" si="37"/>
        <v>45946</v>
      </c>
      <c r="E531" s="1">
        <v>45946.375</v>
      </c>
      <c r="F531" t="s">
        <v>1818</v>
      </c>
      <c r="G531" t="s">
        <v>36</v>
      </c>
      <c r="H531" t="s">
        <v>1819</v>
      </c>
      <c r="I531" t="s">
        <v>51</v>
      </c>
      <c r="J531" t="s">
        <v>1820</v>
      </c>
      <c r="M531" t="s">
        <v>40</v>
      </c>
      <c r="N531" t="s">
        <v>41</v>
      </c>
      <c r="O531" t="s">
        <v>1086</v>
      </c>
      <c r="P531">
        <v>18</v>
      </c>
      <c r="Q531">
        <v>0</v>
      </c>
      <c r="R531">
        <v>0</v>
      </c>
      <c r="S531">
        <v>22000</v>
      </c>
      <c r="T531" t="s">
        <v>1821</v>
      </c>
      <c r="U531" t="s">
        <v>392</v>
      </c>
      <c r="W531" t="s">
        <v>1700</v>
      </c>
      <c r="Y531">
        <v>0</v>
      </c>
      <c r="AA531" t="s">
        <v>40</v>
      </c>
      <c r="AB531" t="s">
        <v>46</v>
      </c>
      <c r="AC531" t="s">
        <v>47</v>
      </c>
      <c r="AJ531" t="s">
        <v>40</v>
      </c>
      <c r="AK531">
        <v>5019167880</v>
      </c>
      <c r="AO531" s="1">
        <v>45946</v>
      </c>
      <c r="AP531" s="5">
        <v>0.375</v>
      </c>
      <c r="AS531">
        <v>1</v>
      </c>
    </row>
    <row r="532" spans="1:45" x14ac:dyDescent="0.2">
      <c r="A532">
        <f t="shared" si="34"/>
        <v>2025</v>
      </c>
      <c r="B532">
        <f t="shared" si="35"/>
        <v>10</v>
      </c>
      <c r="C532">
        <f t="shared" si="36"/>
        <v>42</v>
      </c>
      <c r="D532" s="2">
        <f t="shared" si="37"/>
        <v>45946</v>
      </c>
      <c r="E532" s="1">
        <v>45946.375</v>
      </c>
      <c r="F532" t="s">
        <v>1822</v>
      </c>
      <c r="G532" t="s">
        <v>36</v>
      </c>
      <c r="H532" t="s">
        <v>1808</v>
      </c>
      <c r="I532" t="s">
        <v>38</v>
      </c>
      <c r="J532" t="s">
        <v>99</v>
      </c>
      <c r="M532" t="s">
        <v>40</v>
      </c>
      <c r="N532" t="s">
        <v>41</v>
      </c>
      <c r="O532" t="s">
        <v>42</v>
      </c>
      <c r="P532">
        <v>23</v>
      </c>
      <c r="Q532">
        <v>0</v>
      </c>
      <c r="R532">
        <v>0</v>
      </c>
      <c r="S532">
        <v>0</v>
      </c>
      <c r="T532" t="s">
        <v>1823</v>
      </c>
      <c r="U532" t="s">
        <v>44</v>
      </c>
      <c r="W532" t="s">
        <v>1766</v>
      </c>
      <c r="Y532">
        <v>0</v>
      </c>
      <c r="AA532" t="s">
        <v>40</v>
      </c>
      <c r="AB532" t="s">
        <v>46</v>
      </c>
      <c r="AC532" t="s">
        <v>47</v>
      </c>
      <c r="AF532" t="s">
        <v>367</v>
      </c>
      <c r="AJ532" t="s">
        <v>40</v>
      </c>
      <c r="AK532" t="s">
        <v>49</v>
      </c>
      <c r="AM532" t="s">
        <v>1824</v>
      </c>
      <c r="AN532" t="s">
        <v>1811</v>
      </c>
      <c r="AO532" s="1">
        <v>45946</v>
      </c>
      <c r="AP532" s="5">
        <v>0.375</v>
      </c>
      <c r="AS532">
        <v>1</v>
      </c>
    </row>
    <row r="533" spans="1:45" x14ac:dyDescent="0.2">
      <c r="A533">
        <f t="shared" si="34"/>
        <v>2025</v>
      </c>
      <c r="B533">
        <f t="shared" si="35"/>
        <v>10</v>
      </c>
      <c r="C533">
        <f t="shared" si="36"/>
        <v>42</v>
      </c>
      <c r="D533" s="2">
        <f t="shared" si="37"/>
        <v>45946</v>
      </c>
      <c r="E533" s="1">
        <v>45946.375</v>
      </c>
      <c r="F533" t="s">
        <v>1825</v>
      </c>
      <c r="G533" t="s">
        <v>36</v>
      </c>
      <c r="H533" t="s">
        <v>1826</v>
      </c>
      <c r="I533" t="s">
        <v>38</v>
      </c>
      <c r="J533" t="s">
        <v>60</v>
      </c>
      <c r="M533" t="s">
        <v>40</v>
      </c>
      <c r="N533" t="s">
        <v>41</v>
      </c>
      <c r="O533" t="s">
        <v>42</v>
      </c>
      <c r="P533">
        <v>20</v>
      </c>
      <c r="Q533">
        <v>0</v>
      </c>
      <c r="R533">
        <v>0</v>
      </c>
      <c r="S533">
        <v>0</v>
      </c>
      <c r="T533" t="s">
        <v>1827</v>
      </c>
      <c r="U533" t="s">
        <v>44</v>
      </c>
      <c r="W533" t="s">
        <v>1806</v>
      </c>
      <c r="Y533">
        <v>0</v>
      </c>
      <c r="AA533" t="s">
        <v>40</v>
      </c>
      <c r="AB533" t="s">
        <v>46</v>
      </c>
      <c r="AC533" t="s">
        <v>47</v>
      </c>
      <c r="AF533" t="s">
        <v>62</v>
      </c>
      <c r="AJ533" t="s">
        <v>40</v>
      </c>
      <c r="AK533" t="s">
        <v>49</v>
      </c>
      <c r="AN533">
        <v>260366814</v>
      </c>
      <c r="AO533" s="1">
        <v>45946</v>
      </c>
      <c r="AP533" s="5">
        <v>0.375</v>
      </c>
      <c r="AS533">
        <v>1</v>
      </c>
    </row>
    <row r="534" spans="1:45" x14ac:dyDescent="0.2">
      <c r="A534">
        <f t="shared" si="34"/>
        <v>2025</v>
      </c>
      <c r="B534">
        <f t="shared" si="35"/>
        <v>10</v>
      </c>
      <c r="C534">
        <f t="shared" si="36"/>
        <v>42</v>
      </c>
      <c r="D534" s="2">
        <f t="shared" si="37"/>
        <v>45946</v>
      </c>
      <c r="E534" s="1">
        <v>45946.416666666664</v>
      </c>
      <c r="F534" t="s">
        <v>1828</v>
      </c>
      <c r="G534" t="s">
        <v>36</v>
      </c>
      <c r="H534" t="s">
        <v>1829</v>
      </c>
      <c r="I534" t="s">
        <v>38</v>
      </c>
      <c r="J534" t="s">
        <v>60</v>
      </c>
      <c r="M534" t="s">
        <v>40</v>
      </c>
      <c r="N534" t="s">
        <v>41</v>
      </c>
      <c r="O534" t="s">
        <v>42</v>
      </c>
      <c r="P534">
        <v>20</v>
      </c>
      <c r="Q534">
        <v>0</v>
      </c>
      <c r="R534">
        <v>0</v>
      </c>
      <c r="S534">
        <v>0</v>
      </c>
      <c r="T534">
        <v>5019100824</v>
      </c>
      <c r="U534" t="s">
        <v>44</v>
      </c>
      <c r="W534" t="s">
        <v>1806</v>
      </c>
      <c r="Y534">
        <v>0</v>
      </c>
      <c r="AA534" t="s">
        <v>40</v>
      </c>
      <c r="AB534" t="s">
        <v>46</v>
      </c>
      <c r="AC534" t="s">
        <v>47</v>
      </c>
      <c r="AF534" t="s">
        <v>62</v>
      </c>
      <c r="AJ534" t="s">
        <v>40</v>
      </c>
      <c r="AK534" t="s">
        <v>49</v>
      </c>
      <c r="AN534">
        <v>260366815</v>
      </c>
      <c r="AO534" s="1">
        <v>45946</v>
      </c>
      <c r="AP534" s="5">
        <v>0.41666666666666669</v>
      </c>
      <c r="AS534">
        <v>1</v>
      </c>
    </row>
    <row r="535" spans="1:45" x14ac:dyDescent="0.2">
      <c r="A535">
        <f t="shared" si="34"/>
        <v>2025</v>
      </c>
      <c r="B535">
        <f t="shared" si="35"/>
        <v>10</v>
      </c>
      <c r="C535">
        <f t="shared" si="36"/>
        <v>42</v>
      </c>
      <c r="D535" s="2">
        <f t="shared" si="37"/>
        <v>45946</v>
      </c>
      <c r="E535" s="1">
        <v>45946.416666666664</v>
      </c>
      <c r="F535" t="s">
        <v>1830</v>
      </c>
      <c r="G535" t="s">
        <v>36</v>
      </c>
      <c r="H535" t="s">
        <v>1831</v>
      </c>
      <c r="I535" t="s">
        <v>78</v>
      </c>
      <c r="J535" t="s">
        <v>52</v>
      </c>
      <c r="M535" t="s">
        <v>40</v>
      </c>
      <c r="N535" t="s">
        <v>41</v>
      </c>
      <c r="O535" t="s">
        <v>1832</v>
      </c>
      <c r="P535">
        <v>66</v>
      </c>
      <c r="Q535">
        <v>0</v>
      </c>
      <c r="R535">
        <v>0</v>
      </c>
      <c r="S535">
        <v>0</v>
      </c>
      <c r="T535" t="s">
        <v>54</v>
      </c>
      <c r="U535" t="s">
        <v>55</v>
      </c>
      <c r="W535" t="s">
        <v>1833</v>
      </c>
      <c r="Y535">
        <v>0</v>
      </c>
      <c r="AA535" t="s">
        <v>40</v>
      </c>
      <c r="AB535" t="s">
        <v>46</v>
      </c>
      <c r="AC535" t="s">
        <v>47</v>
      </c>
      <c r="AD535" t="s">
        <v>81</v>
      </c>
      <c r="AE535" t="s">
        <v>81</v>
      </c>
      <c r="AG535" t="s">
        <v>1834</v>
      </c>
      <c r="AJ535" t="s">
        <v>40</v>
      </c>
      <c r="AK535" t="s">
        <v>1835</v>
      </c>
      <c r="AO535" s="1">
        <v>45946</v>
      </c>
      <c r="AP535" s="5">
        <v>0.41666666666666669</v>
      </c>
      <c r="AS535">
        <v>1</v>
      </c>
    </row>
    <row r="536" spans="1:45" x14ac:dyDescent="0.2">
      <c r="A536">
        <f t="shared" si="34"/>
        <v>2025</v>
      </c>
      <c r="B536">
        <f t="shared" si="35"/>
        <v>10</v>
      </c>
      <c r="C536">
        <f t="shared" si="36"/>
        <v>42</v>
      </c>
      <c r="D536" s="2">
        <f t="shared" si="37"/>
        <v>45946</v>
      </c>
      <c r="E536" s="1">
        <v>45946.416666666664</v>
      </c>
      <c r="F536" t="s">
        <v>1836</v>
      </c>
      <c r="G536" t="s">
        <v>36</v>
      </c>
      <c r="H536" t="s">
        <v>37</v>
      </c>
      <c r="I536" t="s">
        <v>38</v>
      </c>
      <c r="J536" t="s">
        <v>39</v>
      </c>
      <c r="M536" t="s">
        <v>40</v>
      </c>
      <c r="N536" t="s">
        <v>41</v>
      </c>
      <c r="O536" t="s">
        <v>42</v>
      </c>
      <c r="P536">
        <v>23</v>
      </c>
      <c r="Q536">
        <v>0</v>
      </c>
      <c r="R536">
        <v>0</v>
      </c>
      <c r="S536">
        <v>0</v>
      </c>
      <c r="T536" t="s">
        <v>1837</v>
      </c>
      <c r="U536" t="s">
        <v>44</v>
      </c>
      <c r="W536" t="s">
        <v>1700</v>
      </c>
      <c r="Y536">
        <v>0</v>
      </c>
      <c r="AA536" t="s">
        <v>40</v>
      </c>
      <c r="AB536" t="s">
        <v>46</v>
      </c>
      <c r="AC536" t="s">
        <v>47</v>
      </c>
      <c r="AF536" t="s">
        <v>48</v>
      </c>
      <c r="AJ536" t="s">
        <v>40</v>
      </c>
      <c r="AK536" t="s">
        <v>49</v>
      </c>
      <c r="AO536" s="1">
        <v>45946</v>
      </c>
      <c r="AP536" s="5">
        <v>0.41666666666666669</v>
      </c>
      <c r="AS536">
        <v>1</v>
      </c>
    </row>
    <row r="537" spans="1:45" x14ac:dyDescent="0.2">
      <c r="A537">
        <f t="shared" si="34"/>
        <v>2025</v>
      </c>
      <c r="B537">
        <f t="shared" si="35"/>
        <v>10</v>
      </c>
      <c r="C537">
        <f t="shared" si="36"/>
        <v>42</v>
      </c>
      <c r="D537" s="2">
        <f t="shared" si="37"/>
        <v>45946</v>
      </c>
      <c r="E537" s="1">
        <v>45946.416666666664</v>
      </c>
      <c r="F537" t="s">
        <v>1838</v>
      </c>
      <c r="G537" t="s">
        <v>36</v>
      </c>
      <c r="H537" t="s">
        <v>1839</v>
      </c>
      <c r="I537" t="s">
        <v>162</v>
      </c>
      <c r="J537" t="s">
        <v>126</v>
      </c>
      <c r="M537" t="s">
        <v>40</v>
      </c>
      <c r="N537" t="s">
        <v>41</v>
      </c>
      <c r="O537" t="s">
        <v>1840</v>
      </c>
      <c r="P537">
        <v>132</v>
      </c>
      <c r="Q537">
        <v>0</v>
      </c>
      <c r="R537">
        <v>0</v>
      </c>
      <c r="S537">
        <v>0</v>
      </c>
      <c r="T537" t="s">
        <v>54</v>
      </c>
      <c r="U537" t="s">
        <v>55</v>
      </c>
      <c r="W537" t="s">
        <v>1841</v>
      </c>
      <c r="Y537">
        <v>0</v>
      </c>
      <c r="AA537" t="s">
        <v>40</v>
      </c>
      <c r="AB537" t="s">
        <v>46</v>
      </c>
      <c r="AC537" t="s">
        <v>47</v>
      </c>
      <c r="AD537" t="s">
        <v>166</v>
      </c>
      <c r="AE537" t="s">
        <v>166</v>
      </c>
      <c r="AG537" t="s">
        <v>1842</v>
      </c>
      <c r="AJ537" t="s">
        <v>40</v>
      </c>
      <c r="AK537" t="s">
        <v>1843</v>
      </c>
      <c r="AO537" s="1">
        <v>45946</v>
      </c>
      <c r="AP537" s="5">
        <v>0.41666666666666669</v>
      </c>
      <c r="AS537">
        <v>1</v>
      </c>
    </row>
    <row r="538" spans="1:45" x14ac:dyDescent="0.2">
      <c r="A538">
        <f t="shared" si="34"/>
        <v>2025</v>
      </c>
      <c r="B538">
        <f t="shared" si="35"/>
        <v>10</v>
      </c>
      <c r="C538">
        <f t="shared" si="36"/>
        <v>42</v>
      </c>
      <c r="D538" s="2">
        <f t="shared" si="37"/>
        <v>45946</v>
      </c>
      <c r="E538" s="1">
        <v>45946.458333333336</v>
      </c>
      <c r="F538" t="s">
        <v>1844</v>
      </c>
      <c r="G538" t="s">
        <v>36</v>
      </c>
      <c r="H538" t="s">
        <v>879</v>
      </c>
      <c r="I538" t="s">
        <v>38</v>
      </c>
      <c r="J538" t="s">
        <v>880</v>
      </c>
      <c r="M538" t="s">
        <v>40</v>
      </c>
      <c r="N538" t="s">
        <v>41</v>
      </c>
      <c r="O538" t="s">
        <v>42</v>
      </c>
      <c r="P538">
        <v>17</v>
      </c>
      <c r="Q538">
        <v>0</v>
      </c>
      <c r="R538">
        <v>0</v>
      </c>
      <c r="S538">
        <v>0</v>
      </c>
      <c r="T538" t="s">
        <v>1845</v>
      </c>
      <c r="U538" t="s">
        <v>44</v>
      </c>
      <c r="W538" t="s">
        <v>1326</v>
      </c>
      <c r="Y538">
        <v>0</v>
      </c>
      <c r="AA538" t="s">
        <v>40</v>
      </c>
      <c r="AB538" t="s">
        <v>46</v>
      </c>
      <c r="AC538" t="s">
        <v>47</v>
      </c>
      <c r="AF538" t="s">
        <v>882</v>
      </c>
      <c r="AJ538" t="s">
        <v>40</v>
      </c>
      <c r="AK538" t="s">
        <v>49</v>
      </c>
      <c r="AO538" s="1">
        <v>45946</v>
      </c>
      <c r="AP538" s="5">
        <v>0.45833333333333331</v>
      </c>
      <c r="AS538">
        <v>1</v>
      </c>
    </row>
    <row r="539" spans="1:45" x14ac:dyDescent="0.2">
      <c r="A539">
        <f t="shared" si="34"/>
        <v>2025</v>
      </c>
      <c r="B539">
        <f t="shared" si="35"/>
        <v>10</v>
      </c>
      <c r="C539">
        <f t="shared" si="36"/>
        <v>42</v>
      </c>
      <c r="D539" s="2">
        <f t="shared" si="37"/>
        <v>45946</v>
      </c>
      <c r="E539" s="1">
        <v>45946.458333333336</v>
      </c>
      <c r="F539" t="s">
        <v>1846</v>
      </c>
      <c r="G539" t="s">
        <v>36</v>
      </c>
      <c r="H539" t="s">
        <v>1847</v>
      </c>
      <c r="I539" t="s">
        <v>38</v>
      </c>
      <c r="J539" t="s">
        <v>254</v>
      </c>
      <c r="M539" t="s">
        <v>40</v>
      </c>
      <c r="N539" t="s">
        <v>41</v>
      </c>
      <c r="O539" t="s">
        <v>42</v>
      </c>
      <c r="P539">
        <v>2</v>
      </c>
      <c r="Q539">
        <v>0</v>
      </c>
      <c r="R539">
        <v>0</v>
      </c>
      <c r="S539">
        <v>0</v>
      </c>
      <c r="T539" t="s">
        <v>1848</v>
      </c>
      <c r="U539" t="s">
        <v>101</v>
      </c>
      <c r="W539" t="s">
        <v>1806</v>
      </c>
      <c r="Y539">
        <v>0</v>
      </c>
      <c r="AA539" t="s">
        <v>40</v>
      </c>
      <c r="AB539" t="s">
        <v>46</v>
      </c>
      <c r="AC539" t="s">
        <v>47</v>
      </c>
      <c r="AF539" t="s">
        <v>393</v>
      </c>
      <c r="AJ539" t="s">
        <v>40</v>
      </c>
      <c r="AK539" t="s">
        <v>49</v>
      </c>
      <c r="AO539" s="1">
        <v>45946</v>
      </c>
      <c r="AP539" s="5">
        <v>0.45833333333333331</v>
      </c>
      <c r="AS539">
        <v>1</v>
      </c>
    </row>
    <row r="540" spans="1:45" x14ac:dyDescent="0.2">
      <c r="A540">
        <f t="shared" si="34"/>
        <v>2025</v>
      </c>
      <c r="B540">
        <f t="shared" si="35"/>
        <v>10</v>
      </c>
      <c r="C540">
        <f t="shared" si="36"/>
        <v>42</v>
      </c>
      <c r="D540" s="2">
        <f t="shared" si="37"/>
        <v>45946</v>
      </c>
      <c r="E540" s="1">
        <v>45946.458333333336</v>
      </c>
      <c r="F540" t="s">
        <v>1849</v>
      </c>
      <c r="G540" t="s">
        <v>36</v>
      </c>
      <c r="H540">
        <v>456563</v>
      </c>
      <c r="I540" t="s">
        <v>51</v>
      </c>
      <c r="J540" t="s">
        <v>52</v>
      </c>
      <c r="M540" t="s">
        <v>40</v>
      </c>
      <c r="N540" t="s">
        <v>41</v>
      </c>
      <c r="O540" t="s">
        <v>53</v>
      </c>
      <c r="P540">
        <v>33</v>
      </c>
      <c r="Q540">
        <v>0</v>
      </c>
      <c r="R540">
        <v>0</v>
      </c>
      <c r="S540">
        <v>0</v>
      </c>
      <c r="T540" t="s">
        <v>54</v>
      </c>
      <c r="U540" t="s">
        <v>55</v>
      </c>
      <c r="W540" t="s">
        <v>1759</v>
      </c>
      <c r="Y540">
        <v>0</v>
      </c>
      <c r="AA540" t="s">
        <v>40</v>
      </c>
      <c r="AB540" t="s">
        <v>46</v>
      </c>
      <c r="AC540" t="s">
        <v>47</v>
      </c>
      <c r="AG540" t="s">
        <v>1850</v>
      </c>
      <c r="AJ540" t="s">
        <v>40</v>
      </c>
      <c r="AK540">
        <v>5019179354</v>
      </c>
      <c r="AO540" s="1">
        <v>45946</v>
      </c>
      <c r="AP540" s="5">
        <v>0.45833333333333331</v>
      </c>
      <c r="AS540">
        <v>1</v>
      </c>
    </row>
    <row r="541" spans="1:45" x14ac:dyDescent="0.2">
      <c r="A541">
        <f t="shared" si="34"/>
        <v>2025</v>
      </c>
      <c r="B541">
        <f t="shared" si="35"/>
        <v>10</v>
      </c>
      <c r="C541">
        <f t="shared" si="36"/>
        <v>42</v>
      </c>
      <c r="D541" s="2">
        <f t="shared" si="37"/>
        <v>45946</v>
      </c>
      <c r="E541" s="1">
        <v>45946.458333333336</v>
      </c>
      <c r="F541" t="s">
        <v>1851</v>
      </c>
      <c r="G541" t="s">
        <v>36</v>
      </c>
      <c r="H541" t="s">
        <v>1808</v>
      </c>
      <c r="I541" t="s">
        <v>38</v>
      </c>
      <c r="J541" t="s">
        <v>99</v>
      </c>
      <c r="M541" t="s">
        <v>40</v>
      </c>
      <c r="N541" t="s">
        <v>41</v>
      </c>
      <c r="O541" t="s">
        <v>42</v>
      </c>
      <c r="P541">
        <v>23</v>
      </c>
      <c r="Q541">
        <v>0</v>
      </c>
      <c r="R541">
        <v>0</v>
      </c>
      <c r="S541">
        <v>0</v>
      </c>
      <c r="T541" t="s">
        <v>1852</v>
      </c>
      <c r="U541" t="s">
        <v>44</v>
      </c>
      <c r="W541" t="s">
        <v>1766</v>
      </c>
      <c r="Y541">
        <v>0</v>
      </c>
      <c r="AA541" t="s">
        <v>40</v>
      </c>
      <c r="AB541" t="s">
        <v>46</v>
      </c>
      <c r="AC541" t="s">
        <v>47</v>
      </c>
      <c r="AF541" t="s">
        <v>367</v>
      </c>
      <c r="AJ541" t="s">
        <v>40</v>
      </c>
      <c r="AK541" t="s">
        <v>49</v>
      </c>
      <c r="AM541" t="s">
        <v>1853</v>
      </c>
      <c r="AN541" t="s">
        <v>1854</v>
      </c>
      <c r="AO541" s="1">
        <v>45946</v>
      </c>
      <c r="AP541" s="5">
        <v>0.45833333333333331</v>
      </c>
      <c r="AS541">
        <v>1</v>
      </c>
    </row>
    <row r="542" spans="1:45" x14ac:dyDescent="0.2">
      <c r="A542">
        <f t="shared" si="34"/>
        <v>2025</v>
      </c>
      <c r="B542">
        <f t="shared" si="35"/>
        <v>10</v>
      </c>
      <c r="C542">
        <f t="shared" si="36"/>
        <v>42</v>
      </c>
      <c r="D542" s="2">
        <f t="shared" si="37"/>
        <v>45946</v>
      </c>
      <c r="E542" s="1">
        <v>45946.5</v>
      </c>
      <c r="F542" t="s">
        <v>1855</v>
      </c>
      <c r="G542" t="s">
        <v>36</v>
      </c>
      <c r="H542">
        <v>453881</v>
      </c>
      <c r="I542" t="s">
        <v>51</v>
      </c>
      <c r="J542" t="s">
        <v>188</v>
      </c>
      <c r="M542" t="s">
        <v>40</v>
      </c>
      <c r="N542" t="s">
        <v>41</v>
      </c>
      <c r="O542" t="s">
        <v>189</v>
      </c>
      <c r="P542">
        <v>33</v>
      </c>
      <c r="Q542">
        <v>0</v>
      </c>
      <c r="R542">
        <v>0</v>
      </c>
      <c r="S542">
        <v>0</v>
      </c>
      <c r="T542" t="s">
        <v>54</v>
      </c>
      <c r="U542" t="s">
        <v>55</v>
      </c>
      <c r="W542" t="s">
        <v>1515</v>
      </c>
      <c r="Y542">
        <v>0</v>
      </c>
      <c r="AA542" t="s">
        <v>40</v>
      </c>
      <c r="AB542" t="s">
        <v>46</v>
      </c>
      <c r="AC542" t="s">
        <v>47</v>
      </c>
      <c r="AG542" t="s">
        <v>1856</v>
      </c>
      <c r="AJ542" t="s">
        <v>40</v>
      </c>
      <c r="AK542">
        <v>5019164750</v>
      </c>
      <c r="AO542" s="1">
        <v>45946</v>
      </c>
      <c r="AP542" s="5">
        <v>0.5</v>
      </c>
      <c r="AS542">
        <v>1</v>
      </c>
    </row>
    <row r="543" spans="1:45" x14ac:dyDescent="0.2">
      <c r="A543">
        <f t="shared" si="34"/>
        <v>2025</v>
      </c>
      <c r="B543">
        <f t="shared" si="35"/>
        <v>10</v>
      </c>
      <c r="C543">
        <f t="shared" si="36"/>
        <v>42</v>
      </c>
      <c r="D543" s="2">
        <f t="shared" si="37"/>
        <v>45946</v>
      </c>
      <c r="E543" s="1">
        <v>45946.5</v>
      </c>
      <c r="F543" t="s">
        <v>1857</v>
      </c>
      <c r="G543" t="s">
        <v>36</v>
      </c>
      <c r="H543">
        <v>456569</v>
      </c>
      <c r="I543" t="s">
        <v>51</v>
      </c>
      <c r="J543" t="s">
        <v>52</v>
      </c>
      <c r="M543" t="s">
        <v>40</v>
      </c>
      <c r="N543" t="s">
        <v>41</v>
      </c>
      <c r="O543" t="s">
        <v>53</v>
      </c>
      <c r="P543">
        <v>33</v>
      </c>
      <c r="Q543">
        <v>0</v>
      </c>
      <c r="R543">
        <v>0</v>
      </c>
      <c r="S543">
        <v>0</v>
      </c>
      <c r="T543" t="s">
        <v>54</v>
      </c>
      <c r="U543" t="s">
        <v>55</v>
      </c>
      <c r="W543" t="s">
        <v>1532</v>
      </c>
      <c r="Y543">
        <v>0</v>
      </c>
      <c r="AA543" t="s">
        <v>40</v>
      </c>
      <c r="AB543" t="s">
        <v>46</v>
      </c>
      <c r="AC543" t="s">
        <v>47</v>
      </c>
      <c r="AG543" t="s">
        <v>1858</v>
      </c>
      <c r="AJ543" t="s">
        <v>40</v>
      </c>
      <c r="AK543">
        <v>5019190810</v>
      </c>
      <c r="AO543" s="1">
        <v>45946</v>
      </c>
      <c r="AP543" s="5">
        <v>0.5</v>
      </c>
      <c r="AS543">
        <v>1</v>
      </c>
    </row>
    <row r="544" spans="1:45" x14ac:dyDescent="0.2">
      <c r="A544">
        <f t="shared" si="34"/>
        <v>2025</v>
      </c>
      <c r="B544">
        <f t="shared" si="35"/>
        <v>10</v>
      </c>
      <c r="C544">
        <f t="shared" si="36"/>
        <v>42</v>
      </c>
      <c r="D544" s="2">
        <f t="shared" si="37"/>
        <v>45946</v>
      </c>
      <c r="E544" s="1">
        <v>45946.5</v>
      </c>
      <c r="F544" t="s">
        <v>1859</v>
      </c>
      <c r="G544" t="s">
        <v>36</v>
      </c>
      <c r="H544" t="s">
        <v>1054</v>
      </c>
      <c r="I544" t="s">
        <v>38</v>
      </c>
      <c r="J544" t="s">
        <v>348</v>
      </c>
      <c r="M544" t="s">
        <v>40</v>
      </c>
      <c r="N544" t="s">
        <v>41</v>
      </c>
      <c r="O544" t="s">
        <v>42</v>
      </c>
      <c r="P544">
        <v>19</v>
      </c>
      <c r="Q544">
        <v>0</v>
      </c>
      <c r="R544">
        <v>0</v>
      </c>
      <c r="S544">
        <v>0</v>
      </c>
      <c r="T544" t="s">
        <v>1860</v>
      </c>
      <c r="U544" t="s">
        <v>44</v>
      </c>
      <c r="W544" t="s">
        <v>1700</v>
      </c>
      <c r="Y544">
        <v>0</v>
      </c>
      <c r="AA544" t="s">
        <v>40</v>
      </c>
      <c r="AB544" t="s">
        <v>46</v>
      </c>
      <c r="AC544" t="s">
        <v>47</v>
      </c>
      <c r="AF544" t="s">
        <v>48</v>
      </c>
      <c r="AJ544" t="s">
        <v>40</v>
      </c>
      <c r="AK544" t="s">
        <v>49</v>
      </c>
      <c r="AO544" s="1">
        <v>45946</v>
      </c>
      <c r="AP544" s="5">
        <v>0.5</v>
      </c>
      <c r="AS544">
        <v>1</v>
      </c>
    </row>
    <row r="545" spans="1:45" x14ac:dyDescent="0.2">
      <c r="A545">
        <f t="shared" si="34"/>
        <v>2025</v>
      </c>
      <c r="B545">
        <f t="shared" si="35"/>
        <v>10</v>
      </c>
      <c r="C545">
        <f t="shared" si="36"/>
        <v>42</v>
      </c>
      <c r="D545" s="2">
        <f t="shared" si="37"/>
        <v>45946</v>
      </c>
      <c r="E545" s="1">
        <v>45946.5</v>
      </c>
      <c r="F545" t="s">
        <v>1861</v>
      </c>
      <c r="G545" t="s">
        <v>36</v>
      </c>
      <c r="H545">
        <v>460085</v>
      </c>
      <c r="I545" t="s">
        <v>51</v>
      </c>
      <c r="J545" t="s">
        <v>52</v>
      </c>
      <c r="M545" t="s">
        <v>40</v>
      </c>
      <c r="N545" t="s">
        <v>41</v>
      </c>
      <c r="O545" t="s">
        <v>53</v>
      </c>
      <c r="P545">
        <v>33</v>
      </c>
      <c r="Q545">
        <v>0</v>
      </c>
      <c r="R545">
        <v>0</v>
      </c>
      <c r="S545">
        <v>0</v>
      </c>
      <c r="T545" t="s">
        <v>54</v>
      </c>
      <c r="U545" t="s">
        <v>55</v>
      </c>
      <c r="W545" t="s">
        <v>1759</v>
      </c>
      <c r="Y545">
        <v>0</v>
      </c>
      <c r="AA545" t="s">
        <v>40</v>
      </c>
      <c r="AB545" t="s">
        <v>46</v>
      </c>
      <c r="AC545" t="s">
        <v>47</v>
      </c>
      <c r="AG545" t="s">
        <v>1862</v>
      </c>
      <c r="AJ545" t="s">
        <v>40</v>
      </c>
      <c r="AK545">
        <v>5019164458</v>
      </c>
      <c r="AO545" s="1">
        <v>45946</v>
      </c>
      <c r="AP545" s="5">
        <v>0.5</v>
      </c>
      <c r="AS545">
        <v>1</v>
      </c>
    </row>
    <row r="546" spans="1:45" x14ac:dyDescent="0.2">
      <c r="A546">
        <f t="shared" si="34"/>
        <v>2025</v>
      </c>
      <c r="B546">
        <f t="shared" si="35"/>
        <v>10</v>
      </c>
      <c r="C546">
        <f t="shared" si="36"/>
        <v>42</v>
      </c>
      <c r="D546" s="2">
        <f t="shared" si="37"/>
        <v>45946</v>
      </c>
      <c r="E546" s="1">
        <v>45946.541666666664</v>
      </c>
      <c r="F546" t="s">
        <v>1863</v>
      </c>
      <c r="G546" t="s">
        <v>36</v>
      </c>
      <c r="H546" t="s">
        <v>1054</v>
      </c>
      <c r="I546" t="s">
        <v>38</v>
      </c>
      <c r="J546" t="s">
        <v>348</v>
      </c>
      <c r="M546" t="s">
        <v>40</v>
      </c>
      <c r="N546" t="s">
        <v>41</v>
      </c>
      <c r="O546" t="s">
        <v>42</v>
      </c>
      <c r="P546">
        <v>23</v>
      </c>
      <c r="Q546">
        <v>0</v>
      </c>
      <c r="R546">
        <v>0</v>
      </c>
      <c r="S546">
        <v>0</v>
      </c>
      <c r="T546" t="s">
        <v>1864</v>
      </c>
      <c r="U546" t="s">
        <v>44</v>
      </c>
      <c r="W546" t="s">
        <v>1700</v>
      </c>
      <c r="Y546">
        <v>0</v>
      </c>
      <c r="AA546" t="s">
        <v>40</v>
      </c>
      <c r="AB546" t="s">
        <v>46</v>
      </c>
      <c r="AC546" t="s">
        <v>47</v>
      </c>
      <c r="AF546" t="s">
        <v>48</v>
      </c>
      <c r="AJ546" t="s">
        <v>40</v>
      </c>
      <c r="AK546" t="s">
        <v>49</v>
      </c>
      <c r="AO546" s="1">
        <v>45946</v>
      </c>
      <c r="AP546" s="5">
        <v>0.54166666666666663</v>
      </c>
      <c r="AS546">
        <v>1</v>
      </c>
    </row>
    <row r="547" spans="1:45" x14ac:dyDescent="0.2">
      <c r="A547">
        <f t="shared" si="34"/>
        <v>2025</v>
      </c>
      <c r="B547">
        <f t="shared" si="35"/>
        <v>10</v>
      </c>
      <c r="C547">
        <f t="shared" si="36"/>
        <v>42</v>
      </c>
      <c r="D547" s="2">
        <f t="shared" si="37"/>
        <v>45946</v>
      </c>
      <c r="E547" s="1">
        <v>45946.541666666664</v>
      </c>
      <c r="F547" t="s">
        <v>1865</v>
      </c>
      <c r="G547" t="s">
        <v>36</v>
      </c>
      <c r="H547">
        <v>460410</v>
      </c>
      <c r="I547" t="s">
        <v>51</v>
      </c>
      <c r="J547" t="s">
        <v>188</v>
      </c>
      <c r="M547" t="s">
        <v>40</v>
      </c>
      <c r="N547" t="s">
        <v>41</v>
      </c>
      <c r="O547" t="s">
        <v>189</v>
      </c>
      <c r="P547">
        <v>33</v>
      </c>
      <c r="Q547">
        <v>0</v>
      </c>
      <c r="R547">
        <v>0</v>
      </c>
      <c r="S547">
        <v>0</v>
      </c>
      <c r="T547" t="s">
        <v>54</v>
      </c>
      <c r="U547" t="s">
        <v>55</v>
      </c>
      <c r="W547" t="s">
        <v>1766</v>
      </c>
      <c r="Y547">
        <v>0</v>
      </c>
      <c r="AA547" t="s">
        <v>40</v>
      </c>
      <c r="AB547" t="s">
        <v>46</v>
      </c>
      <c r="AC547" t="s">
        <v>47</v>
      </c>
      <c r="AG547" t="s">
        <v>1866</v>
      </c>
      <c r="AJ547" t="s">
        <v>40</v>
      </c>
      <c r="AK547">
        <v>5019184379</v>
      </c>
      <c r="AO547" s="1">
        <v>45946</v>
      </c>
      <c r="AP547" s="5">
        <v>0.54166666666666663</v>
      </c>
      <c r="AS547">
        <v>1</v>
      </c>
    </row>
    <row r="548" spans="1:45" x14ac:dyDescent="0.2">
      <c r="A548">
        <f t="shared" si="34"/>
        <v>2025</v>
      </c>
      <c r="B548">
        <f t="shared" si="35"/>
        <v>10</v>
      </c>
      <c r="C548">
        <f t="shared" si="36"/>
        <v>42</v>
      </c>
      <c r="D548" s="2">
        <f t="shared" si="37"/>
        <v>45946</v>
      </c>
      <c r="E548" s="1">
        <v>45946.541666666664</v>
      </c>
      <c r="F548" t="s">
        <v>1867</v>
      </c>
      <c r="G548" t="s">
        <v>36</v>
      </c>
      <c r="H548" t="s">
        <v>879</v>
      </c>
      <c r="I548" t="s">
        <v>38</v>
      </c>
      <c r="J548" t="s">
        <v>880</v>
      </c>
      <c r="M548" t="s">
        <v>40</v>
      </c>
      <c r="N548" t="s">
        <v>41</v>
      </c>
      <c r="O548" t="s">
        <v>42</v>
      </c>
      <c r="P548">
        <v>11</v>
      </c>
      <c r="Q548">
        <v>0</v>
      </c>
      <c r="R548">
        <v>0</v>
      </c>
      <c r="S548">
        <v>0</v>
      </c>
      <c r="T548" t="s">
        <v>1868</v>
      </c>
      <c r="U548" t="s">
        <v>44</v>
      </c>
      <c r="W548" t="s">
        <v>1326</v>
      </c>
      <c r="Y548">
        <v>0</v>
      </c>
      <c r="AA548" t="s">
        <v>40</v>
      </c>
      <c r="AB548" t="s">
        <v>46</v>
      </c>
      <c r="AC548" t="s">
        <v>47</v>
      </c>
      <c r="AF548" t="s">
        <v>882</v>
      </c>
      <c r="AJ548" t="s">
        <v>40</v>
      </c>
      <c r="AK548" t="s">
        <v>49</v>
      </c>
      <c r="AO548" s="1">
        <v>45946</v>
      </c>
      <c r="AP548" s="5">
        <v>0.54166666666666663</v>
      </c>
      <c r="AS548">
        <v>1</v>
      </c>
    </row>
    <row r="549" spans="1:45" x14ac:dyDescent="0.2">
      <c r="A549">
        <f t="shared" si="34"/>
        <v>2025</v>
      </c>
      <c r="B549">
        <f t="shared" si="35"/>
        <v>10</v>
      </c>
      <c r="C549">
        <f t="shared" si="36"/>
        <v>42</v>
      </c>
      <c r="D549" s="2">
        <f t="shared" si="37"/>
        <v>45946</v>
      </c>
      <c r="E549" s="1">
        <v>45946.541666666664</v>
      </c>
      <c r="F549" t="s">
        <v>1869</v>
      </c>
      <c r="G549" t="s">
        <v>36</v>
      </c>
      <c r="H549">
        <v>453871</v>
      </c>
      <c r="I549" t="s">
        <v>51</v>
      </c>
      <c r="J549" t="s">
        <v>188</v>
      </c>
      <c r="M549" t="s">
        <v>40</v>
      </c>
      <c r="N549" t="s">
        <v>41</v>
      </c>
      <c r="O549" t="s">
        <v>189</v>
      </c>
      <c r="P549">
        <v>33</v>
      </c>
      <c r="Q549">
        <v>0</v>
      </c>
      <c r="R549">
        <v>0</v>
      </c>
      <c r="S549">
        <v>0</v>
      </c>
      <c r="T549" t="s">
        <v>54</v>
      </c>
      <c r="U549" t="s">
        <v>55</v>
      </c>
      <c r="W549" t="s">
        <v>1870</v>
      </c>
      <c r="Y549">
        <v>0</v>
      </c>
      <c r="AA549" t="s">
        <v>40</v>
      </c>
      <c r="AB549" t="s">
        <v>46</v>
      </c>
      <c r="AC549" t="s">
        <v>47</v>
      </c>
      <c r="AG549" t="s">
        <v>1871</v>
      </c>
      <c r="AJ549" t="s">
        <v>40</v>
      </c>
      <c r="AK549">
        <v>5019172052</v>
      </c>
      <c r="AO549" s="1">
        <v>45946</v>
      </c>
      <c r="AP549" s="5">
        <v>0.54166666666666663</v>
      </c>
      <c r="AS549">
        <v>1</v>
      </c>
    </row>
    <row r="550" spans="1:45" x14ac:dyDescent="0.2">
      <c r="A550">
        <f t="shared" si="34"/>
        <v>2025</v>
      </c>
      <c r="B550">
        <f t="shared" si="35"/>
        <v>10</v>
      </c>
      <c r="C550">
        <f t="shared" si="36"/>
        <v>42</v>
      </c>
      <c r="D550" s="2">
        <f t="shared" si="37"/>
        <v>45946</v>
      </c>
      <c r="E550" s="1">
        <v>45946.583333333336</v>
      </c>
      <c r="F550" t="s">
        <v>1872</v>
      </c>
      <c r="G550" t="s">
        <v>36</v>
      </c>
      <c r="H550" t="s">
        <v>297</v>
      </c>
      <c r="I550" t="s">
        <v>38</v>
      </c>
      <c r="J550" t="s">
        <v>112</v>
      </c>
      <c r="M550" t="s">
        <v>40</v>
      </c>
      <c r="N550" t="s">
        <v>41</v>
      </c>
      <c r="O550" t="s">
        <v>42</v>
      </c>
      <c r="P550">
        <v>10</v>
      </c>
      <c r="Q550">
        <v>0</v>
      </c>
      <c r="R550">
        <v>0</v>
      </c>
      <c r="S550">
        <v>0</v>
      </c>
      <c r="T550" t="s">
        <v>1873</v>
      </c>
      <c r="U550" t="s">
        <v>101</v>
      </c>
      <c r="W550" t="s">
        <v>1700</v>
      </c>
      <c r="Y550">
        <v>0</v>
      </c>
      <c r="AA550" t="s">
        <v>40</v>
      </c>
      <c r="AB550" t="s">
        <v>46</v>
      </c>
      <c r="AC550" t="s">
        <v>47</v>
      </c>
      <c r="AF550" t="s">
        <v>48</v>
      </c>
      <c r="AJ550" t="s">
        <v>40</v>
      </c>
      <c r="AK550" t="s">
        <v>49</v>
      </c>
      <c r="AO550" s="1">
        <v>45946</v>
      </c>
      <c r="AP550" s="5">
        <v>0.58333333333333337</v>
      </c>
      <c r="AS550">
        <v>1</v>
      </c>
    </row>
    <row r="551" spans="1:45" x14ac:dyDescent="0.2">
      <c r="A551">
        <f t="shared" si="34"/>
        <v>2025</v>
      </c>
      <c r="B551">
        <f t="shared" si="35"/>
        <v>10</v>
      </c>
      <c r="C551">
        <f t="shared" si="36"/>
        <v>42</v>
      </c>
      <c r="D551" s="2">
        <f t="shared" si="37"/>
        <v>45946</v>
      </c>
      <c r="E551" s="1">
        <v>45946.583333333336</v>
      </c>
      <c r="F551" t="s">
        <v>1874</v>
      </c>
      <c r="G551" t="s">
        <v>36</v>
      </c>
      <c r="H551" t="s">
        <v>37</v>
      </c>
      <c r="I551" t="s">
        <v>38</v>
      </c>
      <c r="J551" t="s">
        <v>39</v>
      </c>
      <c r="M551" t="s">
        <v>40</v>
      </c>
      <c r="N551" t="s">
        <v>41</v>
      </c>
      <c r="O551" t="s">
        <v>42</v>
      </c>
      <c r="P551">
        <v>23</v>
      </c>
      <c r="Q551">
        <v>0</v>
      </c>
      <c r="R551">
        <v>0</v>
      </c>
      <c r="S551">
        <v>0</v>
      </c>
      <c r="T551" t="s">
        <v>1875</v>
      </c>
      <c r="U551" t="s">
        <v>44</v>
      </c>
      <c r="W551" t="s">
        <v>1700</v>
      </c>
      <c r="Y551">
        <v>0</v>
      </c>
      <c r="AA551" t="s">
        <v>40</v>
      </c>
      <c r="AB551" t="s">
        <v>46</v>
      </c>
      <c r="AC551" t="s">
        <v>47</v>
      </c>
      <c r="AF551" t="s">
        <v>48</v>
      </c>
      <c r="AJ551" t="s">
        <v>40</v>
      </c>
      <c r="AK551" t="s">
        <v>49</v>
      </c>
      <c r="AO551" s="1">
        <v>45946</v>
      </c>
      <c r="AP551" s="5">
        <v>0.58333333333333337</v>
      </c>
      <c r="AS551">
        <v>1</v>
      </c>
    </row>
    <row r="552" spans="1:45" x14ac:dyDescent="0.2">
      <c r="A552">
        <f t="shared" si="34"/>
        <v>2025</v>
      </c>
      <c r="B552">
        <f t="shared" si="35"/>
        <v>10</v>
      </c>
      <c r="C552">
        <f t="shared" si="36"/>
        <v>42</v>
      </c>
      <c r="D552" s="2">
        <f t="shared" si="37"/>
        <v>45946</v>
      </c>
      <c r="E552" s="1">
        <v>45946.583333333336</v>
      </c>
      <c r="F552" t="s">
        <v>1876</v>
      </c>
      <c r="G552" t="s">
        <v>36</v>
      </c>
      <c r="H552" t="s">
        <v>1054</v>
      </c>
      <c r="I552" t="s">
        <v>38</v>
      </c>
      <c r="J552" t="s">
        <v>348</v>
      </c>
      <c r="M552" t="s">
        <v>40</v>
      </c>
      <c r="N552" t="s">
        <v>41</v>
      </c>
      <c r="O552" t="s">
        <v>42</v>
      </c>
      <c r="P552">
        <v>23</v>
      </c>
      <c r="Q552">
        <v>0</v>
      </c>
      <c r="R552">
        <v>0</v>
      </c>
      <c r="S552">
        <v>0</v>
      </c>
      <c r="T552" t="s">
        <v>1877</v>
      </c>
      <c r="U552" t="s">
        <v>44</v>
      </c>
      <c r="W552" t="s">
        <v>1700</v>
      </c>
      <c r="Y552">
        <v>0</v>
      </c>
      <c r="AA552" t="s">
        <v>40</v>
      </c>
      <c r="AB552" t="s">
        <v>46</v>
      </c>
      <c r="AC552" t="s">
        <v>47</v>
      </c>
      <c r="AF552" t="s">
        <v>48</v>
      </c>
      <c r="AJ552" t="s">
        <v>40</v>
      </c>
      <c r="AK552" t="s">
        <v>49</v>
      </c>
      <c r="AO552" s="1">
        <v>45946</v>
      </c>
      <c r="AP552" s="5">
        <v>0.58333333333333337</v>
      </c>
      <c r="AS552">
        <v>1</v>
      </c>
    </row>
    <row r="553" spans="1:45" x14ac:dyDescent="0.2">
      <c r="A553">
        <f t="shared" si="34"/>
        <v>2025</v>
      </c>
      <c r="B553">
        <f t="shared" si="35"/>
        <v>10</v>
      </c>
      <c r="C553">
        <f t="shared" si="36"/>
        <v>42</v>
      </c>
      <c r="D553" s="2">
        <f t="shared" si="37"/>
        <v>45946</v>
      </c>
      <c r="E553" s="1">
        <v>45946.583333333336</v>
      </c>
      <c r="F553" t="s">
        <v>1878</v>
      </c>
      <c r="G553" t="s">
        <v>36</v>
      </c>
      <c r="H553">
        <v>453838</v>
      </c>
      <c r="I553" t="s">
        <v>51</v>
      </c>
      <c r="J553" t="s">
        <v>154</v>
      </c>
      <c r="M553" t="s">
        <v>40</v>
      </c>
      <c r="N553" t="s">
        <v>41</v>
      </c>
      <c r="O553" t="s">
        <v>155</v>
      </c>
      <c r="P553">
        <v>33</v>
      </c>
      <c r="Q553">
        <v>0</v>
      </c>
      <c r="R553">
        <v>0</v>
      </c>
      <c r="S553">
        <v>0</v>
      </c>
      <c r="T553" t="s">
        <v>54</v>
      </c>
      <c r="U553" t="s">
        <v>55</v>
      </c>
      <c r="W553" t="s">
        <v>1766</v>
      </c>
      <c r="Y553">
        <v>0</v>
      </c>
      <c r="AA553" t="s">
        <v>40</v>
      </c>
      <c r="AB553" t="s">
        <v>46</v>
      </c>
      <c r="AC553" t="s">
        <v>47</v>
      </c>
      <c r="AG553" t="s">
        <v>1879</v>
      </c>
      <c r="AJ553" t="s">
        <v>40</v>
      </c>
      <c r="AK553">
        <v>5019185664</v>
      </c>
      <c r="AO553" s="1">
        <v>45946</v>
      </c>
      <c r="AP553" s="5">
        <v>0.58333333333333337</v>
      </c>
      <c r="AS553">
        <v>1</v>
      </c>
    </row>
    <row r="554" spans="1:45" x14ac:dyDescent="0.2">
      <c r="A554">
        <f t="shared" si="34"/>
        <v>2025</v>
      </c>
      <c r="B554">
        <f t="shared" si="35"/>
        <v>10</v>
      </c>
      <c r="C554">
        <f t="shared" si="36"/>
        <v>42</v>
      </c>
      <c r="D554" s="2">
        <f t="shared" si="37"/>
        <v>45946</v>
      </c>
      <c r="E554" s="1">
        <v>45946.625</v>
      </c>
      <c r="F554" t="s">
        <v>1880</v>
      </c>
      <c r="G554" t="s">
        <v>36</v>
      </c>
      <c r="H554" t="s">
        <v>1167</v>
      </c>
      <c r="I554" t="s">
        <v>38</v>
      </c>
      <c r="J554" t="s">
        <v>1168</v>
      </c>
      <c r="M554" t="s">
        <v>40</v>
      </c>
      <c r="N554" t="s">
        <v>41</v>
      </c>
      <c r="O554" t="s">
        <v>42</v>
      </c>
      <c r="P554">
        <v>15</v>
      </c>
      <c r="Q554">
        <v>0</v>
      </c>
      <c r="R554">
        <v>0</v>
      </c>
      <c r="S554">
        <v>0</v>
      </c>
      <c r="T554">
        <v>5019135682</v>
      </c>
      <c r="U554" t="s">
        <v>44</v>
      </c>
      <c r="W554" t="s">
        <v>1326</v>
      </c>
      <c r="Y554">
        <v>0</v>
      </c>
      <c r="AA554" t="s">
        <v>40</v>
      </c>
      <c r="AB554" t="s">
        <v>46</v>
      </c>
      <c r="AC554" t="s">
        <v>47</v>
      </c>
      <c r="AF554" t="s">
        <v>1169</v>
      </c>
      <c r="AJ554" t="s">
        <v>40</v>
      </c>
      <c r="AK554" t="s">
        <v>49</v>
      </c>
      <c r="AO554" s="1">
        <v>45946</v>
      </c>
      <c r="AP554" s="5">
        <v>0.625</v>
      </c>
      <c r="AS554">
        <v>1</v>
      </c>
    </row>
    <row r="555" spans="1:45" x14ac:dyDescent="0.2">
      <c r="A555">
        <f t="shared" si="34"/>
        <v>2025</v>
      </c>
      <c r="B555">
        <f t="shared" si="35"/>
        <v>10</v>
      </c>
      <c r="C555">
        <f t="shared" si="36"/>
        <v>42</v>
      </c>
      <c r="D555" s="2">
        <f t="shared" si="37"/>
        <v>45946</v>
      </c>
      <c r="E555" s="1">
        <v>45946.625</v>
      </c>
      <c r="F555" t="s">
        <v>1881</v>
      </c>
      <c r="G555" t="s">
        <v>36</v>
      </c>
      <c r="H555" t="s">
        <v>37</v>
      </c>
      <c r="I555" t="s">
        <v>38</v>
      </c>
      <c r="J555" t="s">
        <v>39</v>
      </c>
      <c r="M555" t="s">
        <v>40</v>
      </c>
      <c r="N555" t="s">
        <v>41</v>
      </c>
      <c r="O555" t="s">
        <v>42</v>
      </c>
      <c r="P555">
        <v>23</v>
      </c>
      <c r="Q555">
        <v>0</v>
      </c>
      <c r="R555">
        <v>0</v>
      </c>
      <c r="S555">
        <v>0</v>
      </c>
      <c r="T555" t="s">
        <v>1882</v>
      </c>
      <c r="U555" t="s">
        <v>44</v>
      </c>
      <c r="W555" t="s">
        <v>1700</v>
      </c>
      <c r="Y555">
        <v>0</v>
      </c>
      <c r="AA555" t="s">
        <v>40</v>
      </c>
      <c r="AB555" t="s">
        <v>46</v>
      </c>
      <c r="AC555" t="s">
        <v>47</v>
      </c>
      <c r="AF555" t="s">
        <v>48</v>
      </c>
      <c r="AJ555" t="s">
        <v>40</v>
      </c>
      <c r="AK555" t="s">
        <v>49</v>
      </c>
      <c r="AO555" s="1">
        <v>45946</v>
      </c>
      <c r="AP555" s="5">
        <v>0.625</v>
      </c>
      <c r="AS555">
        <v>1</v>
      </c>
    </row>
    <row r="556" spans="1:45" x14ac:dyDescent="0.2">
      <c r="A556">
        <f t="shared" si="34"/>
        <v>2025</v>
      </c>
      <c r="B556">
        <f t="shared" si="35"/>
        <v>10</v>
      </c>
      <c r="C556">
        <f t="shared" si="36"/>
        <v>42</v>
      </c>
      <c r="D556" s="2">
        <f t="shared" si="37"/>
        <v>45946</v>
      </c>
      <c r="E556" s="1">
        <v>45946.625</v>
      </c>
      <c r="F556" t="s">
        <v>1883</v>
      </c>
      <c r="G556" t="s">
        <v>36</v>
      </c>
      <c r="H556">
        <v>453827</v>
      </c>
      <c r="I556" t="s">
        <v>51</v>
      </c>
      <c r="J556" t="s">
        <v>154</v>
      </c>
      <c r="M556" t="s">
        <v>40</v>
      </c>
      <c r="N556" t="s">
        <v>41</v>
      </c>
      <c r="O556" t="s">
        <v>155</v>
      </c>
      <c r="P556">
        <v>33</v>
      </c>
      <c r="Q556">
        <v>0</v>
      </c>
      <c r="R556">
        <v>0</v>
      </c>
      <c r="S556">
        <v>0</v>
      </c>
      <c r="T556" t="s">
        <v>54</v>
      </c>
      <c r="U556" t="s">
        <v>55</v>
      </c>
      <c r="W556" t="s">
        <v>1700</v>
      </c>
      <c r="Y556">
        <v>0</v>
      </c>
      <c r="AA556" t="s">
        <v>40</v>
      </c>
      <c r="AB556" t="s">
        <v>46</v>
      </c>
      <c r="AC556" t="s">
        <v>47</v>
      </c>
      <c r="AG556" t="s">
        <v>1884</v>
      </c>
      <c r="AJ556" t="s">
        <v>40</v>
      </c>
      <c r="AK556">
        <v>5019190173</v>
      </c>
      <c r="AO556" s="1">
        <v>45946</v>
      </c>
      <c r="AP556" s="5">
        <v>0.625</v>
      </c>
      <c r="AS556">
        <v>1</v>
      </c>
    </row>
    <row r="557" spans="1:45" x14ac:dyDescent="0.2">
      <c r="A557">
        <f t="shared" si="34"/>
        <v>2025</v>
      </c>
      <c r="B557">
        <f t="shared" si="35"/>
        <v>10</v>
      </c>
      <c r="C557">
        <f t="shared" si="36"/>
        <v>42</v>
      </c>
      <c r="D557" s="2">
        <f t="shared" si="37"/>
        <v>45946</v>
      </c>
      <c r="E557" s="1">
        <v>45946.666666666664</v>
      </c>
      <c r="F557" t="s">
        <v>1885</v>
      </c>
      <c r="G557" t="s">
        <v>36</v>
      </c>
      <c r="H557" t="s">
        <v>111</v>
      </c>
      <c r="I557" t="s">
        <v>38</v>
      </c>
      <c r="J557" t="s">
        <v>99</v>
      </c>
      <c r="M557" t="s">
        <v>40</v>
      </c>
      <c r="N557" t="s">
        <v>41</v>
      </c>
      <c r="O557" t="s">
        <v>42</v>
      </c>
      <c r="P557">
        <v>23</v>
      </c>
      <c r="Q557">
        <v>0</v>
      </c>
      <c r="R557">
        <v>0</v>
      </c>
      <c r="S557">
        <v>0</v>
      </c>
      <c r="T557" t="s">
        <v>1886</v>
      </c>
      <c r="U557" t="s">
        <v>44</v>
      </c>
      <c r="W557" t="s">
        <v>1700</v>
      </c>
      <c r="Y557">
        <v>0</v>
      </c>
      <c r="AA557" t="s">
        <v>40</v>
      </c>
      <c r="AB557" t="s">
        <v>46</v>
      </c>
      <c r="AC557" t="s">
        <v>47</v>
      </c>
      <c r="AF557" t="s">
        <v>48</v>
      </c>
      <c r="AJ557" t="s">
        <v>40</v>
      </c>
      <c r="AK557" t="s">
        <v>49</v>
      </c>
      <c r="AO557" s="1">
        <v>45946</v>
      </c>
      <c r="AP557" s="5">
        <v>0.66666666666666663</v>
      </c>
      <c r="AS557">
        <v>1</v>
      </c>
    </row>
    <row r="558" spans="1:45" x14ac:dyDescent="0.2">
      <c r="A558">
        <f t="shared" si="34"/>
        <v>2025</v>
      </c>
      <c r="B558">
        <f t="shared" si="35"/>
        <v>10</v>
      </c>
      <c r="C558">
        <f t="shared" si="36"/>
        <v>42</v>
      </c>
      <c r="D558" s="2">
        <f t="shared" si="37"/>
        <v>45946</v>
      </c>
      <c r="E558" s="1">
        <v>45946.666666666664</v>
      </c>
      <c r="F558" t="s">
        <v>1887</v>
      </c>
      <c r="G558" t="s">
        <v>36</v>
      </c>
      <c r="H558" t="s">
        <v>37</v>
      </c>
      <c r="I558" t="s">
        <v>38</v>
      </c>
      <c r="J558" t="s">
        <v>112</v>
      </c>
      <c r="M558" t="s">
        <v>40</v>
      </c>
      <c r="N558" t="s">
        <v>41</v>
      </c>
      <c r="O558" t="s">
        <v>42</v>
      </c>
      <c r="P558">
        <v>23</v>
      </c>
      <c r="Q558">
        <v>0</v>
      </c>
      <c r="R558">
        <v>0</v>
      </c>
      <c r="S558">
        <v>0</v>
      </c>
      <c r="T558" t="s">
        <v>1888</v>
      </c>
      <c r="U558" t="s">
        <v>44</v>
      </c>
      <c r="W558" t="s">
        <v>1700</v>
      </c>
      <c r="Y558">
        <v>0</v>
      </c>
      <c r="AA558" t="s">
        <v>40</v>
      </c>
      <c r="AB558" t="s">
        <v>46</v>
      </c>
      <c r="AC558" t="s">
        <v>47</v>
      </c>
      <c r="AF558" t="s">
        <v>48</v>
      </c>
      <c r="AJ558" t="s">
        <v>40</v>
      </c>
      <c r="AK558" t="s">
        <v>49</v>
      </c>
      <c r="AO558" s="1">
        <v>45946</v>
      </c>
      <c r="AP558" s="5">
        <v>0.66666666666666663</v>
      </c>
      <c r="AS558">
        <v>1</v>
      </c>
    </row>
    <row r="559" spans="1:45" x14ac:dyDescent="0.2">
      <c r="A559">
        <f t="shared" si="34"/>
        <v>2025</v>
      </c>
      <c r="B559">
        <f t="shared" si="35"/>
        <v>10</v>
      </c>
      <c r="C559">
        <f t="shared" si="36"/>
        <v>42</v>
      </c>
      <c r="D559" s="2">
        <f t="shared" si="37"/>
        <v>45946</v>
      </c>
      <c r="E559" s="1">
        <v>45946.666666666664</v>
      </c>
      <c r="F559" t="s">
        <v>1889</v>
      </c>
      <c r="G559" t="s">
        <v>36</v>
      </c>
      <c r="H559">
        <v>453850</v>
      </c>
      <c r="I559" t="s">
        <v>51</v>
      </c>
      <c r="J559" t="s">
        <v>154</v>
      </c>
      <c r="M559" t="s">
        <v>40</v>
      </c>
      <c r="N559" t="s">
        <v>41</v>
      </c>
      <c r="O559" t="s">
        <v>155</v>
      </c>
      <c r="P559">
        <v>33</v>
      </c>
      <c r="Q559">
        <v>0</v>
      </c>
      <c r="R559">
        <v>0</v>
      </c>
      <c r="S559">
        <v>0</v>
      </c>
      <c r="T559" t="s">
        <v>54</v>
      </c>
      <c r="U559" t="s">
        <v>55</v>
      </c>
      <c r="W559" t="s">
        <v>1700</v>
      </c>
      <c r="Y559">
        <v>0</v>
      </c>
      <c r="AA559" t="s">
        <v>40</v>
      </c>
      <c r="AB559" t="s">
        <v>46</v>
      </c>
      <c r="AC559" t="s">
        <v>47</v>
      </c>
      <c r="AG559" t="s">
        <v>1890</v>
      </c>
      <c r="AJ559" t="s">
        <v>40</v>
      </c>
      <c r="AK559">
        <v>5019161637</v>
      </c>
      <c r="AO559" s="1">
        <v>45946</v>
      </c>
      <c r="AP559" s="5">
        <v>0.66666666666666663</v>
      </c>
      <c r="AS559">
        <v>1</v>
      </c>
    </row>
    <row r="560" spans="1:45" x14ac:dyDescent="0.2">
      <c r="A560">
        <f t="shared" si="34"/>
        <v>2025</v>
      </c>
      <c r="B560">
        <f t="shared" si="35"/>
        <v>10</v>
      </c>
      <c r="C560">
        <f t="shared" si="36"/>
        <v>42</v>
      </c>
      <c r="D560" s="2">
        <f t="shared" si="37"/>
        <v>45946</v>
      </c>
      <c r="E560" s="1">
        <v>45946.708333333336</v>
      </c>
      <c r="F560" t="s">
        <v>1891</v>
      </c>
      <c r="G560" t="s">
        <v>36</v>
      </c>
      <c r="H560">
        <v>453834</v>
      </c>
      <c r="I560" t="s">
        <v>51</v>
      </c>
      <c r="J560" t="s">
        <v>355</v>
      </c>
      <c r="M560" t="s">
        <v>40</v>
      </c>
      <c r="N560" t="s">
        <v>41</v>
      </c>
      <c r="O560" t="s">
        <v>530</v>
      </c>
      <c r="P560">
        <v>33</v>
      </c>
      <c r="Q560">
        <v>0</v>
      </c>
      <c r="R560">
        <v>0</v>
      </c>
      <c r="S560">
        <v>0</v>
      </c>
      <c r="T560" t="s">
        <v>54</v>
      </c>
      <c r="U560" t="s">
        <v>55</v>
      </c>
      <c r="W560" t="s">
        <v>1892</v>
      </c>
      <c r="Y560">
        <v>0</v>
      </c>
      <c r="AA560" t="s">
        <v>40</v>
      </c>
      <c r="AB560" t="s">
        <v>46</v>
      </c>
      <c r="AC560" t="s">
        <v>47</v>
      </c>
      <c r="AG560" t="s">
        <v>1893</v>
      </c>
      <c r="AJ560" t="s">
        <v>40</v>
      </c>
      <c r="AK560">
        <v>5019190403</v>
      </c>
      <c r="AO560" s="1">
        <v>45946</v>
      </c>
      <c r="AP560" s="5">
        <v>0.70833333333333337</v>
      </c>
      <c r="AS560">
        <v>1</v>
      </c>
    </row>
    <row r="561" spans="1:45" x14ac:dyDescent="0.2">
      <c r="A561">
        <f t="shared" si="34"/>
        <v>2025</v>
      </c>
      <c r="B561">
        <f t="shared" si="35"/>
        <v>10</v>
      </c>
      <c r="C561">
        <f t="shared" si="36"/>
        <v>42</v>
      </c>
      <c r="D561" s="2">
        <f t="shared" si="37"/>
        <v>45946</v>
      </c>
      <c r="E561" s="1">
        <v>45946.708333333336</v>
      </c>
      <c r="F561" t="s">
        <v>1894</v>
      </c>
      <c r="G561" t="s">
        <v>36</v>
      </c>
      <c r="H561" t="s">
        <v>340</v>
      </c>
      <c r="I561" t="s">
        <v>38</v>
      </c>
      <c r="J561" t="s">
        <v>1895</v>
      </c>
      <c r="M561" t="s">
        <v>40</v>
      </c>
      <c r="N561" t="s">
        <v>41</v>
      </c>
      <c r="O561" t="s">
        <v>42</v>
      </c>
      <c r="P561">
        <v>20</v>
      </c>
      <c r="Q561">
        <v>0</v>
      </c>
      <c r="R561">
        <v>0</v>
      </c>
      <c r="S561">
        <v>0</v>
      </c>
      <c r="T561" t="s">
        <v>1896</v>
      </c>
      <c r="U561" t="s">
        <v>55</v>
      </c>
      <c r="W561" t="s">
        <v>1326</v>
      </c>
      <c r="Y561">
        <v>0</v>
      </c>
      <c r="AA561" t="s">
        <v>40</v>
      </c>
      <c r="AB561" t="s">
        <v>46</v>
      </c>
      <c r="AC561" t="s">
        <v>47</v>
      </c>
      <c r="AF561" t="s">
        <v>342</v>
      </c>
      <c r="AJ561" t="s">
        <v>40</v>
      </c>
      <c r="AK561" t="s">
        <v>49</v>
      </c>
      <c r="AO561" s="1">
        <v>45946</v>
      </c>
      <c r="AP561" s="5">
        <v>0.70833333333333337</v>
      </c>
      <c r="AS561">
        <v>1</v>
      </c>
    </row>
    <row r="562" spans="1:45" x14ac:dyDescent="0.2">
      <c r="A562">
        <f t="shared" si="34"/>
        <v>2025</v>
      </c>
      <c r="B562">
        <f t="shared" si="35"/>
        <v>10</v>
      </c>
      <c r="C562">
        <f t="shared" si="36"/>
        <v>42</v>
      </c>
      <c r="D562" s="2">
        <f t="shared" si="37"/>
        <v>45946</v>
      </c>
      <c r="E562" s="1">
        <v>45946.75</v>
      </c>
      <c r="F562" t="s">
        <v>1897</v>
      </c>
      <c r="G562" t="s">
        <v>36</v>
      </c>
      <c r="H562">
        <v>459558</v>
      </c>
      <c r="I562" t="s">
        <v>51</v>
      </c>
      <c r="J562" t="s">
        <v>188</v>
      </c>
      <c r="M562" t="s">
        <v>40</v>
      </c>
      <c r="N562" t="s">
        <v>41</v>
      </c>
      <c r="O562" t="s">
        <v>172</v>
      </c>
      <c r="P562">
        <v>33</v>
      </c>
      <c r="Q562">
        <v>0</v>
      </c>
      <c r="R562">
        <v>0</v>
      </c>
      <c r="S562">
        <v>0</v>
      </c>
      <c r="T562" t="s">
        <v>54</v>
      </c>
      <c r="U562" t="s">
        <v>55</v>
      </c>
      <c r="W562" t="s">
        <v>1898</v>
      </c>
      <c r="Y562">
        <v>0</v>
      </c>
      <c r="AA562" t="s">
        <v>40</v>
      </c>
      <c r="AB562" t="s">
        <v>46</v>
      </c>
      <c r="AC562" t="s">
        <v>47</v>
      </c>
      <c r="AG562" t="s">
        <v>1899</v>
      </c>
      <c r="AJ562" t="s">
        <v>40</v>
      </c>
      <c r="AK562">
        <v>5019180097</v>
      </c>
      <c r="AO562" s="1">
        <v>45946</v>
      </c>
      <c r="AP562" s="5">
        <v>0.75</v>
      </c>
      <c r="AS562">
        <v>1</v>
      </c>
    </row>
    <row r="563" spans="1:45" x14ac:dyDescent="0.2">
      <c r="A563">
        <f t="shared" si="34"/>
        <v>2025</v>
      </c>
      <c r="B563">
        <f t="shared" si="35"/>
        <v>10</v>
      </c>
      <c r="C563">
        <f t="shared" si="36"/>
        <v>42</v>
      </c>
      <c r="D563" s="2">
        <f t="shared" si="37"/>
        <v>45946</v>
      </c>
      <c r="E563" s="1">
        <v>45946.75</v>
      </c>
      <c r="F563" t="s">
        <v>1900</v>
      </c>
      <c r="G563" t="s">
        <v>36</v>
      </c>
      <c r="H563" t="s">
        <v>1901</v>
      </c>
      <c r="I563" t="s">
        <v>78</v>
      </c>
      <c r="J563" t="s">
        <v>180</v>
      </c>
      <c r="M563" t="s">
        <v>40</v>
      </c>
      <c r="N563" t="s">
        <v>41</v>
      </c>
      <c r="O563" t="s">
        <v>554</v>
      </c>
      <c r="P563">
        <v>66</v>
      </c>
      <c r="Q563">
        <v>0</v>
      </c>
      <c r="R563">
        <v>0</v>
      </c>
      <c r="S563">
        <v>0</v>
      </c>
      <c r="T563" t="s">
        <v>54</v>
      </c>
      <c r="U563" t="s">
        <v>55</v>
      </c>
      <c r="W563" t="s">
        <v>1902</v>
      </c>
      <c r="X563" t="s">
        <v>1903</v>
      </c>
      <c r="Y563">
        <v>0</v>
      </c>
      <c r="AA563" t="s">
        <v>40</v>
      </c>
      <c r="AB563" t="s">
        <v>46</v>
      </c>
      <c r="AC563" t="s">
        <v>47</v>
      </c>
      <c r="AD563" t="s">
        <v>81</v>
      </c>
      <c r="AE563" t="s">
        <v>81</v>
      </c>
      <c r="AG563" t="s">
        <v>1904</v>
      </c>
      <c r="AJ563" t="s">
        <v>40</v>
      </c>
      <c r="AK563" t="s">
        <v>1905</v>
      </c>
      <c r="AL563" t="s">
        <v>1906</v>
      </c>
      <c r="AO563" s="1">
        <v>45946</v>
      </c>
      <c r="AP563" s="5">
        <v>0.75</v>
      </c>
      <c r="AS563">
        <v>1</v>
      </c>
    </row>
    <row r="564" spans="1:45" x14ac:dyDescent="0.2">
      <c r="A564">
        <f t="shared" si="34"/>
        <v>2025</v>
      </c>
      <c r="B564">
        <f t="shared" si="35"/>
        <v>10</v>
      </c>
      <c r="C564">
        <f t="shared" si="36"/>
        <v>42</v>
      </c>
      <c r="D564" s="2">
        <f t="shared" si="37"/>
        <v>45946</v>
      </c>
      <c r="E564" s="1">
        <v>45946.791666666664</v>
      </c>
      <c r="F564" t="s">
        <v>1907</v>
      </c>
      <c r="G564" t="s">
        <v>36</v>
      </c>
      <c r="H564">
        <v>453840</v>
      </c>
      <c r="I564" t="s">
        <v>51</v>
      </c>
      <c r="J564" t="s">
        <v>194</v>
      </c>
      <c r="M564" t="s">
        <v>40</v>
      </c>
      <c r="N564" t="s">
        <v>41</v>
      </c>
      <c r="O564" t="s">
        <v>189</v>
      </c>
      <c r="P564">
        <v>33</v>
      </c>
      <c r="Q564">
        <v>0</v>
      </c>
      <c r="R564">
        <v>0</v>
      </c>
      <c r="S564">
        <v>0</v>
      </c>
      <c r="T564" t="s">
        <v>54</v>
      </c>
      <c r="U564" t="s">
        <v>55</v>
      </c>
      <c r="W564" t="s">
        <v>1908</v>
      </c>
      <c r="Y564">
        <v>0</v>
      </c>
      <c r="AA564" t="s">
        <v>40</v>
      </c>
      <c r="AB564" t="s">
        <v>46</v>
      </c>
      <c r="AC564" t="s">
        <v>47</v>
      </c>
      <c r="AG564" t="s">
        <v>1909</v>
      </c>
      <c r="AJ564" t="s">
        <v>40</v>
      </c>
      <c r="AK564">
        <v>5019184925</v>
      </c>
      <c r="AO564" s="1">
        <v>45946</v>
      </c>
      <c r="AP564" s="5">
        <v>0.79166666666666663</v>
      </c>
      <c r="AS564">
        <v>1</v>
      </c>
    </row>
    <row r="565" spans="1:45" x14ac:dyDescent="0.2">
      <c r="A565">
        <f t="shared" si="34"/>
        <v>2025</v>
      </c>
      <c r="B565">
        <f t="shared" si="35"/>
        <v>10</v>
      </c>
      <c r="C565">
        <f t="shared" si="36"/>
        <v>42</v>
      </c>
      <c r="D565" s="2">
        <f t="shared" si="37"/>
        <v>45946</v>
      </c>
      <c r="E565" s="1">
        <v>45946.791666666664</v>
      </c>
      <c r="F565" t="s">
        <v>1910</v>
      </c>
      <c r="G565" t="s">
        <v>36</v>
      </c>
      <c r="H565">
        <v>453872</v>
      </c>
      <c r="I565" t="s">
        <v>51</v>
      </c>
      <c r="J565" t="s">
        <v>188</v>
      </c>
      <c r="M565" t="s">
        <v>40</v>
      </c>
      <c r="N565" t="s">
        <v>41</v>
      </c>
      <c r="O565" t="s">
        <v>172</v>
      </c>
      <c r="P565">
        <v>33</v>
      </c>
      <c r="Q565">
        <v>0</v>
      </c>
      <c r="R565">
        <v>0</v>
      </c>
      <c r="S565">
        <v>0</v>
      </c>
      <c r="T565" t="s">
        <v>54</v>
      </c>
      <c r="U565" t="s">
        <v>55</v>
      </c>
      <c r="W565" t="s">
        <v>1911</v>
      </c>
      <c r="Y565">
        <v>0</v>
      </c>
      <c r="AA565" t="s">
        <v>40</v>
      </c>
      <c r="AB565" t="s">
        <v>46</v>
      </c>
      <c r="AC565" t="s">
        <v>47</v>
      </c>
      <c r="AG565" t="s">
        <v>1912</v>
      </c>
      <c r="AJ565" t="s">
        <v>40</v>
      </c>
      <c r="AK565">
        <v>5019191241</v>
      </c>
      <c r="AO565" s="1">
        <v>45946</v>
      </c>
      <c r="AP565" s="5">
        <v>0.79166666666666663</v>
      </c>
      <c r="AS565">
        <v>1</v>
      </c>
    </row>
    <row r="566" spans="1:45" x14ac:dyDescent="0.2">
      <c r="A566">
        <f t="shared" si="34"/>
        <v>2025</v>
      </c>
      <c r="B566">
        <f t="shared" si="35"/>
        <v>10</v>
      </c>
      <c r="C566">
        <f t="shared" si="36"/>
        <v>42</v>
      </c>
      <c r="D566" s="2">
        <f t="shared" si="37"/>
        <v>45946</v>
      </c>
      <c r="E566" s="1">
        <v>45946.791666666664</v>
      </c>
      <c r="F566" t="s">
        <v>1913</v>
      </c>
      <c r="G566" t="s">
        <v>36</v>
      </c>
      <c r="H566" t="s">
        <v>1914</v>
      </c>
      <c r="I566" t="s">
        <v>78</v>
      </c>
      <c r="J566" t="s">
        <v>144</v>
      </c>
      <c r="M566" t="s">
        <v>40</v>
      </c>
      <c r="N566" t="s">
        <v>41</v>
      </c>
      <c r="O566" t="s">
        <v>382</v>
      </c>
      <c r="P566">
        <v>66</v>
      </c>
      <c r="Q566">
        <v>0</v>
      </c>
      <c r="R566">
        <v>0</v>
      </c>
      <c r="S566">
        <v>0</v>
      </c>
      <c r="T566" t="s">
        <v>54</v>
      </c>
      <c r="U566" t="s">
        <v>55</v>
      </c>
      <c r="W566" t="s">
        <v>1447</v>
      </c>
      <c r="Y566">
        <v>0</v>
      </c>
      <c r="AA566" t="s">
        <v>40</v>
      </c>
      <c r="AB566" t="s">
        <v>46</v>
      </c>
      <c r="AC566" t="s">
        <v>47</v>
      </c>
      <c r="AD566" t="s">
        <v>81</v>
      </c>
      <c r="AE566" t="s">
        <v>81</v>
      </c>
      <c r="AG566" t="s">
        <v>1915</v>
      </c>
      <c r="AJ566" t="s">
        <v>40</v>
      </c>
      <c r="AK566" t="s">
        <v>1916</v>
      </c>
      <c r="AO566" s="1">
        <v>45946</v>
      </c>
      <c r="AP566" s="5">
        <v>0.79166666666666663</v>
      </c>
      <c r="AS566">
        <v>1</v>
      </c>
    </row>
    <row r="567" spans="1:45" x14ac:dyDescent="0.2">
      <c r="A567">
        <f t="shared" si="34"/>
        <v>2025</v>
      </c>
      <c r="B567">
        <f t="shared" si="35"/>
        <v>10</v>
      </c>
      <c r="C567">
        <f t="shared" si="36"/>
        <v>42</v>
      </c>
      <c r="D567" s="2">
        <f t="shared" si="37"/>
        <v>45947</v>
      </c>
      <c r="E567" s="1">
        <v>45947.25</v>
      </c>
      <c r="F567" t="s">
        <v>1917</v>
      </c>
      <c r="G567" t="s">
        <v>36</v>
      </c>
      <c r="H567">
        <v>456565</v>
      </c>
      <c r="I567" t="s">
        <v>51</v>
      </c>
      <c r="J567" t="s">
        <v>52</v>
      </c>
      <c r="M567" t="s">
        <v>40</v>
      </c>
      <c r="N567" t="s">
        <v>41</v>
      </c>
      <c r="O567" t="s">
        <v>53</v>
      </c>
      <c r="P567">
        <v>33</v>
      </c>
      <c r="Q567">
        <v>0</v>
      </c>
      <c r="R567">
        <v>0</v>
      </c>
      <c r="S567">
        <v>0</v>
      </c>
      <c r="T567" t="s">
        <v>54</v>
      </c>
      <c r="U567" t="s">
        <v>55</v>
      </c>
      <c r="W567" t="s">
        <v>1918</v>
      </c>
      <c r="Y567">
        <v>0</v>
      </c>
      <c r="AA567" t="s">
        <v>40</v>
      </c>
      <c r="AB567" t="s">
        <v>46</v>
      </c>
      <c r="AC567" t="s">
        <v>47</v>
      </c>
      <c r="AG567" t="s">
        <v>1919</v>
      </c>
      <c r="AJ567" t="s">
        <v>40</v>
      </c>
      <c r="AK567">
        <v>5019204723</v>
      </c>
      <c r="AO567" s="1">
        <v>45947</v>
      </c>
      <c r="AP567" s="5">
        <v>0.25</v>
      </c>
      <c r="AS567">
        <v>1</v>
      </c>
    </row>
    <row r="568" spans="1:45" x14ac:dyDescent="0.2">
      <c r="A568">
        <f t="shared" si="34"/>
        <v>2025</v>
      </c>
      <c r="B568">
        <f t="shared" si="35"/>
        <v>10</v>
      </c>
      <c r="C568">
        <f t="shared" si="36"/>
        <v>42</v>
      </c>
      <c r="D568" s="2">
        <f t="shared" si="37"/>
        <v>45947</v>
      </c>
      <c r="E568" s="1">
        <v>45947.25</v>
      </c>
      <c r="F568" t="s">
        <v>1920</v>
      </c>
      <c r="G568" t="s">
        <v>36</v>
      </c>
      <c r="H568" t="s">
        <v>1921</v>
      </c>
      <c r="I568" t="s">
        <v>78</v>
      </c>
      <c r="J568" t="s">
        <v>834</v>
      </c>
      <c r="M568" t="s">
        <v>40</v>
      </c>
      <c r="N568" t="s">
        <v>41</v>
      </c>
      <c r="O568" t="s">
        <v>554</v>
      </c>
      <c r="P568">
        <v>66</v>
      </c>
      <c r="Q568">
        <v>0</v>
      </c>
      <c r="R568">
        <v>0</v>
      </c>
      <c r="S568">
        <v>0</v>
      </c>
      <c r="T568" t="s">
        <v>91</v>
      </c>
      <c r="U568" t="s">
        <v>233</v>
      </c>
      <c r="W568" t="s">
        <v>1755</v>
      </c>
      <c r="Y568">
        <v>0</v>
      </c>
      <c r="AA568" t="s">
        <v>40</v>
      </c>
      <c r="AB568" t="s">
        <v>46</v>
      </c>
      <c r="AC568" t="s">
        <v>47</v>
      </c>
      <c r="AD568" t="s">
        <v>81</v>
      </c>
      <c r="AE568" t="s">
        <v>81</v>
      </c>
      <c r="AG568" t="s">
        <v>1922</v>
      </c>
      <c r="AJ568" t="s">
        <v>40</v>
      </c>
      <c r="AK568" t="s">
        <v>1923</v>
      </c>
      <c r="AO568" s="1">
        <v>45947</v>
      </c>
      <c r="AP568" s="5">
        <v>0.25</v>
      </c>
      <c r="AS568">
        <v>1</v>
      </c>
    </row>
    <row r="569" spans="1:45" x14ac:dyDescent="0.2">
      <c r="A569">
        <f t="shared" si="34"/>
        <v>2025</v>
      </c>
      <c r="B569">
        <f t="shared" si="35"/>
        <v>10</v>
      </c>
      <c r="C569">
        <f t="shared" si="36"/>
        <v>42</v>
      </c>
      <c r="D569" s="2">
        <f t="shared" si="37"/>
        <v>45947</v>
      </c>
      <c r="E569" s="1">
        <v>45947.25</v>
      </c>
      <c r="F569" t="s">
        <v>1924</v>
      </c>
      <c r="G569" t="s">
        <v>36</v>
      </c>
      <c r="H569">
        <v>456586</v>
      </c>
      <c r="I569" t="s">
        <v>51</v>
      </c>
      <c r="J569" t="s">
        <v>52</v>
      </c>
      <c r="M569" t="s">
        <v>40</v>
      </c>
      <c r="N569" t="s">
        <v>41</v>
      </c>
      <c r="O569" t="s">
        <v>53</v>
      </c>
      <c r="P569">
        <v>33</v>
      </c>
      <c r="Q569">
        <v>0</v>
      </c>
      <c r="R569">
        <v>0</v>
      </c>
      <c r="S569">
        <v>0</v>
      </c>
      <c r="T569" t="s">
        <v>54</v>
      </c>
      <c r="U569" t="s">
        <v>55</v>
      </c>
      <c r="W569" t="s">
        <v>1918</v>
      </c>
      <c r="Y569">
        <v>0</v>
      </c>
      <c r="AA569" t="s">
        <v>40</v>
      </c>
      <c r="AB569" t="s">
        <v>46</v>
      </c>
      <c r="AC569" t="s">
        <v>47</v>
      </c>
      <c r="AG569" t="s">
        <v>1925</v>
      </c>
      <c r="AJ569" t="s">
        <v>40</v>
      </c>
      <c r="AK569">
        <v>5019200132</v>
      </c>
      <c r="AO569" s="1">
        <v>45947</v>
      </c>
      <c r="AP569" s="5">
        <v>0.25</v>
      </c>
      <c r="AS569">
        <v>1</v>
      </c>
    </row>
    <row r="570" spans="1:45" x14ac:dyDescent="0.2">
      <c r="A570">
        <f t="shared" si="34"/>
        <v>2025</v>
      </c>
      <c r="B570">
        <f t="shared" si="35"/>
        <v>10</v>
      </c>
      <c r="C570">
        <f t="shared" si="36"/>
        <v>42</v>
      </c>
      <c r="D570" s="2">
        <f t="shared" si="37"/>
        <v>45947</v>
      </c>
      <c r="E570" s="1">
        <v>45947.291666666664</v>
      </c>
      <c r="F570" t="s">
        <v>1926</v>
      </c>
      <c r="G570" t="s">
        <v>36</v>
      </c>
      <c r="H570" t="s">
        <v>1927</v>
      </c>
      <c r="I570" t="s">
        <v>38</v>
      </c>
      <c r="J570" t="s">
        <v>645</v>
      </c>
      <c r="M570" t="s">
        <v>40</v>
      </c>
      <c r="N570" t="s">
        <v>41</v>
      </c>
      <c r="O570" t="s">
        <v>42</v>
      </c>
      <c r="P570">
        <v>20</v>
      </c>
      <c r="Q570">
        <v>0</v>
      </c>
      <c r="R570">
        <v>0</v>
      </c>
      <c r="S570">
        <v>0</v>
      </c>
      <c r="T570" t="s">
        <v>1928</v>
      </c>
      <c r="U570" t="s">
        <v>44</v>
      </c>
      <c r="W570" t="s">
        <v>1929</v>
      </c>
      <c r="Y570">
        <v>0</v>
      </c>
      <c r="AA570" t="s">
        <v>40</v>
      </c>
      <c r="AB570" t="s">
        <v>46</v>
      </c>
      <c r="AC570" t="s">
        <v>47</v>
      </c>
      <c r="AF570" t="s">
        <v>62</v>
      </c>
      <c r="AJ570" t="s">
        <v>40</v>
      </c>
      <c r="AK570" t="s">
        <v>49</v>
      </c>
      <c r="AN570">
        <v>29755107</v>
      </c>
      <c r="AO570" s="1">
        <v>45947</v>
      </c>
      <c r="AP570" s="5">
        <v>0.29166666666666669</v>
      </c>
      <c r="AS570">
        <v>1</v>
      </c>
    </row>
    <row r="571" spans="1:45" x14ac:dyDescent="0.2">
      <c r="A571">
        <f t="shared" si="34"/>
        <v>2025</v>
      </c>
      <c r="B571">
        <f t="shared" si="35"/>
        <v>10</v>
      </c>
      <c r="C571">
        <f t="shared" si="36"/>
        <v>42</v>
      </c>
      <c r="D571" s="2">
        <f t="shared" si="37"/>
        <v>45947</v>
      </c>
      <c r="E571" s="1">
        <v>45947.291666666664</v>
      </c>
      <c r="F571" t="s">
        <v>1930</v>
      </c>
      <c r="G571" t="s">
        <v>36</v>
      </c>
      <c r="H571" t="s">
        <v>253</v>
      </c>
      <c r="I571" t="s">
        <v>38</v>
      </c>
      <c r="J571" t="s">
        <v>254</v>
      </c>
      <c r="M571" t="s">
        <v>40</v>
      </c>
      <c r="N571" t="s">
        <v>41</v>
      </c>
      <c r="O571" t="s">
        <v>42</v>
      </c>
      <c r="P571">
        <v>1</v>
      </c>
      <c r="Q571">
        <v>0</v>
      </c>
      <c r="R571">
        <v>0</v>
      </c>
      <c r="S571">
        <v>0</v>
      </c>
      <c r="T571" t="s">
        <v>1931</v>
      </c>
      <c r="U571" t="s">
        <v>101</v>
      </c>
      <c r="W571" t="s">
        <v>1932</v>
      </c>
      <c r="Y571">
        <v>0</v>
      </c>
      <c r="AA571" t="s">
        <v>40</v>
      </c>
      <c r="AB571" t="s">
        <v>46</v>
      </c>
      <c r="AC571" t="s">
        <v>47</v>
      </c>
      <c r="AF571" t="s">
        <v>48</v>
      </c>
      <c r="AJ571" t="s">
        <v>40</v>
      </c>
      <c r="AK571" t="s">
        <v>49</v>
      </c>
      <c r="AO571" s="1">
        <v>45947</v>
      </c>
      <c r="AP571" s="5">
        <v>0.29166666666666669</v>
      </c>
      <c r="AS571">
        <v>1</v>
      </c>
    </row>
    <row r="572" spans="1:45" x14ac:dyDescent="0.2">
      <c r="A572">
        <f t="shared" si="34"/>
        <v>2025</v>
      </c>
      <c r="B572">
        <f t="shared" si="35"/>
        <v>10</v>
      </c>
      <c r="C572">
        <f t="shared" si="36"/>
        <v>42</v>
      </c>
      <c r="D572" s="2">
        <f t="shared" si="37"/>
        <v>45947</v>
      </c>
      <c r="E572" s="1">
        <v>45947.291666666664</v>
      </c>
      <c r="F572" t="s">
        <v>1933</v>
      </c>
      <c r="G572" t="s">
        <v>36</v>
      </c>
      <c r="H572" t="s">
        <v>264</v>
      </c>
      <c r="I572" t="s">
        <v>38</v>
      </c>
      <c r="J572" t="s">
        <v>265</v>
      </c>
      <c r="M572" t="s">
        <v>40</v>
      </c>
      <c r="N572" t="s">
        <v>41</v>
      </c>
      <c r="O572" t="s">
        <v>42</v>
      </c>
      <c r="P572">
        <v>23</v>
      </c>
      <c r="Q572">
        <v>0</v>
      </c>
      <c r="R572">
        <v>0</v>
      </c>
      <c r="S572">
        <v>0</v>
      </c>
      <c r="T572" t="s">
        <v>1934</v>
      </c>
      <c r="U572" t="s">
        <v>55</v>
      </c>
      <c r="W572" t="s">
        <v>1738</v>
      </c>
      <c r="Y572">
        <v>0</v>
      </c>
      <c r="AA572" t="s">
        <v>40</v>
      </c>
      <c r="AB572" t="s">
        <v>46</v>
      </c>
      <c r="AC572" t="s">
        <v>47</v>
      </c>
      <c r="AF572" t="s">
        <v>48</v>
      </c>
      <c r="AJ572" t="s">
        <v>40</v>
      </c>
      <c r="AK572" t="s">
        <v>49</v>
      </c>
      <c r="AO572" s="1">
        <v>45947</v>
      </c>
      <c r="AP572" s="5">
        <v>0.29166666666666669</v>
      </c>
      <c r="AS572">
        <v>1</v>
      </c>
    </row>
    <row r="573" spans="1:45" x14ac:dyDescent="0.2">
      <c r="A573">
        <f t="shared" si="34"/>
        <v>2025</v>
      </c>
      <c r="B573">
        <f t="shared" si="35"/>
        <v>10</v>
      </c>
      <c r="C573">
        <f t="shared" si="36"/>
        <v>42</v>
      </c>
      <c r="D573" s="2">
        <f t="shared" si="37"/>
        <v>45947</v>
      </c>
      <c r="E573" s="1">
        <v>45947.333333333336</v>
      </c>
      <c r="F573" t="s">
        <v>1935</v>
      </c>
      <c r="G573" t="s">
        <v>36</v>
      </c>
      <c r="H573" t="s">
        <v>1936</v>
      </c>
      <c r="I573" t="s">
        <v>38</v>
      </c>
      <c r="J573" t="s">
        <v>1937</v>
      </c>
      <c r="M573" t="s">
        <v>40</v>
      </c>
      <c r="N573" t="s">
        <v>41</v>
      </c>
      <c r="O573" t="s">
        <v>42</v>
      </c>
      <c r="P573">
        <v>28</v>
      </c>
      <c r="Q573">
        <v>0</v>
      </c>
      <c r="R573">
        <v>0</v>
      </c>
      <c r="S573">
        <v>0</v>
      </c>
      <c r="T573" t="s">
        <v>1938</v>
      </c>
      <c r="U573" t="s">
        <v>44</v>
      </c>
      <c r="W573" t="s">
        <v>1939</v>
      </c>
      <c r="Y573">
        <v>0</v>
      </c>
      <c r="AA573" t="s">
        <v>40</v>
      </c>
      <c r="AB573" t="s">
        <v>46</v>
      </c>
      <c r="AC573" t="s">
        <v>47</v>
      </c>
      <c r="AF573" t="s">
        <v>1940</v>
      </c>
      <c r="AJ573" t="s">
        <v>40</v>
      </c>
      <c r="AK573" t="s">
        <v>49</v>
      </c>
      <c r="AO573" s="1">
        <v>45947</v>
      </c>
      <c r="AP573" s="5">
        <v>0.33333333333333331</v>
      </c>
      <c r="AS573">
        <v>1</v>
      </c>
    </row>
    <row r="574" spans="1:45" x14ac:dyDescent="0.2">
      <c r="A574">
        <f t="shared" si="34"/>
        <v>2025</v>
      </c>
      <c r="B574">
        <f t="shared" si="35"/>
        <v>10</v>
      </c>
      <c r="C574">
        <f t="shared" si="36"/>
        <v>42</v>
      </c>
      <c r="D574" s="2">
        <f t="shared" si="37"/>
        <v>45947</v>
      </c>
      <c r="E574" s="1">
        <v>45947.333333333336</v>
      </c>
      <c r="F574" t="s">
        <v>1941</v>
      </c>
      <c r="G574" t="s">
        <v>36</v>
      </c>
      <c r="H574" t="s">
        <v>1942</v>
      </c>
      <c r="I574" t="s">
        <v>78</v>
      </c>
      <c r="J574" t="s">
        <v>52</v>
      </c>
      <c r="M574" t="s">
        <v>40</v>
      </c>
      <c r="N574" t="s">
        <v>41</v>
      </c>
      <c r="O574" t="s">
        <v>1288</v>
      </c>
      <c r="P574">
        <v>66</v>
      </c>
      <c r="Q574">
        <v>0</v>
      </c>
      <c r="R574">
        <v>0</v>
      </c>
      <c r="S574">
        <v>0</v>
      </c>
      <c r="T574" t="s">
        <v>54</v>
      </c>
      <c r="U574" t="s">
        <v>55</v>
      </c>
      <c r="W574" t="s">
        <v>1943</v>
      </c>
      <c r="Y574">
        <v>0</v>
      </c>
      <c r="AA574" t="s">
        <v>40</v>
      </c>
      <c r="AB574" t="s">
        <v>46</v>
      </c>
      <c r="AC574" t="s">
        <v>47</v>
      </c>
      <c r="AD574" t="s">
        <v>81</v>
      </c>
      <c r="AE574" t="s">
        <v>81</v>
      </c>
      <c r="AG574" t="s">
        <v>1944</v>
      </c>
      <c r="AJ574" t="s">
        <v>40</v>
      </c>
      <c r="AK574" t="s">
        <v>1945</v>
      </c>
      <c r="AO574" s="1">
        <v>45947</v>
      </c>
      <c r="AP574" s="5">
        <v>0.33333333333333331</v>
      </c>
      <c r="AS574">
        <v>1</v>
      </c>
    </row>
    <row r="575" spans="1:45" x14ac:dyDescent="0.2">
      <c r="A575">
        <f t="shared" si="34"/>
        <v>2025</v>
      </c>
      <c r="B575">
        <f t="shared" si="35"/>
        <v>10</v>
      </c>
      <c r="C575">
        <f t="shared" si="36"/>
        <v>42</v>
      </c>
      <c r="D575" s="2">
        <f t="shared" si="37"/>
        <v>45947</v>
      </c>
      <c r="E575" s="1">
        <v>45947.333333333336</v>
      </c>
      <c r="F575" t="s">
        <v>1946</v>
      </c>
      <c r="G575" t="s">
        <v>36</v>
      </c>
      <c r="H575" t="s">
        <v>1947</v>
      </c>
      <c r="I575" t="s">
        <v>38</v>
      </c>
      <c r="J575" t="s">
        <v>645</v>
      </c>
      <c r="M575" t="s">
        <v>40</v>
      </c>
      <c r="N575" t="s">
        <v>41</v>
      </c>
      <c r="O575" t="s">
        <v>42</v>
      </c>
      <c r="P575">
        <v>20</v>
      </c>
      <c r="Q575">
        <v>0</v>
      </c>
      <c r="R575">
        <v>0</v>
      </c>
      <c r="S575">
        <v>0</v>
      </c>
      <c r="T575" t="s">
        <v>1948</v>
      </c>
      <c r="U575" t="s">
        <v>44</v>
      </c>
      <c r="W575" t="s">
        <v>1949</v>
      </c>
      <c r="Y575">
        <v>0</v>
      </c>
      <c r="AA575" t="s">
        <v>40</v>
      </c>
      <c r="AB575" t="s">
        <v>46</v>
      </c>
      <c r="AC575" t="s">
        <v>47</v>
      </c>
      <c r="AF575" t="s">
        <v>62</v>
      </c>
      <c r="AJ575" t="s">
        <v>40</v>
      </c>
      <c r="AK575" t="s">
        <v>49</v>
      </c>
      <c r="AN575">
        <v>30415019</v>
      </c>
      <c r="AO575" s="1">
        <v>45947</v>
      </c>
      <c r="AP575" s="5">
        <v>0.33333333333333331</v>
      </c>
      <c r="AS575">
        <v>1</v>
      </c>
    </row>
    <row r="576" spans="1:45" x14ac:dyDescent="0.2">
      <c r="A576">
        <f t="shared" si="34"/>
        <v>2025</v>
      </c>
      <c r="B576">
        <f t="shared" si="35"/>
        <v>10</v>
      </c>
      <c r="C576">
        <f t="shared" si="36"/>
        <v>42</v>
      </c>
      <c r="D576" s="2">
        <f t="shared" si="37"/>
        <v>45947</v>
      </c>
      <c r="E576" s="1">
        <v>45947.375</v>
      </c>
      <c r="F576" t="s">
        <v>1950</v>
      </c>
      <c r="G576" t="s">
        <v>36</v>
      </c>
      <c r="H576">
        <v>453884</v>
      </c>
      <c r="I576" t="s">
        <v>51</v>
      </c>
      <c r="J576" t="s">
        <v>52</v>
      </c>
      <c r="M576" t="s">
        <v>40</v>
      </c>
      <c r="N576" t="s">
        <v>41</v>
      </c>
      <c r="O576" t="s">
        <v>172</v>
      </c>
      <c r="P576">
        <v>33</v>
      </c>
      <c r="Q576">
        <v>0</v>
      </c>
      <c r="R576">
        <v>0</v>
      </c>
      <c r="S576">
        <v>0</v>
      </c>
      <c r="T576" t="s">
        <v>54</v>
      </c>
      <c r="U576" t="s">
        <v>55</v>
      </c>
      <c r="W576" t="s">
        <v>1951</v>
      </c>
      <c r="Y576">
        <v>0</v>
      </c>
      <c r="AA576" t="s">
        <v>40</v>
      </c>
      <c r="AB576" t="s">
        <v>46</v>
      </c>
      <c r="AC576" t="s">
        <v>47</v>
      </c>
      <c r="AG576" t="s">
        <v>1952</v>
      </c>
      <c r="AJ576" t="s">
        <v>40</v>
      </c>
      <c r="AK576">
        <v>5019182185</v>
      </c>
      <c r="AO576" s="1">
        <v>45947</v>
      </c>
      <c r="AP576" s="5">
        <v>0.375</v>
      </c>
      <c r="AS576">
        <v>1</v>
      </c>
    </row>
    <row r="577" spans="1:45" x14ac:dyDescent="0.2">
      <c r="A577">
        <f t="shared" si="34"/>
        <v>2025</v>
      </c>
      <c r="B577">
        <f t="shared" si="35"/>
        <v>10</v>
      </c>
      <c r="C577">
        <f t="shared" si="36"/>
        <v>42</v>
      </c>
      <c r="D577" s="2">
        <f t="shared" si="37"/>
        <v>45947</v>
      </c>
      <c r="E577" s="1">
        <v>45947.375</v>
      </c>
      <c r="F577" t="s">
        <v>1953</v>
      </c>
      <c r="G577" t="s">
        <v>36</v>
      </c>
      <c r="H577" t="s">
        <v>1954</v>
      </c>
      <c r="I577" t="s">
        <v>38</v>
      </c>
      <c r="J577" t="s">
        <v>60</v>
      </c>
      <c r="M577" t="s">
        <v>40</v>
      </c>
      <c r="N577" t="s">
        <v>41</v>
      </c>
      <c r="O577" t="s">
        <v>42</v>
      </c>
      <c r="P577">
        <v>20</v>
      </c>
      <c r="Q577">
        <v>0</v>
      </c>
      <c r="R577">
        <v>0</v>
      </c>
      <c r="S577">
        <v>0</v>
      </c>
      <c r="T577" t="s">
        <v>1955</v>
      </c>
      <c r="U577" t="s">
        <v>44</v>
      </c>
      <c r="W577" t="s">
        <v>1929</v>
      </c>
      <c r="Y577">
        <v>0</v>
      </c>
      <c r="AA577" t="s">
        <v>40</v>
      </c>
      <c r="AB577" t="s">
        <v>46</v>
      </c>
      <c r="AC577" t="s">
        <v>47</v>
      </c>
      <c r="AF577" t="s">
        <v>62</v>
      </c>
      <c r="AJ577" t="s">
        <v>40</v>
      </c>
      <c r="AK577" t="s">
        <v>49</v>
      </c>
      <c r="AN577">
        <v>259813646</v>
      </c>
      <c r="AO577" s="1">
        <v>45947</v>
      </c>
      <c r="AP577" s="5">
        <v>0.375</v>
      </c>
      <c r="AS577">
        <v>1</v>
      </c>
    </row>
    <row r="578" spans="1:45" x14ac:dyDescent="0.2">
      <c r="A578">
        <f t="shared" ref="A578:A641" si="38">YEAR(D578)</f>
        <v>2025</v>
      </c>
      <c r="B578">
        <f t="shared" ref="B578:B641" si="39">MONTH(D578)</f>
        <v>10</v>
      </c>
      <c r="C578">
        <f t="shared" ref="C578:C641" si="40">WEEKNUM(D578)</f>
        <v>42</v>
      </c>
      <c r="D578" s="2">
        <f t="shared" ref="D578:D641" si="41">INT(E578)</f>
        <v>45947</v>
      </c>
      <c r="E578" s="1">
        <v>45947.416666666664</v>
      </c>
      <c r="F578" t="s">
        <v>1956</v>
      </c>
      <c r="G578" t="s">
        <v>36</v>
      </c>
      <c r="H578" t="s">
        <v>1957</v>
      </c>
      <c r="I578" t="s">
        <v>38</v>
      </c>
      <c r="J578" t="s">
        <v>1557</v>
      </c>
      <c r="M578" t="s">
        <v>40</v>
      </c>
      <c r="N578" t="s">
        <v>41</v>
      </c>
      <c r="O578" t="s">
        <v>42</v>
      </c>
      <c r="P578">
        <v>33</v>
      </c>
      <c r="Q578">
        <v>0</v>
      </c>
      <c r="R578">
        <v>0</v>
      </c>
      <c r="S578">
        <v>0</v>
      </c>
      <c r="T578">
        <v>4505792652</v>
      </c>
      <c r="U578" t="s">
        <v>44</v>
      </c>
      <c r="W578" t="s">
        <v>1958</v>
      </c>
      <c r="Y578">
        <v>0</v>
      </c>
      <c r="AA578" t="s">
        <v>40</v>
      </c>
      <c r="AB578" t="s">
        <v>46</v>
      </c>
      <c r="AC578" t="s">
        <v>47</v>
      </c>
      <c r="AF578" t="s">
        <v>48</v>
      </c>
      <c r="AJ578" t="s">
        <v>40</v>
      </c>
      <c r="AK578" t="s">
        <v>49</v>
      </c>
      <c r="AO578" s="1">
        <v>45947</v>
      </c>
      <c r="AP578" s="5">
        <v>0.41666666666666669</v>
      </c>
      <c r="AS578">
        <v>1</v>
      </c>
    </row>
    <row r="579" spans="1:45" x14ac:dyDescent="0.2">
      <c r="A579">
        <f t="shared" si="38"/>
        <v>2025</v>
      </c>
      <c r="B579">
        <f t="shared" si="39"/>
        <v>10</v>
      </c>
      <c r="C579">
        <f t="shared" si="40"/>
        <v>42</v>
      </c>
      <c r="D579" s="2">
        <f t="shared" si="41"/>
        <v>45947</v>
      </c>
      <c r="E579" s="1">
        <v>45947.416666666664</v>
      </c>
      <c r="F579" t="s">
        <v>1959</v>
      </c>
      <c r="G579" t="s">
        <v>36</v>
      </c>
      <c r="H579" t="s">
        <v>1960</v>
      </c>
      <c r="I579" t="s">
        <v>38</v>
      </c>
      <c r="J579" t="s">
        <v>365</v>
      </c>
      <c r="M579" t="s">
        <v>40</v>
      </c>
      <c r="N579" t="s">
        <v>41</v>
      </c>
      <c r="O579" t="s">
        <v>42</v>
      </c>
      <c r="P579">
        <v>8</v>
      </c>
      <c r="Q579">
        <v>0</v>
      </c>
      <c r="R579">
        <v>0</v>
      </c>
      <c r="S579">
        <v>0</v>
      </c>
      <c r="T579">
        <v>5019057270</v>
      </c>
      <c r="U579" t="s">
        <v>44</v>
      </c>
      <c r="W579" t="s">
        <v>1939</v>
      </c>
      <c r="Y579">
        <v>0</v>
      </c>
      <c r="AA579" t="s">
        <v>40</v>
      </c>
      <c r="AB579" t="s">
        <v>46</v>
      </c>
      <c r="AC579" t="s">
        <v>47</v>
      </c>
      <c r="AF579" t="s">
        <v>1207</v>
      </c>
      <c r="AJ579" t="s">
        <v>40</v>
      </c>
      <c r="AK579" t="s">
        <v>49</v>
      </c>
      <c r="AO579" s="1">
        <v>45947</v>
      </c>
      <c r="AP579" s="5">
        <v>0.41666666666666669</v>
      </c>
      <c r="AS579">
        <v>1</v>
      </c>
    </row>
    <row r="580" spans="1:45" x14ac:dyDescent="0.2">
      <c r="A580">
        <f t="shared" si="38"/>
        <v>2025</v>
      </c>
      <c r="B580">
        <f t="shared" si="39"/>
        <v>10</v>
      </c>
      <c r="C580">
        <f t="shared" si="40"/>
        <v>42</v>
      </c>
      <c r="D580" s="2">
        <f t="shared" si="41"/>
        <v>45947</v>
      </c>
      <c r="E580" s="1">
        <v>45947.416666666664</v>
      </c>
      <c r="F580" t="s">
        <v>1961</v>
      </c>
      <c r="G580" t="s">
        <v>36</v>
      </c>
      <c r="H580">
        <v>456573</v>
      </c>
      <c r="I580" t="s">
        <v>51</v>
      </c>
      <c r="J580" t="s">
        <v>52</v>
      </c>
      <c r="M580" t="s">
        <v>40</v>
      </c>
      <c r="N580" t="s">
        <v>41</v>
      </c>
      <c r="O580" t="s">
        <v>53</v>
      </c>
      <c r="P580">
        <v>33</v>
      </c>
      <c r="Q580">
        <v>0</v>
      </c>
      <c r="R580">
        <v>0</v>
      </c>
      <c r="S580">
        <v>0</v>
      </c>
      <c r="T580" t="s">
        <v>54</v>
      </c>
      <c r="U580" t="s">
        <v>55</v>
      </c>
      <c r="W580" t="s">
        <v>1918</v>
      </c>
      <c r="Y580">
        <v>0</v>
      </c>
      <c r="AA580" t="s">
        <v>40</v>
      </c>
      <c r="AB580" t="s">
        <v>46</v>
      </c>
      <c r="AC580" t="s">
        <v>47</v>
      </c>
      <c r="AG580" t="s">
        <v>1962</v>
      </c>
      <c r="AJ580" t="s">
        <v>40</v>
      </c>
      <c r="AK580">
        <v>5019195498</v>
      </c>
      <c r="AO580" s="1">
        <v>45947</v>
      </c>
      <c r="AP580" s="5">
        <v>0.41666666666666669</v>
      </c>
      <c r="AS580">
        <v>1</v>
      </c>
    </row>
    <row r="581" spans="1:45" x14ac:dyDescent="0.2">
      <c r="A581">
        <f t="shared" si="38"/>
        <v>2025</v>
      </c>
      <c r="B581">
        <f t="shared" si="39"/>
        <v>10</v>
      </c>
      <c r="C581">
        <f t="shared" si="40"/>
        <v>42</v>
      </c>
      <c r="D581" s="2">
        <f t="shared" si="41"/>
        <v>45947</v>
      </c>
      <c r="E581" s="1">
        <v>45947.458333333336</v>
      </c>
      <c r="F581" t="s">
        <v>1963</v>
      </c>
      <c r="G581" t="s">
        <v>36</v>
      </c>
      <c r="H581" t="s">
        <v>864</v>
      </c>
      <c r="I581" t="s">
        <v>38</v>
      </c>
      <c r="J581" t="s">
        <v>99</v>
      </c>
      <c r="M581" t="s">
        <v>40</v>
      </c>
      <c r="N581" t="s">
        <v>41</v>
      </c>
      <c r="O581" t="s">
        <v>42</v>
      </c>
      <c r="P581">
        <v>5</v>
      </c>
      <c r="Q581">
        <v>0</v>
      </c>
      <c r="R581">
        <v>0</v>
      </c>
      <c r="S581">
        <v>0</v>
      </c>
      <c r="T581" t="s">
        <v>1964</v>
      </c>
      <c r="U581" t="s">
        <v>101</v>
      </c>
      <c r="W581" t="s">
        <v>1738</v>
      </c>
      <c r="Y581">
        <v>0</v>
      </c>
      <c r="AA581" t="s">
        <v>40</v>
      </c>
      <c r="AB581" t="s">
        <v>46</v>
      </c>
      <c r="AC581" t="s">
        <v>47</v>
      </c>
      <c r="AF581" t="s">
        <v>48</v>
      </c>
      <c r="AJ581" t="s">
        <v>40</v>
      </c>
      <c r="AK581" t="s">
        <v>49</v>
      </c>
      <c r="AO581" s="1">
        <v>45947</v>
      </c>
      <c r="AP581" s="5">
        <v>0.45833333333333331</v>
      </c>
      <c r="AS581">
        <v>1</v>
      </c>
    </row>
    <row r="582" spans="1:45" x14ac:dyDescent="0.2">
      <c r="A582">
        <f t="shared" si="38"/>
        <v>2025</v>
      </c>
      <c r="B582">
        <f t="shared" si="39"/>
        <v>10</v>
      </c>
      <c r="C582">
        <f t="shared" si="40"/>
        <v>42</v>
      </c>
      <c r="D582" s="2">
        <f t="shared" si="41"/>
        <v>45947</v>
      </c>
      <c r="E582" s="1">
        <v>45947.458333333336</v>
      </c>
      <c r="F582" t="s">
        <v>1965</v>
      </c>
      <c r="G582" t="s">
        <v>36</v>
      </c>
      <c r="H582">
        <v>456570</v>
      </c>
      <c r="I582" t="s">
        <v>51</v>
      </c>
      <c r="J582" t="s">
        <v>144</v>
      </c>
      <c r="M582" t="s">
        <v>40</v>
      </c>
      <c r="N582" t="s">
        <v>41</v>
      </c>
      <c r="O582" t="s">
        <v>53</v>
      </c>
      <c r="P582">
        <v>33</v>
      </c>
      <c r="Q582">
        <v>0</v>
      </c>
      <c r="R582">
        <v>0</v>
      </c>
      <c r="S582">
        <v>0</v>
      </c>
      <c r="T582" t="s">
        <v>54</v>
      </c>
      <c r="U582" t="s">
        <v>55</v>
      </c>
      <c r="W582" t="s">
        <v>1966</v>
      </c>
      <c r="X582" t="s">
        <v>1967</v>
      </c>
      <c r="Y582">
        <v>0</v>
      </c>
      <c r="AA582" t="s">
        <v>40</v>
      </c>
      <c r="AB582" t="s">
        <v>46</v>
      </c>
      <c r="AC582" t="s">
        <v>47</v>
      </c>
      <c r="AG582" t="s">
        <v>1968</v>
      </c>
      <c r="AJ582" t="s">
        <v>40</v>
      </c>
      <c r="AK582">
        <v>5019188986</v>
      </c>
      <c r="AL582" t="s">
        <v>1969</v>
      </c>
      <c r="AM582" t="s">
        <v>1970</v>
      </c>
      <c r="AO582" s="1">
        <v>45947</v>
      </c>
      <c r="AP582" s="5">
        <v>0.45833333333333331</v>
      </c>
      <c r="AS582">
        <v>1</v>
      </c>
    </row>
    <row r="583" spans="1:45" x14ac:dyDescent="0.2">
      <c r="A583">
        <f t="shared" si="38"/>
        <v>2025</v>
      </c>
      <c r="B583">
        <f t="shared" si="39"/>
        <v>10</v>
      </c>
      <c r="C583">
        <f t="shared" si="40"/>
        <v>42</v>
      </c>
      <c r="D583" s="2">
        <f t="shared" si="41"/>
        <v>45947</v>
      </c>
      <c r="E583" s="1">
        <v>45947.458333333336</v>
      </c>
      <c r="F583" t="s">
        <v>1971</v>
      </c>
      <c r="G583" t="s">
        <v>36</v>
      </c>
      <c r="H583">
        <v>456584</v>
      </c>
      <c r="I583" t="s">
        <v>51</v>
      </c>
      <c r="J583" t="s">
        <v>52</v>
      </c>
      <c r="M583" t="s">
        <v>40</v>
      </c>
      <c r="N583" t="s">
        <v>41</v>
      </c>
      <c r="O583" t="s">
        <v>53</v>
      </c>
      <c r="P583">
        <v>33</v>
      </c>
      <c r="Q583">
        <v>0</v>
      </c>
      <c r="R583">
        <v>0</v>
      </c>
      <c r="S583">
        <v>0</v>
      </c>
      <c r="T583" t="s">
        <v>54</v>
      </c>
      <c r="U583" t="s">
        <v>55</v>
      </c>
      <c r="W583" t="s">
        <v>1918</v>
      </c>
      <c r="Y583">
        <v>0</v>
      </c>
      <c r="AA583" t="s">
        <v>40</v>
      </c>
      <c r="AB583" t="s">
        <v>46</v>
      </c>
      <c r="AC583" t="s">
        <v>47</v>
      </c>
      <c r="AG583" t="s">
        <v>1972</v>
      </c>
      <c r="AJ583" t="s">
        <v>40</v>
      </c>
      <c r="AK583">
        <v>5019200131</v>
      </c>
      <c r="AO583" s="1">
        <v>45947</v>
      </c>
      <c r="AP583" s="5">
        <v>0.45833333333333331</v>
      </c>
      <c r="AS583">
        <v>1</v>
      </c>
    </row>
    <row r="584" spans="1:45" x14ac:dyDescent="0.2">
      <c r="A584">
        <f t="shared" si="38"/>
        <v>2025</v>
      </c>
      <c r="B584">
        <f t="shared" si="39"/>
        <v>10</v>
      </c>
      <c r="C584">
        <f t="shared" si="40"/>
        <v>42</v>
      </c>
      <c r="D584" s="2">
        <f t="shared" si="41"/>
        <v>45947</v>
      </c>
      <c r="E584" s="1">
        <v>45947.458333333336</v>
      </c>
      <c r="F584" t="s">
        <v>1973</v>
      </c>
      <c r="G584" t="s">
        <v>36</v>
      </c>
      <c r="H584" t="s">
        <v>1974</v>
      </c>
      <c r="I584" t="s">
        <v>78</v>
      </c>
      <c r="J584" t="s">
        <v>834</v>
      </c>
      <c r="M584" t="s">
        <v>40</v>
      </c>
      <c r="N584" t="s">
        <v>41</v>
      </c>
      <c r="O584" t="s">
        <v>835</v>
      </c>
      <c r="P584">
        <v>66</v>
      </c>
      <c r="Q584">
        <v>0</v>
      </c>
      <c r="R584">
        <v>0</v>
      </c>
      <c r="S584">
        <v>0</v>
      </c>
      <c r="T584" t="s">
        <v>54</v>
      </c>
      <c r="U584" t="s">
        <v>55</v>
      </c>
      <c r="W584" t="s">
        <v>1975</v>
      </c>
      <c r="Y584">
        <v>0</v>
      </c>
      <c r="AA584" t="s">
        <v>40</v>
      </c>
      <c r="AB584" t="s">
        <v>46</v>
      </c>
      <c r="AC584" t="s">
        <v>47</v>
      </c>
      <c r="AD584" t="s">
        <v>81</v>
      </c>
      <c r="AE584" t="s">
        <v>81</v>
      </c>
      <c r="AG584" t="s">
        <v>1976</v>
      </c>
      <c r="AJ584" t="s">
        <v>40</v>
      </c>
      <c r="AK584" t="s">
        <v>1977</v>
      </c>
      <c r="AO584" s="1">
        <v>45947</v>
      </c>
      <c r="AP584" s="5">
        <v>0.45833333333333331</v>
      </c>
      <c r="AS584">
        <v>1</v>
      </c>
    </row>
    <row r="585" spans="1:45" x14ac:dyDescent="0.2">
      <c r="A585">
        <f t="shared" si="38"/>
        <v>2025</v>
      </c>
      <c r="B585">
        <f t="shared" si="39"/>
        <v>10</v>
      </c>
      <c r="C585">
        <f t="shared" si="40"/>
        <v>42</v>
      </c>
      <c r="D585" s="2">
        <f t="shared" si="41"/>
        <v>45947</v>
      </c>
      <c r="E585" s="1">
        <v>45947.5</v>
      </c>
      <c r="F585" t="s">
        <v>1978</v>
      </c>
      <c r="G585" t="s">
        <v>36</v>
      </c>
      <c r="H585" t="s">
        <v>1979</v>
      </c>
      <c r="I585" t="s">
        <v>78</v>
      </c>
      <c r="J585" t="s">
        <v>355</v>
      </c>
      <c r="M585" t="s">
        <v>40</v>
      </c>
      <c r="N585" t="s">
        <v>41</v>
      </c>
      <c r="O585" t="s">
        <v>356</v>
      </c>
      <c r="P585">
        <v>66</v>
      </c>
      <c r="Q585">
        <v>0</v>
      </c>
      <c r="R585">
        <v>0</v>
      </c>
      <c r="S585">
        <v>0</v>
      </c>
      <c r="T585" t="s">
        <v>54</v>
      </c>
      <c r="U585" t="s">
        <v>55</v>
      </c>
      <c r="W585" t="s">
        <v>1980</v>
      </c>
      <c r="Y585">
        <v>0</v>
      </c>
      <c r="AA585" t="s">
        <v>40</v>
      </c>
      <c r="AB585" t="s">
        <v>46</v>
      </c>
      <c r="AC585" t="s">
        <v>47</v>
      </c>
      <c r="AD585" t="s">
        <v>81</v>
      </c>
      <c r="AE585" t="s">
        <v>81</v>
      </c>
      <c r="AG585" t="s">
        <v>1981</v>
      </c>
      <c r="AJ585" t="s">
        <v>40</v>
      </c>
      <c r="AK585" t="s">
        <v>1982</v>
      </c>
      <c r="AO585" s="1">
        <v>45947</v>
      </c>
      <c r="AP585" s="5">
        <v>0.5</v>
      </c>
      <c r="AS585">
        <v>1</v>
      </c>
    </row>
    <row r="586" spans="1:45" x14ac:dyDescent="0.2">
      <c r="A586">
        <f t="shared" si="38"/>
        <v>2025</v>
      </c>
      <c r="B586">
        <f t="shared" si="39"/>
        <v>10</v>
      </c>
      <c r="C586">
        <f t="shared" si="40"/>
        <v>42</v>
      </c>
      <c r="D586" s="2">
        <f t="shared" si="41"/>
        <v>45947</v>
      </c>
      <c r="E586" s="1">
        <v>45947.5</v>
      </c>
      <c r="F586" t="s">
        <v>1983</v>
      </c>
      <c r="G586" t="s">
        <v>36</v>
      </c>
      <c r="H586" t="s">
        <v>111</v>
      </c>
      <c r="I586" t="s">
        <v>38</v>
      </c>
      <c r="J586" t="s">
        <v>112</v>
      </c>
      <c r="M586" t="s">
        <v>40</v>
      </c>
      <c r="N586" t="s">
        <v>41</v>
      </c>
      <c r="O586" t="s">
        <v>42</v>
      </c>
      <c r="P586">
        <v>19</v>
      </c>
      <c r="Q586">
        <v>0</v>
      </c>
      <c r="R586">
        <v>0</v>
      </c>
      <c r="S586">
        <v>0</v>
      </c>
      <c r="T586" t="s">
        <v>1984</v>
      </c>
      <c r="U586" t="s">
        <v>44</v>
      </c>
      <c r="W586" t="s">
        <v>1738</v>
      </c>
      <c r="Y586">
        <v>0</v>
      </c>
      <c r="AA586" t="s">
        <v>40</v>
      </c>
      <c r="AB586" t="s">
        <v>46</v>
      </c>
      <c r="AC586" t="s">
        <v>47</v>
      </c>
      <c r="AF586" t="s">
        <v>48</v>
      </c>
      <c r="AJ586" t="s">
        <v>40</v>
      </c>
      <c r="AK586" t="s">
        <v>49</v>
      </c>
      <c r="AO586" s="1">
        <v>45947</v>
      </c>
      <c r="AP586" s="5">
        <v>0.5</v>
      </c>
      <c r="AS586">
        <v>1</v>
      </c>
    </row>
    <row r="587" spans="1:45" x14ac:dyDescent="0.2">
      <c r="A587">
        <f t="shared" si="38"/>
        <v>2025</v>
      </c>
      <c r="B587">
        <f t="shared" si="39"/>
        <v>10</v>
      </c>
      <c r="C587">
        <f t="shared" si="40"/>
        <v>42</v>
      </c>
      <c r="D587" s="2">
        <f t="shared" si="41"/>
        <v>45947</v>
      </c>
      <c r="E587" s="1">
        <v>45947.5</v>
      </c>
      <c r="F587" t="s">
        <v>1985</v>
      </c>
      <c r="G587" t="s">
        <v>36</v>
      </c>
      <c r="H587">
        <v>456578</v>
      </c>
      <c r="I587" t="s">
        <v>51</v>
      </c>
      <c r="J587" t="s">
        <v>52</v>
      </c>
      <c r="M587" t="s">
        <v>40</v>
      </c>
      <c r="N587" t="s">
        <v>41</v>
      </c>
      <c r="O587" t="s">
        <v>53</v>
      </c>
      <c r="P587">
        <v>33</v>
      </c>
      <c r="Q587">
        <v>0</v>
      </c>
      <c r="R587">
        <v>0</v>
      </c>
      <c r="S587">
        <v>0</v>
      </c>
      <c r="T587" t="s">
        <v>54</v>
      </c>
      <c r="U587" t="s">
        <v>55</v>
      </c>
      <c r="W587" t="s">
        <v>1918</v>
      </c>
      <c r="Y587">
        <v>0</v>
      </c>
      <c r="AA587" t="s">
        <v>40</v>
      </c>
      <c r="AB587" t="s">
        <v>46</v>
      </c>
      <c r="AC587" t="s">
        <v>47</v>
      </c>
      <c r="AG587" t="s">
        <v>1986</v>
      </c>
      <c r="AJ587" t="s">
        <v>40</v>
      </c>
      <c r="AK587">
        <v>5019187397</v>
      </c>
      <c r="AO587" s="1">
        <v>45947</v>
      </c>
      <c r="AP587" s="5">
        <v>0.5</v>
      </c>
      <c r="AS587">
        <v>1</v>
      </c>
    </row>
    <row r="588" spans="1:45" x14ac:dyDescent="0.2">
      <c r="A588">
        <f t="shared" si="38"/>
        <v>2025</v>
      </c>
      <c r="B588">
        <f t="shared" si="39"/>
        <v>10</v>
      </c>
      <c r="C588">
        <f t="shared" si="40"/>
        <v>42</v>
      </c>
      <c r="D588" s="2">
        <f t="shared" si="41"/>
        <v>45947</v>
      </c>
      <c r="E588" s="1">
        <v>45947.5</v>
      </c>
      <c r="F588" t="s">
        <v>1987</v>
      </c>
      <c r="G588" t="s">
        <v>36</v>
      </c>
      <c r="H588" t="s">
        <v>320</v>
      </c>
      <c r="I588" t="s">
        <v>38</v>
      </c>
      <c r="J588" t="s">
        <v>321</v>
      </c>
      <c r="M588" t="s">
        <v>40</v>
      </c>
      <c r="N588" t="s">
        <v>41</v>
      </c>
      <c r="O588" t="s">
        <v>42</v>
      </c>
      <c r="P588">
        <v>33</v>
      </c>
      <c r="Q588">
        <v>0</v>
      </c>
      <c r="R588">
        <v>0</v>
      </c>
      <c r="S588">
        <v>0</v>
      </c>
      <c r="T588" t="s">
        <v>1988</v>
      </c>
      <c r="U588" t="s">
        <v>44</v>
      </c>
      <c r="W588" t="s">
        <v>1939</v>
      </c>
      <c r="Y588">
        <v>0</v>
      </c>
      <c r="AA588" t="s">
        <v>40</v>
      </c>
      <c r="AB588" t="s">
        <v>46</v>
      </c>
      <c r="AC588" t="s">
        <v>47</v>
      </c>
      <c r="AF588" t="s">
        <v>322</v>
      </c>
      <c r="AJ588" t="s">
        <v>40</v>
      </c>
      <c r="AK588" t="s">
        <v>49</v>
      </c>
      <c r="AO588" s="1">
        <v>45947</v>
      </c>
      <c r="AP588" s="5">
        <v>0.5</v>
      </c>
      <c r="AS588">
        <v>1</v>
      </c>
    </row>
    <row r="589" spans="1:45" x14ac:dyDescent="0.2">
      <c r="A589">
        <f t="shared" si="38"/>
        <v>2025</v>
      </c>
      <c r="B589">
        <f t="shared" si="39"/>
        <v>10</v>
      </c>
      <c r="C589">
        <f t="shared" si="40"/>
        <v>42</v>
      </c>
      <c r="D589" s="2">
        <f t="shared" si="41"/>
        <v>45947</v>
      </c>
      <c r="E589" s="1">
        <v>45947.541666666664</v>
      </c>
      <c r="F589" t="s">
        <v>1989</v>
      </c>
      <c r="G589" t="s">
        <v>36</v>
      </c>
      <c r="H589">
        <v>453875</v>
      </c>
      <c r="I589" t="s">
        <v>51</v>
      </c>
      <c r="J589" t="s">
        <v>154</v>
      </c>
      <c r="M589" t="s">
        <v>40</v>
      </c>
      <c r="N589" t="s">
        <v>41</v>
      </c>
      <c r="O589" t="s">
        <v>155</v>
      </c>
      <c r="P589">
        <v>33</v>
      </c>
      <c r="Q589">
        <v>0</v>
      </c>
      <c r="R589">
        <v>0</v>
      </c>
      <c r="S589">
        <v>0</v>
      </c>
      <c r="T589" t="s">
        <v>54</v>
      </c>
      <c r="U589" t="s">
        <v>55</v>
      </c>
      <c r="W589" t="s">
        <v>1990</v>
      </c>
      <c r="Y589">
        <v>0</v>
      </c>
      <c r="AA589" t="s">
        <v>40</v>
      </c>
      <c r="AB589" t="s">
        <v>46</v>
      </c>
      <c r="AC589" t="s">
        <v>47</v>
      </c>
      <c r="AG589" t="s">
        <v>1991</v>
      </c>
      <c r="AJ589" t="s">
        <v>40</v>
      </c>
      <c r="AK589">
        <v>5019187177</v>
      </c>
      <c r="AO589" s="1">
        <v>45947</v>
      </c>
      <c r="AP589" s="5">
        <v>0.54166666666666663</v>
      </c>
      <c r="AS589">
        <v>1</v>
      </c>
    </row>
    <row r="590" spans="1:45" x14ac:dyDescent="0.2">
      <c r="A590">
        <f t="shared" si="38"/>
        <v>2025</v>
      </c>
      <c r="B590">
        <f t="shared" si="39"/>
        <v>10</v>
      </c>
      <c r="C590">
        <f t="shared" si="40"/>
        <v>42</v>
      </c>
      <c r="D590" s="2">
        <f t="shared" si="41"/>
        <v>45947</v>
      </c>
      <c r="E590" s="1">
        <v>45947.541666666664</v>
      </c>
      <c r="F590" t="s">
        <v>1992</v>
      </c>
      <c r="G590" t="s">
        <v>36</v>
      </c>
      <c r="H590">
        <v>460915</v>
      </c>
      <c r="I590" t="s">
        <v>51</v>
      </c>
      <c r="J590" t="s">
        <v>154</v>
      </c>
      <c r="M590" t="s">
        <v>40</v>
      </c>
      <c r="N590" t="s">
        <v>41</v>
      </c>
      <c r="O590" t="s">
        <v>53</v>
      </c>
      <c r="P590">
        <v>33</v>
      </c>
      <c r="Q590">
        <v>0</v>
      </c>
      <c r="R590">
        <v>0</v>
      </c>
      <c r="S590">
        <v>0</v>
      </c>
      <c r="T590" t="s">
        <v>54</v>
      </c>
      <c r="U590" t="s">
        <v>55</v>
      </c>
      <c r="W590" t="s">
        <v>1993</v>
      </c>
      <c r="Y590">
        <v>0</v>
      </c>
      <c r="AA590" t="s">
        <v>40</v>
      </c>
      <c r="AB590" t="s">
        <v>46</v>
      </c>
      <c r="AC590" t="s">
        <v>47</v>
      </c>
      <c r="AG590" t="s">
        <v>1994</v>
      </c>
      <c r="AJ590" t="s">
        <v>40</v>
      </c>
      <c r="AK590">
        <v>5019162383</v>
      </c>
      <c r="AO590" s="1">
        <v>45947</v>
      </c>
      <c r="AP590" s="5">
        <v>0.54166666666666663</v>
      </c>
      <c r="AS590">
        <v>1</v>
      </c>
    </row>
    <row r="591" spans="1:45" x14ac:dyDescent="0.2">
      <c r="A591">
        <f t="shared" si="38"/>
        <v>2025</v>
      </c>
      <c r="B591">
        <f t="shared" si="39"/>
        <v>10</v>
      </c>
      <c r="C591">
        <f t="shared" si="40"/>
        <v>42</v>
      </c>
      <c r="D591" s="2">
        <f t="shared" si="41"/>
        <v>45947</v>
      </c>
      <c r="E591" s="1">
        <v>45947.541666666664</v>
      </c>
      <c r="F591" t="s">
        <v>1995</v>
      </c>
      <c r="G591" t="s">
        <v>36</v>
      </c>
      <c r="H591" t="s">
        <v>320</v>
      </c>
      <c r="I591" t="s">
        <v>38</v>
      </c>
      <c r="J591" t="s">
        <v>321</v>
      </c>
      <c r="M591" t="s">
        <v>40</v>
      </c>
      <c r="N591" t="s">
        <v>41</v>
      </c>
      <c r="O591" t="s">
        <v>42</v>
      </c>
      <c r="P591">
        <v>33</v>
      </c>
      <c r="Q591">
        <v>0</v>
      </c>
      <c r="R591">
        <v>0</v>
      </c>
      <c r="S591">
        <v>0</v>
      </c>
      <c r="T591" t="s">
        <v>1996</v>
      </c>
      <c r="U591" t="s">
        <v>44</v>
      </c>
      <c r="W591" t="s">
        <v>1939</v>
      </c>
      <c r="Y591">
        <v>0</v>
      </c>
      <c r="AA591" t="s">
        <v>40</v>
      </c>
      <c r="AB591" t="s">
        <v>46</v>
      </c>
      <c r="AC591" t="s">
        <v>47</v>
      </c>
      <c r="AF591" t="s">
        <v>322</v>
      </c>
      <c r="AJ591" t="s">
        <v>40</v>
      </c>
      <c r="AK591" t="s">
        <v>49</v>
      </c>
      <c r="AO591" s="1">
        <v>45947</v>
      </c>
      <c r="AP591" s="5">
        <v>0.54166666666666663</v>
      </c>
      <c r="AS591">
        <v>1</v>
      </c>
    </row>
    <row r="592" spans="1:45" x14ac:dyDescent="0.2">
      <c r="A592">
        <f t="shared" si="38"/>
        <v>2025</v>
      </c>
      <c r="B592">
        <f t="shared" si="39"/>
        <v>10</v>
      </c>
      <c r="C592">
        <f t="shared" si="40"/>
        <v>42</v>
      </c>
      <c r="D592" s="2">
        <f t="shared" si="41"/>
        <v>45947</v>
      </c>
      <c r="E592" s="1">
        <v>45947.541666666664</v>
      </c>
      <c r="F592" t="s">
        <v>1997</v>
      </c>
      <c r="G592" t="s">
        <v>36</v>
      </c>
      <c r="H592" t="s">
        <v>1054</v>
      </c>
      <c r="I592" t="s">
        <v>38</v>
      </c>
      <c r="J592" t="s">
        <v>451</v>
      </c>
      <c r="M592" t="s">
        <v>40</v>
      </c>
      <c r="N592" t="s">
        <v>41</v>
      </c>
      <c r="O592" t="s">
        <v>42</v>
      </c>
      <c r="P592">
        <v>24</v>
      </c>
      <c r="Q592">
        <v>0</v>
      </c>
      <c r="R592">
        <v>0</v>
      </c>
      <c r="S592">
        <v>0</v>
      </c>
      <c r="T592" t="s">
        <v>1998</v>
      </c>
      <c r="U592" t="s">
        <v>44</v>
      </c>
      <c r="W592" t="s">
        <v>1999</v>
      </c>
      <c r="Y592">
        <v>0</v>
      </c>
      <c r="AA592" t="s">
        <v>40</v>
      </c>
      <c r="AB592" t="s">
        <v>46</v>
      </c>
      <c r="AC592" t="s">
        <v>47</v>
      </c>
      <c r="AF592" t="s">
        <v>454</v>
      </c>
      <c r="AJ592" t="s">
        <v>40</v>
      </c>
      <c r="AK592" t="s">
        <v>49</v>
      </c>
      <c r="AO592" s="1">
        <v>45947</v>
      </c>
      <c r="AP592" s="5">
        <v>0.54166666666666663</v>
      </c>
      <c r="AS592">
        <v>1</v>
      </c>
    </row>
    <row r="593" spans="1:45" x14ac:dyDescent="0.2">
      <c r="A593">
        <f t="shared" si="38"/>
        <v>2025</v>
      </c>
      <c r="B593">
        <f t="shared" si="39"/>
        <v>10</v>
      </c>
      <c r="C593">
        <f t="shared" si="40"/>
        <v>42</v>
      </c>
      <c r="D593" s="2">
        <f t="shared" si="41"/>
        <v>45947</v>
      </c>
      <c r="E593" s="1">
        <v>45947.583333333336</v>
      </c>
      <c r="F593" t="s">
        <v>2000</v>
      </c>
      <c r="G593" t="s">
        <v>36</v>
      </c>
      <c r="H593" t="s">
        <v>2001</v>
      </c>
      <c r="I593" t="s">
        <v>38</v>
      </c>
      <c r="J593" t="s">
        <v>880</v>
      </c>
      <c r="M593" t="s">
        <v>40</v>
      </c>
      <c r="N593" t="s">
        <v>41</v>
      </c>
      <c r="O593" t="s">
        <v>42</v>
      </c>
      <c r="P593">
        <v>20</v>
      </c>
      <c r="Q593">
        <v>0</v>
      </c>
      <c r="R593">
        <v>0</v>
      </c>
      <c r="S593">
        <v>0</v>
      </c>
      <c r="T593">
        <v>5019059153</v>
      </c>
      <c r="U593" t="s">
        <v>44</v>
      </c>
      <c r="W593" t="s">
        <v>1939</v>
      </c>
      <c r="Y593">
        <v>0</v>
      </c>
      <c r="AA593" t="s">
        <v>40</v>
      </c>
      <c r="AB593" t="s">
        <v>46</v>
      </c>
      <c r="AC593" t="s">
        <v>47</v>
      </c>
      <c r="AF593" t="s">
        <v>882</v>
      </c>
      <c r="AJ593" t="s">
        <v>40</v>
      </c>
      <c r="AK593" t="s">
        <v>49</v>
      </c>
      <c r="AO593" s="1">
        <v>45947</v>
      </c>
      <c r="AP593" s="5">
        <v>0.58333333333333337</v>
      </c>
      <c r="AS593">
        <v>1</v>
      </c>
    </row>
    <row r="594" spans="1:45" x14ac:dyDescent="0.2">
      <c r="A594">
        <f t="shared" si="38"/>
        <v>2025</v>
      </c>
      <c r="B594">
        <f t="shared" si="39"/>
        <v>10</v>
      </c>
      <c r="C594">
        <f t="shared" si="40"/>
        <v>42</v>
      </c>
      <c r="D594" s="2">
        <f t="shared" si="41"/>
        <v>45947</v>
      </c>
      <c r="E594" s="1">
        <v>45947.583333333336</v>
      </c>
      <c r="F594" t="s">
        <v>2002</v>
      </c>
      <c r="G594" t="s">
        <v>36</v>
      </c>
      <c r="H594">
        <v>461247</v>
      </c>
      <c r="I594" t="s">
        <v>51</v>
      </c>
      <c r="J594" t="s">
        <v>834</v>
      </c>
      <c r="M594" t="s">
        <v>40</v>
      </c>
      <c r="N594" t="s">
        <v>41</v>
      </c>
      <c r="O594" t="s">
        <v>172</v>
      </c>
      <c r="P594">
        <v>33</v>
      </c>
      <c r="Q594">
        <v>0</v>
      </c>
      <c r="R594">
        <v>0</v>
      </c>
      <c r="S594">
        <v>0</v>
      </c>
      <c r="T594" t="s">
        <v>54</v>
      </c>
      <c r="U594" t="s">
        <v>55</v>
      </c>
      <c r="W594" t="s">
        <v>1966</v>
      </c>
      <c r="Y594">
        <v>0</v>
      </c>
      <c r="AA594" t="s">
        <v>40</v>
      </c>
      <c r="AB594" t="s">
        <v>46</v>
      </c>
      <c r="AC594" t="s">
        <v>47</v>
      </c>
      <c r="AG594" t="s">
        <v>2003</v>
      </c>
      <c r="AJ594" t="s">
        <v>40</v>
      </c>
      <c r="AK594">
        <v>5019200143</v>
      </c>
      <c r="AO594" s="1">
        <v>45947</v>
      </c>
      <c r="AP594" s="5">
        <v>0.58333333333333337</v>
      </c>
      <c r="AS594">
        <v>1</v>
      </c>
    </row>
    <row r="595" spans="1:45" x14ac:dyDescent="0.2">
      <c r="A595">
        <f t="shared" si="38"/>
        <v>2025</v>
      </c>
      <c r="B595">
        <f t="shared" si="39"/>
        <v>10</v>
      </c>
      <c r="C595">
        <f t="shared" si="40"/>
        <v>42</v>
      </c>
      <c r="D595" s="2">
        <f t="shared" si="41"/>
        <v>45947</v>
      </c>
      <c r="E595" s="1">
        <v>45947.583333333336</v>
      </c>
      <c r="F595" t="s">
        <v>2004</v>
      </c>
      <c r="G595" t="s">
        <v>36</v>
      </c>
      <c r="H595" t="s">
        <v>2005</v>
      </c>
      <c r="I595" t="s">
        <v>78</v>
      </c>
      <c r="J595" t="s">
        <v>118</v>
      </c>
      <c r="M595" t="s">
        <v>40</v>
      </c>
      <c r="N595" t="s">
        <v>41</v>
      </c>
      <c r="O595" t="s">
        <v>1596</v>
      </c>
      <c r="P595">
        <v>66</v>
      </c>
      <c r="Q595">
        <v>0</v>
      </c>
      <c r="R595">
        <v>0</v>
      </c>
      <c r="S595">
        <v>0</v>
      </c>
      <c r="T595" t="s">
        <v>54</v>
      </c>
      <c r="U595" t="s">
        <v>55</v>
      </c>
      <c r="W595" t="s">
        <v>2006</v>
      </c>
      <c r="Y595">
        <v>0</v>
      </c>
      <c r="AA595" t="s">
        <v>40</v>
      </c>
      <c r="AB595" t="s">
        <v>46</v>
      </c>
      <c r="AC595" t="s">
        <v>47</v>
      </c>
      <c r="AD595" t="s">
        <v>81</v>
      </c>
      <c r="AE595" t="s">
        <v>81</v>
      </c>
      <c r="AG595" t="s">
        <v>2007</v>
      </c>
      <c r="AJ595" t="s">
        <v>40</v>
      </c>
      <c r="AK595" t="s">
        <v>2008</v>
      </c>
      <c r="AO595" s="1">
        <v>45947</v>
      </c>
      <c r="AP595" s="5">
        <v>0.58333333333333337</v>
      </c>
      <c r="AS595">
        <v>1</v>
      </c>
    </row>
    <row r="596" spans="1:45" x14ac:dyDescent="0.2">
      <c r="A596">
        <f t="shared" si="38"/>
        <v>2025</v>
      </c>
      <c r="B596">
        <f t="shared" si="39"/>
        <v>10</v>
      </c>
      <c r="C596">
        <f t="shared" si="40"/>
        <v>42</v>
      </c>
      <c r="D596" s="2">
        <f t="shared" si="41"/>
        <v>45947</v>
      </c>
      <c r="E596" s="1">
        <v>45947.583333333336</v>
      </c>
      <c r="F596" t="s">
        <v>2009</v>
      </c>
      <c r="G596" t="s">
        <v>36</v>
      </c>
      <c r="H596" t="s">
        <v>1054</v>
      </c>
      <c r="I596" t="s">
        <v>38</v>
      </c>
      <c r="J596" t="s">
        <v>451</v>
      </c>
      <c r="M596" t="s">
        <v>40</v>
      </c>
      <c r="N596" t="s">
        <v>41</v>
      </c>
      <c r="O596" t="s">
        <v>42</v>
      </c>
      <c r="P596">
        <v>10</v>
      </c>
      <c r="Q596">
        <v>0</v>
      </c>
      <c r="R596">
        <v>0</v>
      </c>
      <c r="S596">
        <v>0</v>
      </c>
      <c r="T596" t="s">
        <v>2010</v>
      </c>
      <c r="U596" t="s">
        <v>101</v>
      </c>
      <c r="W596" t="s">
        <v>2011</v>
      </c>
      <c r="Y596">
        <v>0</v>
      </c>
      <c r="AA596" t="s">
        <v>40</v>
      </c>
      <c r="AB596" t="s">
        <v>46</v>
      </c>
      <c r="AC596" t="s">
        <v>47</v>
      </c>
      <c r="AF596" t="s">
        <v>454</v>
      </c>
      <c r="AJ596" t="s">
        <v>40</v>
      </c>
      <c r="AK596" t="s">
        <v>49</v>
      </c>
      <c r="AO596" s="1">
        <v>45947</v>
      </c>
      <c r="AP596" s="5">
        <v>0.58333333333333337</v>
      </c>
      <c r="AS596">
        <v>1</v>
      </c>
    </row>
    <row r="597" spans="1:45" x14ac:dyDescent="0.2">
      <c r="A597">
        <f t="shared" si="38"/>
        <v>2025</v>
      </c>
      <c r="B597">
        <f t="shared" si="39"/>
        <v>10</v>
      </c>
      <c r="C597">
        <f t="shared" si="40"/>
        <v>42</v>
      </c>
      <c r="D597" s="2">
        <f t="shared" si="41"/>
        <v>45947</v>
      </c>
      <c r="E597" s="1">
        <v>45947.625</v>
      </c>
      <c r="F597" t="s">
        <v>2012</v>
      </c>
      <c r="G597" t="s">
        <v>36</v>
      </c>
      <c r="H597">
        <v>453863</v>
      </c>
      <c r="I597" t="s">
        <v>51</v>
      </c>
      <c r="J597" t="s">
        <v>154</v>
      </c>
      <c r="M597" t="s">
        <v>40</v>
      </c>
      <c r="N597" t="s">
        <v>41</v>
      </c>
      <c r="O597" t="s">
        <v>155</v>
      </c>
      <c r="P597">
        <v>33</v>
      </c>
      <c r="Q597">
        <v>0</v>
      </c>
      <c r="R597">
        <v>0</v>
      </c>
      <c r="S597">
        <v>0</v>
      </c>
      <c r="T597" t="s">
        <v>54</v>
      </c>
      <c r="U597" t="s">
        <v>55</v>
      </c>
      <c r="W597" t="s">
        <v>1990</v>
      </c>
      <c r="Y597">
        <v>0</v>
      </c>
      <c r="AA597" t="s">
        <v>40</v>
      </c>
      <c r="AB597" t="s">
        <v>46</v>
      </c>
      <c r="AC597" t="s">
        <v>47</v>
      </c>
      <c r="AG597" t="s">
        <v>2013</v>
      </c>
      <c r="AJ597" t="s">
        <v>40</v>
      </c>
      <c r="AK597">
        <v>5019190621</v>
      </c>
      <c r="AO597" s="1">
        <v>45947</v>
      </c>
      <c r="AP597" s="5">
        <v>0.625</v>
      </c>
      <c r="AS597">
        <v>1</v>
      </c>
    </row>
    <row r="598" spans="1:45" x14ac:dyDescent="0.2">
      <c r="A598">
        <f t="shared" si="38"/>
        <v>2025</v>
      </c>
      <c r="B598">
        <f t="shared" si="39"/>
        <v>10</v>
      </c>
      <c r="C598">
        <f t="shared" si="40"/>
        <v>42</v>
      </c>
      <c r="D598" s="2">
        <f t="shared" si="41"/>
        <v>45947</v>
      </c>
      <c r="E598" s="1">
        <v>45947.625</v>
      </c>
      <c r="F598" t="s">
        <v>2014</v>
      </c>
      <c r="G598" t="s">
        <v>36</v>
      </c>
      <c r="H598" t="s">
        <v>2015</v>
      </c>
      <c r="I598" t="s">
        <v>38</v>
      </c>
      <c r="J598" t="s">
        <v>451</v>
      </c>
      <c r="M598" t="s">
        <v>40</v>
      </c>
      <c r="N598" t="s">
        <v>41</v>
      </c>
      <c r="O598" t="s">
        <v>42</v>
      </c>
      <c r="P598">
        <v>1</v>
      </c>
      <c r="Q598">
        <v>0</v>
      </c>
      <c r="R598">
        <v>0</v>
      </c>
      <c r="S598">
        <v>0</v>
      </c>
      <c r="T598" t="s">
        <v>2016</v>
      </c>
      <c r="U598" t="s">
        <v>101</v>
      </c>
      <c r="W598" t="s">
        <v>1932</v>
      </c>
      <c r="Y598">
        <v>0</v>
      </c>
      <c r="AA598" t="s">
        <v>40</v>
      </c>
      <c r="AB598" t="s">
        <v>46</v>
      </c>
      <c r="AC598" t="s">
        <v>47</v>
      </c>
      <c r="AF598" t="s">
        <v>454</v>
      </c>
      <c r="AJ598" t="s">
        <v>40</v>
      </c>
      <c r="AK598" t="s">
        <v>49</v>
      </c>
      <c r="AO598" s="1">
        <v>45947</v>
      </c>
      <c r="AP598" s="5">
        <v>0.625</v>
      </c>
      <c r="AS598">
        <v>1</v>
      </c>
    </row>
    <row r="599" spans="1:45" x14ac:dyDescent="0.2">
      <c r="A599">
        <f t="shared" si="38"/>
        <v>2025</v>
      </c>
      <c r="B599">
        <f t="shared" si="39"/>
        <v>10</v>
      </c>
      <c r="C599">
        <f t="shared" si="40"/>
        <v>42</v>
      </c>
      <c r="D599" s="2">
        <f t="shared" si="41"/>
        <v>45947</v>
      </c>
      <c r="E599" s="1">
        <v>45947.625</v>
      </c>
      <c r="F599" t="s">
        <v>2017</v>
      </c>
      <c r="G599" t="s">
        <v>36</v>
      </c>
      <c r="H599" t="s">
        <v>2001</v>
      </c>
      <c r="I599" t="s">
        <v>38</v>
      </c>
      <c r="J599" t="s">
        <v>880</v>
      </c>
      <c r="M599" t="s">
        <v>40</v>
      </c>
      <c r="N599" t="s">
        <v>41</v>
      </c>
      <c r="O599" t="s">
        <v>42</v>
      </c>
      <c r="P599">
        <v>20</v>
      </c>
      <c r="Q599">
        <v>0</v>
      </c>
      <c r="R599">
        <v>0</v>
      </c>
      <c r="S599">
        <v>0</v>
      </c>
      <c r="T599">
        <v>5019072362</v>
      </c>
      <c r="U599" t="s">
        <v>44</v>
      </c>
      <c r="W599" t="s">
        <v>1939</v>
      </c>
      <c r="Y599">
        <v>0</v>
      </c>
      <c r="AA599" t="s">
        <v>40</v>
      </c>
      <c r="AB599" t="s">
        <v>46</v>
      </c>
      <c r="AC599" t="s">
        <v>47</v>
      </c>
      <c r="AF599" t="s">
        <v>882</v>
      </c>
      <c r="AJ599" t="s">
        <v>40</v>
      </c>
      <c r="AK599" t="s">
        <v>49</v>
      </c>
      <c r="AO599" s="1">
        <v>45947</v>
      </c>
      <c r="AP599" s="5">
        <v>0.625</v>
      </c>
      <c r="AS599">
        <v>1</v>
      </c>
    </row>
    <row r="600" spans="1:45" x14ac:dyDescent="0.2">
      <c r="A600">
        <f t="shared" si="38"/>
        <v>2025</v>
      </c>
      <c r="B600">
        <f t="shared" si="39"/>
        <v>10</v>
      </c>
      <c r="C600">
        <f t="shared" si="40"/>
        <v>42</v>
      </c>
      <c r="D600" s="2">
        <f t="shared" si="41"/>
        <v>45947</v>
      </c>
      <c r="E600" s="1">
        <v>45947.666666666664</v>
      </c>
      <c r="F600" t="s">
        <v>2018</v>
      </c>
      <c r="G600" t="s">
        <v>36</v>
      </c>
      <c r="H600" t="s">
        <v>2019</v>
      </c>
      <c r="I600" t="s">
        <v>78</v>
      </c>
      <c r="J600" t="s">
        <v>200</v>
      </c>
      <c r="M600" t="s">
        <v>40</v>
      </c>
      <c r="N600" t="s">
        <v>41</v>
      </c>
      <c r="O600" t="s">
        <v>554</v>
      </c>
      <c r="P600">
        <v>66</v>
      </c>
      <c r="Q600">
        <v>0</v>
      </c>
      <c r="R600">
        <v>0</v>
      </c>
      <c r="S600">
        <v>0</v>
      </c>
      <c r="T600" t="s">
        <v>54</v>
      </c>
      <c r="U600" t="s">
        <v>55</v>
      </c>
      <c r="W600" t="s">
        <v>1004</v>
      </c>
      <c r="Y600">
        <v>0</v>
      </c>
      <c r="AA600" t="s">
        <v>40</v>
      </c>
      <c r="AB600" t="s">
        <v>46</v>
      </c>
      <c r="AC600" t="s">
        <v>47</v>
      </c>
      <c r="AD600" t="s">
        <v>81</v>
      </c>
      <c r="AE600" t="s">
        <v>81</v>
      </c>
      <c r="AG600" t="s">
        <v>2020</v>
      </c>
      <c r="AJ600" t="s">
        <v>40</v>
      </c>
      <c r="AK600" t="s">
        <v>2021</v>
      </c>
      <c r="AO600" s="1">
        <v>45947</v>
      </c>
      <c r="AP600" s="5">
        <v>0.66666666666666663</v>
      </c>
      <c r="AS600">
        <v>1</v>
      </c>
    </row>
    <row r="601" spans="1:45" x14ac:dyDescent="0.2">
      <c r="A601">
        <f t="shared" si="38"/>
        <v>2025</v>
      </c>
      <c r="B601">
        <f t="shared" si="39"/>
        <v>10</v>
      </c>
      <c r="C601">
        <f t="shared" si="40"/>
        <v>42</v>
      </c>
      <c r="D601" s="2">
        <f t="shared" si="41"/>
        <v>45947</v>
      </c>
      <c r="E601" s="1">
        <v>45947.666666666664</v>
      </c>
      <c r="F601" t="s">
        <v>2022</v>
      </c>
      <c r="G601" t="s">
        <v>36</v>
      </c>
      <c r="H601" t="s">
        <v>2001</v>
      </c>
      <c r="I601" t="s">
        <v>38</v>
      </c>
      <c r="J601" t="s">
        <v>880</v>
      </c>
      <c r="M601" t="s">
        <v>40</v>
      </c>
      <c r="N601" t="s">
        <v>41</v>
      </c>
      <c r="O601" t="s">
        <v>42</v>
      </c>
      <c r="P601">
        <v>20</v>
      </c>
      <c r="Q601">
        <v>0</v>
      </c>
      <c r="R601">
        <v>0</v>
      </c>
      <c r="S601">
        <v>0</v>
      </c>
      <c r="T601">
        <v>5019062475</v>
      </c>
      <c r="U601" t="s">
        <v>44</v>
      </c>
      <c r="W601" t="s">
        <v>1939</v>
      </c>
      <c r="Y601">
        <v>0</v>
      </c>
      <c r="AA601" t="s">
        <v>40</v>
      </c>
      <c r="AB601" t="s">
        <v>46</v>
      </c>
      <c r="AC601" t="s">
        <v>47</v>
      </c>
      <c r="AF601" t="s">
        <v>882</v>
      </c>
      <c r="AJ601" t="s">
        <v>40</v>
      </c>
      <c r="AK601" t="s">
        <v>49</v>
      </c>
      <c r="AO601" s="1">
        <v>45947</v>
      </c>
      <c r="AP601" s="5">
        <v>0.66666666666666663</v>
      </c>
      <c r="AS601">
        <v>1</v>
      </c>
    </row>
    <row r="602" spans="1:45" x14ac:dyDescent="0.2">
      <c r="A602">
        <f t="shared" si="38"/>
        <v>2025</v>
      </c>
      <c r="B602">
        <f t="shared" si="39"/>
        <v>10</v>
      </c>
      <c r="C602">
        <f t="shared" si="40"/>
        <v>42</v>
      </c>
      <c r="D602" s="2">
        <f t="shared" si="41"/>
        <v>45947</v>
      </c>
      <c r="E602" s="1">
        <v>45947.666666666664</v>
      </c>
      <c r="F602" t="s">
        <v>2023</v>
      </c>
      <c r="G602" t="s">
        <v>36</v>
      </c>
      <c r="H602" t="s">
        <v>1936</v>
      </c>
      <c r="I602" t="s">
        <v>38</v>
      </c>
      <c r="J602" t="s">
        <v>1937</v>
      </c>
      <c r="M602" t="s">
        <v>40</v>
      </c>
      <c r="N602" t="s">
        <v>41</v>
      </c>
      <c r="O602" t="s">
        <v>42</v>
      </c>
      <c r="P602">
        <v>16</v>
      </c>
      <c r="Q602">
        <v>0</v>
      </c>
      <c r="R602">
        <v>0</v>
      </c>
      <c r="S602">
        <v>0</v>
      </c>
      <c r="T602">
        <v>5019090399</v>
      </c>
      <c r="U602" t="s">
        <v>44</v>
      </c>
      <c r="W602" t="s">
        <v>1939</v>
      </c>
      <c r="Y602">
        <v>0</v>
      </c>
      <c r="AA602" t="s">
        <v>40</v>
      </c>
      <c r="AB602" t="s">
        <v>46</v>
      </c>
      <c r="AC602" t="s">
        <v>47</v>
      </c>
      <c r="AF602" t="s">
        <v>1940</v>
      </c>
      <c r="AJ602" t="s">
        <v>40</v>
      </c>
      <c r="AK602" t="s">
        <v>49</v>
      </c>
      <c r="AO602" s="1">
        <v>45947</v>
      </c>
      <c r="AP602" s="5">
        <v>0.66666666666666663</v>
      </c>
      <c r="AS602">
        <v>1</v>
      </c>
    </row>
    <row r="603" spans="1:45" x14ac:dyDescent="0.2">
      <c r="A603">
        <f t="shared" si="38"/>
        <v>2025</v>
      </c>
      <c r="B603">
        <f t="shared" si="39"/>
        <v>10</v>
      </c>
      <c r="C603">
        <f t="shared" si="40"/>
        <v>42</v>
      </c>
      <c r="D603" s="2">
        <f t="shared" si="41"/>
        <v>45947</v>
      </c>
      <c r="E603" s="1">
        <v>45947.666666666664</v>
      </c>
      <c r="F603" t="s">
        <v>2024</v>
      </c>
      <c r="G603" t="s">
        <v>36</v>
      </c>
      <c r="H603">
        <v>453864</v>
      </c>
      <c r="I603" t="s">
        <v>51</v>
      </c>
      <c r="J603" t="s">
        <v>154</v>
      </c>
      <c r="M603" t="s">
        <v>40</v>
      </c>
      <c r="N603" t="s">
        <v>41</v>
      </c>
      <c r="O603" t="s">
        <v>155</v>
      </c>
      <c r="P603">
        <v>33</v>
      </c>
      <c r="Q603">
        <v>0</v>
      </c>
      <c r="R603">
        <v>0</v>
      </c>
      <c r="S603">
        <v>0</v>
      </c>
      <c r="T603" t="s">
        <v>54</v>
      </c>
      <c r="U603" t="s">
        <v>55</v>
      </c>
      <c r="W603" t="s">
        <v>1990</v>
      </c>
      <c r="Y603">
        <v>0</v>
      </c>
      <c r="AA603" t="s">
        <v>40</v>
      </c>
      <c r="AB603" t="s">
        <v>46</v>
      </c>
      <c r="AC603" t="s">
        <v>47</v>
      </c>
      <c r="AG603" t="s">
        <v>2025</v>
      </c>
      <c r="AJ603" t="s">
        <v>40</v>
      </c>
      <c r="AK603">
        <v>5019181588</v>
      </c>
      <c r="AO603" s="1">
        <v>45947</v>
      </c>
      <c r="AP603" s="5">
        <v>0.66666666666666663</v>
      </c>
      <c r="AS603">
        <v>1</v>
      </c>
    </row>
    <row r="604" spans="1:45" x14ac:dyDescent="0.2">
      <c r="A604">
        <f t="shared" si="38"/>
        <v>2025</v>
      </c>
      <c r="B604">
        <f t="shared" si="39"/>
        <v>10</v>
      </c>
      <c r="C604">
        <f t="shared" si="40"/>
        <v>42</v>
      </c>
      <c r="D604" s="2">
        <f t="shared" si="41"/>
        <v>45947</v>
      </c>
      <c r="E604" s="1">
        <v>45947.708333333336</v>
      </c>
      <c r="F604" t="s">
        <v>2026</v>
      </c>
      <c r="G604" t="s">
        <v>36</v>
      </c>
      <c r="H604" t="s">
        <v>2001</v>
      </c>
      <c r="I604" t="s">
        <v>38</v>
      </c>
      <c r="J604" t="s">
        <v>880</v>
      </c>
      <c r="M604" t="s">
        <v>40</v>
      </c>
      <c r="N604" t="s">
        <v>41</v>
      </c>
      <c r="O604" t="s">
        <v>42</v>
      </c>
      <c r="P604">
        <v>20</v>
      </c>
      <c r="Q604">
        <v>0</v>
      </c>
      <c r="R604">
        <v>0</v>
      </c>
      <c r="S604">
        <v>0</v>
      </c>
      <c r="T604">
        <v>5019056477</v>
      </c>
      <c r="U604" t="s">
        <v>44</v>
      </c>
      <c r="W604" t="s">
        <v>1939</v>
      </c>
      <c r="Y604">
        <v>0</v>
      </c>
      <c r="AA604" t="s">
        <v>40</v>
      </c>
      <c r="AB604" t="s">
        <v>46</v>
      </c>
      <c r="AC604" t="s">
        <v>47</v>
      </c>
      <c r="AF604" t="s">
        <v>882</v>
      </c>
      <c r="AJ604" t="s">
        <v>40</v>
      </c>
      <c r="AK604" t="s">
        <v>49</v>
      </c>
      <c r="AO604" s="1">
        <v>45947</v>
      </c>
      <c r="AP604" s="5">
        <v>0.70833333333333337</v>
      </c>
      <c r="AS604">
        <v>1</v>
      </c>
    </row>
    <row r="605" spans="1:45" x14ac:dyDescent="0.2">
      <c r="A605">
        <f t="shared" si="38"/>
        <v>2025</v>
      </c>
      <c r="B605">
        <f t="shared" si="39"/>
        <v>10</v>
      </c>
      <c r="C605">
        <f t="shared" si="40"/>
        <v>42</v>
      </c>
      <c r="D605" s="2">
        <f t="shared" si="41"/>
        <v>45947</v>
      </c>
      <c r="E605" s="1">
        <v>45947.708333333336</v>
      </c>
      <c r="F605" t="s">
        <v>2027</v>
      </c>
      <c r="G605" t="s">
        <v>36</v>
      </c>
      <c r="H605">
        <v>453882</v>
      </c>
      <c r="I605" t="s">
        <v>51</v>
      </c>
      <c r="J605" t="s">
        <v>513</v>
      </c>
      <c r="M605" t="s">
        <v>40</v>
      </c>
      <c r="N605" t="s">
        <v>41</v>
      </c>
      <c r="O605" t="s">
        <v>514</v>
      </c>
      <c r="P605">
        <v>33</v>
      </c>
      <c r="Q605">
        <v>0</v>
      </c>
      <c r="R605">
        <v>0</v>
      </c>
      <c r="S605">
        <v>0</v>
      </c>
      <c r="T605" t="s">
        <v>54</v>
      </c>
      <c r="U605" t="s">
        <v>55</v>
      </c>
      <c r="W605" t="s">
        <v>2028</v>
      </c>
      <c r="Y605">
        <v>0</v>
      </c>
      <c r="AA605" t="s">
        <v>40</v>
      </c>
      <c r="AB605" t="s">
        <v>46</v>
      </c>
      <c r="AC605" t="s">
        <v>47</v>
      </c>
      <c r="AG605" t="s">
        <v>2029</v>
      </c>
      <c r="AJ605" t="s">
        <v>40</v>
      </c>
      <c r="AK605">
        <v>5019200841</v>
      </c>
      <c r="AO605" s="1">
        <v>45947</v>
      </c>
      <c r="AP605" s="5">
        <v>0.70833333333333337</v>
      </c>
      <c r="AS605">
        <v>1</v>
      </c>
    </row>
    <row r="606" spans="1:45" x14ac:dyDescent="0.2">
      <c r="A606">
        <f t="shared" si="38"/>
        <v>2025</v>
      </c>
      <c r="B606">
        <f t="shared" si="39"/>
        <v>10</v>
      </c>
      <c r="C606">
        <f t="shared" si="40"/>
        <v>42</v>
      </c>
      <c r="D606" s="2">
        <f t="shared" si="41"/>
        <v>45947</v>
      </c>
      <c r="E606" s="1">
        <v>45947.75</v>
      </c>
      <c r="F606" t="s">
        <v>2030</v>
      </c>
      <c r="G606" t="s">
        <v>36</v>
      </c>
      <c r="H606" t="s">
        <v>2031</v>
      </c>
      <c r="I606" t="s">
        <v>78</v>
      </c>
      <c r="J606" t="s">
        <v>1059</v>
      </c>
      <c r="M606" t="s">
        <v>40</v>
      </c>
      <c r="N606" t="s">
        <v>41</v>
      </c>
      <c r="O606" t="s">
        <v>2032</v>
      </c>
      <c r="P606">
        <v>66</v>
      </c>
      <c r="Q606">
        <v>0</v>
      </c>
      <c r="R606">
        <v>0</v>
      </c>
      <c r="S606">
        <v>0</v>
      </c>
      <c r="T606" t="s">
        <v>54</v>
      </c>
      <c r="U606" t="s">
        <v>55</v>
      </c>
      <c r="W606" t="s">
        <v>2033</v>
      </c>
      <c r="X606" t="s">
        <v>2034</v>
      </c>
      <c r="Y606">
        <v>0</v>
      </c>
      <c r="AA606" t="s">
        <v>40</v>
      </c>
      <c r="AB606" t="s">
        <v>46</v>
      </c>
      <c r="AC606" t="s">
        <v>47</v>
      </c>
      <c r="AD606" t="s">
        <v>81</v>
      </c>
      <c r="AE606" t="s">
        <v>81</v>
      </c>
      <c r="AG606" t="s">
        <v>2035</v>
      </c>
      <c r="AJ606" t="s">
        <v>40</v>
      </c>
      <c r="AK606" t="s">
        <v>2036</v>
      </c>
      <c r="AL606" t="s">
        <v>2037</v>
      </c>
      <c r="AO606" s="1">
        <v>45947</v>
      </c>
      <c r="AP606" s="5">
        <v>0.75</v>
      </c>
      <c r="AS606">
        <v>1</v>
      </c>
    </row>
    <row r="607" spans="1:45" x14ac:dyDescent="0.2">
      <c r="A607">
        <f t="shared" si="38"/>
        <v>2025</v>
      </c>
      <c r="B607">
        <f t="shared" si="39"/>
        <v>10</v>
      </c>
      <c r="C607">
        <f t="shared" si="40"/>
        <v>42</v>
      </c>
      <c r="D607" s="2">
        <f t="shared" si="41"/>
        <v>45947</v>
      </c>
      <c r="E607" s="1">
        <v>45947.75</v>
      </c>
      <c r="F607" t="s">
        <v>2038</v>
      </c>
      <c r="G607" t="s">
        <v>36</v>
      </c>
      <c r="H607" t="s">
        <v>2039</v>
      </c>
      <c r="I607" t="s">
        <v>2040</v>
      </c>
      <c r="J607" t="s">
        <v>144</v>
      </c>
      <c r="M607" t="s">
        <v>40</v>
      </c>
      <c r="N607" t="s">
        <v>41</v>
      </c>
      <c r="O607" t="s">
        <v>2041</v>
      </c>
      <c r="P607">
        <v>165</v>
      </c>
      <c r="Q607">
        <v>0</v>
      </c>
      <c r="R607">
        <v>0</v>
      </c>
      <c r="S607">
        <v>0</v>
      </c>
      <c r="T607" t="s">
        <v>54</v>
      </c>
      <c r="U607" t="s">
        <v>55</v>
      </c>
      <c r="W607" t="s">
        <v>1750</v>
      </c>
      <c r="X607" t="s">
        <v>2042</v>
      </c>
      <c r="Y607">
        <v>0</v>
      </c>
      <c r="AA607" t="s">
        <v>40</v>
      </c>
      <c r="AB607" t="s">
        <v>46</v>
      </c>
      <c r="AC607" t="s">
        <v>47</v>
      </c>
      <c r="AD607" t="s">
        <v>2043</v>
      </c>
      <c r="AE607" t="s">
        <v>2043</v>
      </c>
      <c r="AG607" t="s">
        <v>2044</v>
      </c>
      <c r="AJ607" t="s">
        <v>40</v>
      </c>
      <c r="AK607" t="s">
        <v>2045</v>
      </c>
      <c r="AL607" t="s">
        <v>2046</v>
      </c>
      <c r="AM607" t="s">
        <v>2047</v>
      </c>
      <c r="AO607" s="1">
        <v>45947</v>
      </c>
      <c r="AP607" s="5">
        <v>0.75</v>
      </c>
      <c r="AS607">
        <v>1</v>
      </c>
    </row>
    <row r="608" spans="1:45" x14ac:dyDescent="0.2">
      <c r="A608">
        <f t="shared" si="38"/>
        <v>2025</v>
      </c>
      <c r="B608">
        <f t="shared" si="39"/>
        <v>10</v>
      </c>
      <c r="C608">
        <f t="shared" si="40"/>
        <v>42</v>
      </c>
      <c r="D608" s="2">
        <f t="shared" si="41"/>
        <v>45947</v>
      </c>
      <c r="E608" s="1">
        <v>45947.791666666664</v>
      </c>
      <c r="F608" t="s">
        <v>2048</v>
      </c>
      <c r="G608" t="s">
        <v>36</v>
      </c>
      <c r="H608">
        <v>453865</v>
      </c>
      <c r="I608" t="s">
        <v>51</v>
      </c>
      <c r="J608" t="s">
        <v>1344</v>
      </c>
      <c r="M608" t="s">
        <v>40</v>
      </c>
      <c r="N608" t="s">
        <v>41</v>
      </c>
      <c r="O608" t="s">
        <v>127</v>
      </c>
      <c r="P608">
        <v>33</v>
      </c>
      <c r="Q608">
        <v>0</v>
      </c>
      <c r="R608">
        <v>0</v>
      </c>
      <c r="S608">
        <v>0</v>
      </c>
      <c r="T608" t="s">
        <v>54</v>
      </c>
      <c r="U608" t="s">
        <v>55</v>
      </c>
      <c r="W608" t="s">
        <v>1966</v>
      </c>
      <c r="Y608">
        <v>0</v>
      </c>
      <c r="AA608" t="s">
        <v>40</v>
      </c>
      <c r="AB608" t="s">
        <v>46</v>
      </c>
      <c r="AC608" t="s">
        <v>47</v>
      </c>
      <c r="AG608" t="s">
        <v>2049</v>
      </c>
      <c r="AJ608" t="s">
        <v>40</v>
      </c>
      <c r="AK608">
        <v>5017547186</v>
      </c>
      <c r="AO608" s="1">
        <v>45947</v>
      </c>
      <c r="AP608" s="5">
        <v>0.79166666666666663</v>
      </c>
      <c r="AS608">
        <v>1</v>
      </c>
    </row>
    <row r="609" spans="1:45" x14ac:dyDescent="0.2">
      <c r="A609">
        <f t="shared" si="38"/>
        <v>2025</v>
      </c>
      <c r="B609">
        <f t="shared" si="39"/>
        <v>10</v>
      </c>
      <c r="C609">
        <f t="shared" si="40"/>
        <v>42</v>
      </c>
      <c r="D609" s="2">
        <f t="shared" si="41"/>
        <v>45947</v>
      </c>
      <c r="E609" s="1">
        <v>45947.791666666664</v>
      </c>
      <c r="F609" t="s">
        <v>2050</v>
      </c>
      <c r="G609" t="s">
        <v>36</v>
      </c>
      <c r="H609">
        <v>461158</v>
      </c>
      <c r="I609" t="s">
        <v>51</v>
      </c>
      <c r="J609" t="s">
        <v>188</v>
      </c>
      <c r="M609" t="s">
        <v>40</v>
      </c>
      <c r="N609" t="s">
        <v>41</v>
      </c>
      <c r="O609" t="s">
        <v>172</v>
      </c>
      <c r="P609">
        <v>33</v>
      </c>
      <c r="Q609">
        <v>0</v>
      </c>
      <c r="R609">
        <v>0</v>
      </c>
      <c r="S609">
        <v>0</v>
      </c>
      <c r="T609" t="s">
        <v>54</v>
      </c>
      <c r="U609" t="s">
        <v>55</v>
      </c>
      <c r="W609" t="s">
        <v>1898</v>
      </c>
      <c r="Y609">
        <v>0</v>
      </c>
      <c r="AA609" t="s">
        <v>40</v>
      </c>
      <c r="AB609" t="s">
        <v>46</v>
      </c>
      <c r="AC609" t="s">
        <v>47</v>
      </c>
      <c r="AG609" t="s">
        <v>2051</v>
      </c>
      <c r="AJ609" t="s">
        <v>40</v>
      </c>
      <c r="AK609">
        <v>5019193593</v>
      </c>
      <c r="AO609" s="1">
        <v>45947</v>
      </c>
      <c r="AP609" s="5">
        <v>0.79166666666666663</v>
      </c>
      <c r="AS609">
        <v>1</v>
      </c>
    </row>
    <row r="610" spans="1:45" x14ac:dyDescent="0.2">
      <c r="A610">
        <f t="shared" si="38"/>
        <v>2025</v>
      </c>
      <c r="B610">
        <f t="shared" si="39"/>
        <v>10</v>
      </c>
      <c r="C610">
        <f t="shared" si="40"/>
        <v>42</v>
      </c>
      <c r="D610" s="2">
        <f t="shared" si="41"/>
        <v>45947</v>
      </c>
      <c r="E610" s="1">
        <v>45947.916666666664</v>
      </c>
      <c r="F610" t="s">
        <v>2052</v>
      </c>
      <c r="G610" t="s">
        <v>36</v>
      </c>
      <c r="H610" t="s">
        <v>253</v>
      </c>
      <c r="I610" t="s">
        <v>38</v>
      </c>
      <c r="J610" t="s">
        <v>254</v>
      </c>
      <c r="M610" t="s">
        <v>40</v>
      </c>
      <c r="N610" t="s">
        <v>41</v>
      </c>
      <c r="O610" t="s">
        <v>42</v>
      </c>
      <c r="P610">
        <v>1</v>
      </c>
      <c r="Q610">
        <v>0</v>
      </c>
      <c r="R610">
        <v>0</v>
      </c>
      <c r="S610">
        <v>0</v>
      </c>
      <c r="T610">
        <v>5019223328</v>
      </c>
      <c r="U610" t="s">
        <v>101</v>
      </c>
      <c r="W610" t="s">
        <v>1932</v>
      </c>
      <c r="Y610">
        <v>0</v>
      </c>
      <c r="AA610" t="s">
        <v>40</v>
      </c>
      <c r="AB610" t="s">
        <v>46</v>
      </c>
      <c r="AC610" t="s">
        <v>47</v>
      </c>
      <c r="AF610" t="s">
        <v>48</v>
      </c>
      <c r="AJ610" t="s">
        <v>40</v>
      </c>
      <c r="AK610" t="s">
        <v>49</v>
      </c>
      <c r="AO610" s="1">
        <v>45947</v>
      </c>
      <c r="AP610" s="5">
        <v>0.91666666666666663</v>
      </c>
      <c r="AS610">
        <v>1</v>
      </c>
    </row>
    <row r="611" spans="1:45" x14ac:dyDescent="0.2">
      <c r="A611">
        <f t="shared" si="38"/>
        <v>2025</v>
      </c>
      <c r="B611">
        <f t="shared" si="39"/>
        <v>10</v>
      </c>
      <c r="C611">
        <f t="shared" si="40"/>
        <v>43</v>
      </c>
      <c r="D611" s="2">
        <f t="shared" si="41"/>
        <v>45950</v>
      </c>
      <c r="E611" s="1">
        <v>45950.25</v>
      </c>
      <c r="F611" t="s">
        <v>2053</v>
      </c>
      <c r="G611" t="s">
        <v>36</v>
      </c>
      <c r="H611">
        <v>461232</v>
      </c>
      <c r="I611" t="s">
        <v>51</v>
      </c>
      <c r="J611" t="s">
        <v>52</v>
      </c>
      <c r="M611" t="s">
        <v>40</v>
      </c>
      <c r="N611" t="s">
        <v>41</v>
      </c>
      <c r="O611" t="s">
        <v>433</v>
      </c>
      <c r="P611">
        <v>33</v>
      </c>
      <c r="Q611">
        <v>0</v>
      </c>
      <c r="R611">
        <v>0</v>
      </c>
      <c r="S611">
        <v>0</v>
      </c>
      <c r="T611" t="s">
        <v>54</v>
      </c>
      <c r="U611" t="s">
        <v>55</v>
      </c>
      <c r="W611" t="s">
        <v>2054</v>
      </c>
      <c r="Y611">
        <v>0</v>
      </c>
      <c r="AA611" t="s">
        <v>40</v>
      </c>
      <c r="AB611" t="s">
        <v>46</v>
      </c>
      <c r="AC611" t="s">
        <v>47</v>
      </c>
      <c r="AG611" t="s">
        <v>2055</v>
      </c>
      <c r="AJ611" t="s">
        <v>40</v>
      </c>
      <c r="AK611">
        <v>5019203583</v>
      </c>
      <c r="AO611" s="1">
        <v>45950</v>
      </c>
      <c r="AP611" s="5">
        <v>0.25</v>
      </c>
      <c r="AS611">
        <v>1</v>
      </c>
    </row>
    <row r="612" spans="1:45" x14ac:dyDescent="0.2">
      <c r="A612">
        <f t="shared" si="38"/>
        <v>2025</v>
      </c>
      <c r="B612">
        <f t="shared" si="39"/>
        <v>10</v>
      </c>
      <c r="C612">
        <f t="shared" si="40"/>
        <v>43</v>
      </c>
      <c r="D612" s="2">
        <f t="shared" si="41"/>
        <v>45950</v>
      </c>
      <c r="E612" s="1">
        <v>45950.25</v>
      </c>
      <c r="F612" t="s">
        <v>2056</v>
      </c>
      <c r="G612" t="s">
        <v>36</v>
      </c>
      <c r="H612">
        <v>460056</v>
      </c>
      <c r="I612" t="s">
        <v>51</v>
      </c>
      <c r="J612" t="s">
        <v>52</v>
      </c>
      <c r="M612" t="s">
        <v>40</v>
      </c>
      <c r="N612" t="s">
        <v>41</v>
      </c>
      <c r="O612" t="s">
        <v>53</v>
      </c>
      <c r="P612">
        <v>33</v>
      </c>
      <c r="Q612">
        <v>0</v>
      </c>
      <c r="R612">
        <v>0</v>
      </c>
      <c r="S612">
        <v>0</v>
      </c>
      <c r="T612" t="s">
        <v>54</v>
      </c>
      <c r="U612" t="s">
        <v>55</v>
      </c>
      <c r="W612" t="s">
        <v>2057</v>
      </c>
      <c r="Y612">
        <v>0</v>
      </c>
      <c r="AA612" t="s">
        <v>40</v>
      </c>
      <c r="AB612" t="s">
        <v>46</v>
      </c>
      <c r="AC612" t="s">
        <v>47</v>
      </c>
      <c r="AG612" t="s">
        <v>2058</v>
      </c>
      <c r="AJ612" t="s">
        <v>40</v>
      </c>
      <c r="AK612">
        <v>5019198978</v>
      </c>
      <c r="AO612" s="1">
        <v>45950</v>
      </c>
      <c r="AP612" s="5">
        <v>0.25</v>
      </c>
      <c r="AS612">
        <v>1</v>
      </c>
    </row>
    <row r="613" spans="1:45" x14ac:dyDescent="0.2">
      <c r="A613">
        <f t="shared" si="38"/>
        <v>2025</v>
      </c>
      <c r="B613">
        <f t="shared" si="39"/>
        <v>10</v>
      </c>
      <c r="C613">
        <f t="shared" si="40"/>
        <v>43</v>
      </c>
      <c r="D613" s="2">
        <f t="shared" si="41"/>
        <v>45950</v>
      </c>
      <c r="E613" s="1">
        <v>45950.291666666664</v>
      </c>
      <c r="F613" t="s">
        <v>2059</v>
      </c>
      <c r="G613" t="s">
        <v>36</v>
      </c>
      <c r="H613">
        <v>457336</v>
      </c>
      <c r="I613" t="s">
        <v>51</v>
      </c>
      <c r="J613" t="s">
        <v>52</v>
      </c>
      <c r="M613" t="s">
        <v>40</v>
      </c>
      <c r="N613" t="s">
        <v>41</v>
      </c>
      <c r="O613" t="s">
        <v>433</v>
      </c>
      <c r="P613">
        <v>33</v>
      </c>
      <c r="Q613">
        <v>0</v>
      </c>
      <c r="R613">
        <v>0</v>
      </c>
      <c r="S613">
        <v>0</v>
      </c>
      <c r="T613" t="s">
        <v>54</v>
      </c>
      <c r="U613" t="s">
        <v>55</v>
      </c>
      <c r="W613" t="s">
        <v>2060</v>
      </c>
      <c r="Y613">
        <v>0</v>
      </c>
      <c r="AA613" t="s">
        <v>40</v>
      </c>
      <c r="AB613" t="s">
        <v>46</v>
      </c>
      <c r="AC613" t="s">
        <v>47</v>
      </c>
      <c r="AG613" t="s">
        <v>2061</v>
      </c>
      <c r="AJ613" t="s">
        <v>40</v>
      </c>
      <c r="AK613">
        <v>5019204566</v>
      </c>
      <c r="AO613" s="1">
        <v>45950</v>
      </c>
      <c r="AP613" s="5">
        <v>0.29166666666666669</v>
      </c>
      <c r="AS613">
        <v>1</v>
      </c>
    </row>
    <row r="614" spans="1:45" x14ac:dyDescent="0.2">
      <c r="A614">
        <f t="shared" si="38"/>
        <v>2025</v>
      </c>
      <c r="B614">
        <f t="shared" si="39"/>
        <v>10</v>
      </c>
      <c r="C614">
        <f t="shared" si="40"/>
        <v>43</v>
      </c>
      <c r="D614" s="2">
        <f t="shared" si="41"/>
        <v>45950</v>
      </c>
      <c r="E614" s="1">
        <v>45950.291666666664</v>
      </c>
      <c r="F614" t="s">
        <v>2062</v>
      </c>
      <c r="G614" t="s">
        <v>36</v>
      </c>
      <c r="H614" t="s">
        <v>2063</v>
      </c>
      <c r="I614" t="s">
        <v>38</v>
      </c>
      <c r="J614" t="s">
        <v>60</v>
      </c>
      <c r="M614" t="s">
        <v>40</v>
      </c>
      <c r="N614" t="s">
        <v>41</v>
      </c>
      <c r="O614" t="s">
        <v>42</v>
      </c>
      <c r="P614">
        <v>20</v>
      </c>
      <c r="Q614">
        <v>0</v>
      </c>
      <c r="R614">
        <v>0</v>
      </c>
      <c r="S614">
        <v>0</v>
      </c>
      <c r="T614">
        <v>5019190091</v>
      </c>
      <c r="U614" t="s">
        <v>44</v>
      </c>
      <c r="W614" t="s">
        <v>2064</v>
      </c>
      <c r="Y614">
        <v>0</v>
      </c>
      <c r="AA614" t="s">
        <v>40</v>
      </c>
      <c r="AB614" t="s">
        <v>46</v>
      </c>
      <c r="AC614" t="s">
        <v>47</v>
      </c>
      <c r="AF614" t="s">
        <v>62</v>
      </c>
      <c r="AJ614" t="s">
        <v>40</v>
      </c>
      <c r="AK614" t="s">
        <v>49</v>
      </c>
      <c r="AN614">
        <v>260367066</v>
      </c>
      <c r="AO614" s="1">
        <v>45950</v>
      </c>
      <c r="AP614" s="5">
        <v>0.29166666666666669</v>
      </c>
      <c r="AS614">
        <v>1</v>
      </c>
    </row>
    <row r="615" spans="1:45" x14ac:dyDescent="0.2">
      <c r="A615">
        <f t="shared" si="38"/>
        <v>2025</v>
      </c>
      <c r="B615">
        <f t="shared" si="39"/>
        <v>10</v>
      </c>
      <c r="C615">
        <f t="shared" si="40"/>
        <v>43</v>
      </c>
      <c r="D615" s="2">
        <f t="shared" si="41"/>
        <v>45950</v>
      </c>
      <c r="E615" s="1">
        <v>45950.333333333336</v>
      </c>
      <c r="F615" t="s">
        <v>2065</v>
      </c>
      <c r="G615" t="s">
        <v>36</v>
      </c>
      <c r="H615">
        <v>460023</v>
      </c>
      <c r="I615" t="s">
        <v>51</v>
      </c>
      <c r="J615" t="s">
        <v>52</v>
      </c>
      <c r="M615" t="s">
        <v>40</v>
      </c>
      <c r="N615" t="s">
        <v>41</v>
      </c>
      <c r="O615" t="s">
        <v>53</v>
      </c>
      <c r="P615">
        <v>33</v>
      </c>
      <c r="Q615">
        <v>0</v>
      </c>
      <c r="R615">
        <v>0</v>
      </c>
      <c r="S615">
        <v>0</v>
      </c>
      <c r="T615" t="s">
        <v>54</v>
      </c>
      <c r="U615" t="s">
        <v>55</v>
      </c>
      <c r="W615" t="s">
        <v>2057</v>
      </c>
      <c r="Y615">
        <v>0</v>
      </c>
      <c r="AA615" t="s">
        <v>40</v>
      </c>
      <c r="AB615" t="s">
        <v>46</v>
      </c>
      <c r="AC615" t="s">
        <v>47</v>
      </c>
      <c r="AG615" t="s">
        <v>2066</v>
      </c>
      <c r="AJ615" t="s">
        <v>40</v>
      </c>
      <c r="AK615">
        <v>5019192587</v>
      </c>
      <c r="AO615" s="1">
        <v>45950</v>
      </c>
      <c r="AP615" s="5">
        <v>0.33333333333333331</v>
      </c>
      <c r="AS615">
        <v>1</v>
      </c>
    </row>
    <row r="616" spans="1:45" x14ac:dyDescent="0.2">
      <c r="A616">
        <f t="shared" si="38"/>
        <v>2025</v>
      </c>
      <c r="B616">
        <f t="shared" si="39"/>
        <v>10</v>
      </c>
      <c r="C616">
        <f t="shared" si="40"/>
        <v>43</v>
      </c>
      <c r="D616" s="2">
        <f t="shared" si="41"/>
        <v>45950</v>
      </c>
      <c r="E616" s="1">
        <v>45950.375</v>
      </c>
      <c r="F616" t="s">
        <v>2067</v>
      </c>
      <c r="G616" t="s">
        <v>36</v>
      </c>
      <c r="H616" t="s">
        <v>2068</v>
      </c>
      <c r="I616" t="s">
        <v>38</v>
      </c>
      <c r="J616" t="s">
        <v>645</v>
      </c>
      <c r="M616" t="s">
        <v>40</v>
      </c>
      <c r="N616" t="s">
        <v>41</v>
      </c>
      <c r="O616" t="s">
        <v>42</v>
      </c>
      <c r="P616">
        <v>20</v>
      </c>
      <c r="Q616">
        <v>0</v>
      </c>
      <c r="R616">
        <v>0</v>
      </c>
      <c r="S616">
        <v>0</v>
      </c>
      <c r="T616" t="s">
        <v>2069</v>
      </c>
      <c r="U616" t="s">
        <v>44</v>
      </c>
      <c r="W616" t="s">
        <v>2064</v>
      </c>
      <c r="Y616">
        <v>0</v>
      </c>
      <c r="AA616" t="s">
        <v>40</v>
      </c>
      <c r="AB616" t="s">
        <v>46</v>
      </c>
      <c r="AC616" t="s">
        <v>47</v>
      </c>
      <c r="AF616" t="s">
        <v>62</v>
      </c>
      <c r="AJ616" t="s">
        <v>40</v>
      </c>
      <c r="AK616" t="s">
        <v>49</v>
      </c>
      <c r="AN616">
        <v>260168208</v>
      </c>
      <c r="AO616" s="1">
        <v>45950</v>
      </c>
      <c r="AP616" s="5">
        <v>0.375</v>
      </c>
      <c r="AS616">
        <v>1</v>
      </c>
    </row>
    <row r="617" spans="1:45" x14ac:dyDescent="0.2">
      <c r="A617">
        <f t="shared" si="38"/>
        <v>2025</v>
      </c>
      <c r="B617">
        <f t="shared" si="39"/>
        <v>10</v>
      </c>
      <c r="C617">
        <f t="shared" si="40"/>
        <v>43</v>
      </c>
      <c r="D617" s="2">
        <f t="shared" si="41"/>
        <v>45950</v>
      </c>
      <c r="E617" s="1">
        <v>45950.375</v>
      </c>
      <c r="F617" t="s">
        <v>2070</v>
      </c>
      <c r="G617" t="s">
        <v>36</v>
      </c>
      <c r="H617" t="s">
        <v>37</v>
      </c>
      <c r="I617" t="s">
        <v>38</v>
      </c>
      <c r="J617" t="s">
        <v>112</v>
      </c>
      <c r="M617" t="s">
        <v>40</v>
      </c>
      <c r="N617" t="s">
        <v>41</v>
      </c>
      <c r="O617" t="s">
        <v>42</v>
      </c>
      <c r="P617">
        <v>23</v>
      </c>
      <c r="Q617">
        <v>0</v>
      </c>
      <c r="R617">
        <v>0</v>
      </c>
      <c r="S617">
        <v>0</v>
      </c>
      <c r="T617" t="s">
        <v>2071</v>
      </c>
      <c r="U617" t="s">
        <v>44</v>
      </c>
      <c r="W617" t="s">
        <v>2072</v>
      </c>
      <c r="Y617">
        <v>0</v>
      </c>
      <c r="AA617" t="s">
        <v>40</v>
      </c>
      <c r="AB617" t="s">
        <v>46</v>
      </c>
      <c r="AC617" t="s">
        <v>47</v>
      </c>
      <c r="AF617" t="s">
        <v>48</v>
      </c>
      <c r="AJ617" t="s">
        <v>40</v>
      </c>
      <c r="AK617" t="s">
        <v>49</v>
      </c>
      <c r="AO617" s="1">
        <v>45950</v>
      </c>
      <c r="AP617" s="5">
        <v>0.375</v>
      </c>
      <c r="AS617">
        <v>1</v>
      </c>
    </row>
    <row r="618" spans="1:45" x14ac:dyDescent="0.2">
      <c r="A618">
        <f t="shared" si="38"/>
        <v>2025</v>
      </c>
      <c r="B618">
        <f t="shared" si="39"/>
        <v>10</v>
      </c>
      <c r="C618">
        <f t="shared" si="40"/>
        <v>43</v>
      </c>
      <c r="D618" s="2">
        <f t="shared" si="41"/>
        <v>45950</v>
      </c>
      <c r="E618" s="1">
        <v>45950.416666666664</v>
      </c>
      <c r="F618" t="s">
        <v>2073</v>
      </c>
      <c r="G618" t="s">
        <v>36</v>
      </c>
      <c r="H618" t="s">
        <v>2074</v>
      </c>
      <c r="I618" t="s">
        <v>38</v>
      </c>
      <c r="J618" t="s">
        <v>99</v>
      </c>
      <c r="M618" t="s">
        <v>40</v>
      </c>
      <c r="N618" t="s">
        <v>41</v>
      </c>
      <c r="O618" t="s">
        <v>42</v>
      </c>
      <c r="P618">
        <v>20</v>
      </c>
      <c r="Q618">
        <v>0</v>
      </c>
      <c r="R618">
        <v>0</v>
      </c>
      <c r="S618">
        <v>0</v>
      </c>
      <c r="T618" t="s">
        <v>2075</v>
      </c>
      <c r="U618" t="s">
        <v>44</v>
      </c>
      <c r="W618" t="s">
        <v>2076</v>
      </c>
      <c r="Y618">
        <v>0</v>
      </c>
      <c r="AA618" t="s">
        <v>40</v>
      </c>
      <c r="AB618" t="s">
        <v>46</v>
      </c>
      <c r="AC618" t="s">
        <v>47</v>
      </c>
      <c r="AF618" t="s">
        <v>367</v>
      </c>
      <c r="AJ618" t="s">
        <v>40</v>
      </c>
      <c r="AK618" t="s">
        <v>49</v>
      </c>
      <c r="AM618" t="s">
        <v>2077</v>
      </c>
      <c r="AN618" t="s">
        <v>2078</v>
      </c>
      <c r="AO618" s="1">
        <v>45950</v>
      </c>
      <c r="AP618" s="5">
        <v>0.41666666666666669</v>
      </c>
      <c r="AS618">
        <v>1</v>
      </c>
    </row>
    <row r="619" spans="1:45" x14ac:dyDescent="0.2">
      <c r="A619">
        <f t="shared" si="38"/>
        <v>2025</v>
      </c>
      <c r="B619">
        <f t="shared" si="39"/>
        <v>10</v>
      </c>
      <c r="C619">
        <f t="shared" si="40"/>
        <v>43</v>
      </c>
      <c r="D619" s="2">
        <f t="shared" si="41"/>
        <v>45950</v>
      </c>
      <c r="E619" s="1">
        <v>45950.416666666664</v>
      </c>
      <c r="F619" t="s">
        <v>2079</v>
      </c>
      <c r="G619" t="s">
        <v>36</v>
      </c>
      <c r="H619" t="s">
        <v>2080</v>
      </c>
      <c r="I619" t="s">
        <v>38</v>
      </c>
      <c r="J619" t="s">
        <v>645</v>
      </c>
      <c r="M619" t="s">
        <v>40</v>
      </c>
      <c r="N619" t="s">
        <v>41</v>
      </c>
      <c r="O619" t="s">
        <v>42</v>
      </c>
      <c r="P619">
        <v>20</v>
      </c>
      <c r="Q619">
        <v>0</v>
      </c>
      <c r="R619">
        <v>0</v>
      </c>
      <c r="S619">
        <v>0</v>
      </c>
      <c r="T619">
        <v>5019176456</v>
      </c>
      <c r="U619" t="s">
        <v>44</v>
      </c>
      <c r="W619" t="s">
        <v>2064</v>
      </c>
      <c r="Y619">
        <v>0</v>
      </c>
      <c r="AA619" t="s">
        <v>40</v>
      </c>
      <c r="AB619" t="s">
        <v>46</v>
      </c>
      <c r="AC619" t="s">
        <v>47</v>
      </c>
      <c r="AF619" t="s">
        <v>62</v>
      </c>
      <c r="AJ619" t="s">
        <v>40</v>
      </c>
      <c r="AK619" t="s">
        <v>49</v>
      </c>
      <c r="AN619">
        <v>260168208</v>
      </c>
      <c r="AO619" s="1">
        <v>45950</v>
      </c>
      <c r="AP619" s="5">
        <v>0.41666666666666669</v>
      </c>
      <c r="AS619">
        <v>1</v>
      </c>
    </row>
    <row r="620" spans="1:45" x14ac:dyDescent="0.2">
      <c r="A620">
        <f t="shared" si="38"/>
        <v>2025</v>
      </c>
      <c r="B620">
        <f t="shared" si="39"/>
        <v>10</v>
      </c>
      <c r="C620">
        <f t="shared" si="40"/>
        <v>43</v>
      </c>
      <c r="D620" s="2">
        <f t="shared" si="41"/>
        <v>45950</v>
      </c>
      <c r="E620" s="1">
        <v>45950.458333333336</v>
      </c>
      <c r="F620" t="s">
        <v>2081</v>
      </c>
      <c r="G620" t="s">
        <v>36</v>
      </c>
      <c r="H620">
        <v>460043</v>
      </c>
      <c r="I620" t="s">
        <v>51</v>
      </c>
      <c r="J620" t="s">
        <v>52</v>
      </c>
      <c r="M620" t="s">
        <v>40</v>
      </c>
      <c r="N620" t="s">
        <v>41</v>
      </c>
      <c r="O620" t="s">
        <v>53</v>
      </c>
      <c r="P620">
        <v>33</v>
      </c>
      <c r="Q620">
        <v>0</v>
      </c>
      <c r="R620">
        <v>0</v>
      </c>
      <c r="S620">
        <v>0</v>
      </c>
      <c r="T620" t="s">
        <v>54</v>
      </c>
      <c r="U620" t="s">
        <v>55</v>
      </c>
      <c r="W620" t="s">
        <v>2082</v>
      </c>
      <c r="Y620">
        <v>0</v>
      </c>
      <c r="AA620" t="s">
        <v>40</v>
      </c>
      <c r="AB620" t="s">
        <v>46</v>
      </c>
      <c r="AC620" t="s">
        <v>47</v>
      </c>
      <c r="AG620" t="s">
        <v>2083</v>
      </c>
      <c r="AJ620" t="s">
        <v>40</v>
      </c>
      <c r="AK620">
        <v>5019211562</v>
      </c>
      <c r="AO620" s="1">
        <v>45950</v>
      </c>
      <c r="AP620" s="5">
        <v>0.45833333333333331</v>
      </c>
      <c r="AS620">
        <v>1</v>
      </c>
    </row>
    <row r="621" spans="1:45" x14ac:dyDescent="0.2">
      <c r="A621">
        <f t="shared" si="38"/>
        <v>2025</v>
      </c>
      <c r="B621">
        <f t="shared" si="39"/>
        <v>10</v>
      </c>
      <c r="C621">
        <f t="shared" si="40"/>
        <v>43</v>
      </c>
      <c r="D621" s="2">
        <f t="shared" si="41"/>
        <v>45950</v>
      </c>
      <c r="E621" s="1">
        <v>45950.5</v>
      </c>
      <c r="F621" t="s">
        <v>2084</v>
      </c>
      <c r="G621" t="s">
        <v>36</v>
      </c>
      <c r="H621">
        <v>460021</v>
      </c>
      <c r="I621" t="s">
        <v>51</v>
      </c>
      <c r="J621" t="s">
        <v>52</v>
      </c>
      <c r="M621" t="s">
        <v>40</v>
      </c>
      <c r="N621" t="s">
        <v>41</v>
      </c>
      <c r="O621" t="s">
        <v>53</v>
      </c>
      <c r="P621">
        <v>33</v>
      </c>
      <c r="Q621">
        <v>0</v>
      </c>
      <c r="R621">
        <v>0</v>
      </c>
      <c r="S621">
        <v>0</v>
      </c>
      <c r="T621" t="s">
        <v>54</v>
      </c>
      <c r="U621" t="s">
        <v>55</v>
      </c>
      <c r="W621" t="s">
        <v>2057</v>
      </c>
      <c r="Y621">
        <v>0</v>
      </c>
      <c r="AA621" t="s">
        <v>40</v>
      </c>
      <c r="AB621" t="s">
        <v>46</v>
      </c>
      <c r="AC621" t="s">
        <v>47</v>
      </c>
      <c r="AG621" t="s">
        <v>2085</v>
      </c>
      <c r="AJ621" t="s">
        <v>40</v>
      </c>
      <c r="AK621">
        <v>5019200817</v>
      </c>
      <c r="AO621" s="1">
        <v>45950</v>
      </c>
      <c r="AP621" s="5">
        <v>0.5</v>
      </c>
      <c r="AS621">
        <v>1</v>
      </c>
    </row>
    <row r="622" spans="1:45" x14ac:dyDescent="0.2">
      <c r="A622">
        <f t="shared" si="38"/>
        <v>2025</v>
      </c>
      <c r="B622">
        <f t="shared" si="39"/>
        <v>10</v>
      </c>
      <c r="C622">
        <f t="shared" si="40"/>
        <v>43</v>
      </c>
      <c r="D622" s="2">
        <f t="shared" si="41"/>
        <v>45950</v>
      </c>
      <c r="E622" s="1">
        <v>45950.5</v>
      </c>
      <c r="F622" t="s">
        <v>2086</v>
      </c>
      <c r="G622" t="s">
        <v>36</v>
      </c>
      <c r="H622" t="s">
        <v>2087</v>
      </c>
      <c r="I622" t="s">
        <v>218</v>
      </c>
      <c r="J622" t="s">
        <v>286</v>
      </c>
      <c r="M622" t="s">
        <v>40</v>
      </c>
      <c r="N622" t="s">
        <v>41</v>
      </c>
      <c r="O622" t="s">
        <v>2088</v>
      </c>
      <c r="P622">
        <v>99</v>
      </c>
      <c r="Q622">
        <v>0</v>
      </c>
      <c r="R622">
        <v>0</v>
      </c>
      <c r="S622">
        <v>0</v>
      </c>
      <c r="T622" t="s">
        <v>54</v>
      </c>
      <c r="U622" t="s">
        <v>55</v>
      </c>
      <c r="W622" t="s">
        <v>2089</v>
      </c>
      <c r="Y622">
        <v>0</v>
      </c>
      <c r="AA622" t="s">
        <v>40</v>
      </c>
      <c r="AB622" t="s">
        <v>46</v>
      </c>
      <c r="AC622" t="s">
        <v>47</v>
      </c>
      <c r="AD622" t="s">
        <v>223</v>
      </c>
      <c r="AE622" t="s">
        <v>223</v>
      </c>
      <c r="AG622" t="s">
        <v>2090</v>
      </c>
      <c r="AJ622" t="s">
        <v>40</v>
      </c>
      <c r="AK622" t="s">
        <v>2091</v>
      </c>
      <c r="AO622" s="1">
        <v>45950</v>
      </c>
      <c r="AP622" s="5">
        <v>0.5</v>
      </c>
      <c r="AS622">
        <v>1</v>
      </c>
    </row>
    <row r="623" spans="1:45" x14ac:dyDescent="0.2">
      <c r="A623">
        <f t="shared" si="38"/>
        <v>2025</v>
      </c>
      <c r="B623">
        <f t="shared" si="39"/>
        <v>10</v>
      </c>
      <c r="C623">
        <f t="shared" si="40"/>
        <v>43</v>
      </c>
      <c r="D623" s="2">
        <f t="shared" si="41"/>
        <v>45950</v>
      </c>
      <c r="E623" s="1">
        <v>45950.541666666664</v>
      </c>
      <c r="F623" t="s">
        <v>2092</v>
      </c>
      <c r="G623" t="s">
        <v>36</v>
      </c>
      <c r="H623">
        <v>460041</v>
      </c>
      <c r="I623" t="s">
        <v>51</v>
      </c>
      <c r="J623" t="s">
        <v>144</v>
      </c>
      <c r="M623" t="s">
        <v>40</v>
      </c>
      <c r="N623" t="s">
        <v>41</v>
      </c>
      <c r="O623" t="s">
        <v>53</v>
      </c>
      <c r="P623">
        <v>33</v>
      </c>
      <c r="Q623">
        <v>0</v>
      </c>
      <c r="R623">
        <v>0</v>
      </c>
      <c r="S623">
        <v>0</v>
      </c>
      <c r="T623" t="s">
        <v>54</v>
      </c>
      <c r="U623" t="s">
        <v>55</v>
      </c>
      <c r="W623" t="s">
        <v>2093</v>
      </c>
      <c r="X623" t="s">
        <v>2094</v>
      </c>
      <c r="Y623">
        <v>0</v>
      </c>
      <c r="AA623" t="s">
        <v>40</v>
      </c>
      <c r="AB623" t="s">
        <v>46</v>
      </c>
      <c r="AC623" t="s">
        <v>47</v>
      </c>
      <c r="AG623" t="s">
        <v>2095</v>
      </c>
      <c r="AJ623" t="s">
        <v>40</v>
      </c>
      <c r="AK623">
        <v>5019195639</v>
      </c>
      <c r="AL623" t="s">
        <v>2096</v>
      </c>
      <c r="AM623" t="s">
        <v>2097</v>
      </c>
      <c r="AO623" s="1">
        <v>45950</v>
      </c>
      <c r="AP623" s="5">
        <v>0.54166666666666663</v>
      </c>
      <c r="AS623">
        <v>1</v>
      </c>
    </row>
    <row r="624" spans="1:45" x14ac:dyDescent="0.2">
      <c r="A624">
        <f t="shared" si="38"/>
        <v>2025</v>
      </c>
      <c r="B624">
        <f t="shared" si="39"/>
        <v>10</v>
      </c>
      <c r="C624">
        <f t="shared" si="40"/>
        <v>43</v>
      </c>
      <c r="D624" s="2">
        <f t="shared" si="41"/>
        <v>45950</v>
      </c>
      <c r="E624" s="1">
        <v>45950.541666666664</v>
      </c>
      <c r="F624" t="s">
        <v>2098</v>
      </c>
      <c r="G624" t="s">
        <v>36</v>
      </c>
      <c r="H624">
        <v>460035</v>
      </c>
      <c r="I624" t="s">
        <v>51</v>
      </c>
      <c r="J624" t="s">
        <v>52</v>
      </c>
      <c r="M624" t="s">
        <v>40</v>
      </c>
      <c r="N624" t="s">
        <v>41</v>
      </c>
      <c r="O624" t="s">
        <v>53</v>
      </c>
      <c r="P624">
        <v>33</v>
      </c>
      <c r="Q624">
        <v>0</v>
      </c>
      <c r="R624">
        <v>0</v>
      </c>
      <c r="S624">
        <v>0</v>
      </c>
      <c r="T624" t="s">
        <v>54</v>
      </c>
      <c r="U624" t="s">
        <v>55</v>
      </c>
      <c r="W624" t="s">
        <v>2057</v>
      </c>
      <c r="Y624">
        <v>0</v>
      </c>
      <c r="AA624" t="s">
        <v>40</v>
      </c>
      <c r="AB624" t="s">
        <v>46</v>
      </c>
      <c r="AC624" t="s">
        <v>47</v>
      </c>
      <c r="AG624" t="s">
        <v>2099</v>
      </c>
      <c r="AJ624" t="s">
        <v>40</v>
      </c>
      <c r="AK624">
        <v>5019209444</v>
      </c>
      <c r="AO624" s="1">
        <v>45950</v>
      </c>
      <c r="AP624" s="5">
        <v>0.54166666666666663</v>
      </c>
      <c r="AS624">
        <v>1</v>
      </c>
    </row>
    <row r="625" spans="1:45" x14ac:dyDescent="0.2">
      <c r="A625">
        <f t="shared" si="38"/>
        <v>2025</v>
      </c>
      <c r="B625">
        <f t="shared" si="39"/>
        <v>10</v>
      </c>
      <c r="C625">
        <f t="shared" si="40"/>
        <v>43</v>
      </c>
      <c r="D625" s="2">
        <f t="shared" si="41"/>
        <v>45950</v>
      </c>
      <c r="E625" s="1">
        <v>45950.583333333336</v>
      </c>
      <c r="F625" t="s">
        <v>2100</v>
      </c>
      <c r="G625" t="s">
        <v>36</v>
      </c>
      <c r="H625">
        <v>457331</v>
      </c>
      <c r="I625" t="s">
        <v>51</v>
      </c>
      <c r="J625" t="s">
        <v>188</v>
      </c>
      <c r="M625" t="s">
        <v>40</v>
      </c>
      <c r="N625" t="s">
        <v>41</v>
      </c>
      <c r="O625" t="s">
        <v>189</v>
      </c>
      <c r="P625">
        <v>33</v>
      </c>
      <c r="Q625">
        <v>0</v>
      </c>
      <c r="R625">
        <v>0</v>
      </c>
      <c r="S625">
        <v>0</v>
      </c>
      <c r="T625" t="s">
        <v>54</v>
      </c>
      <c r="U625" t="s">
        <v>55</v>
      </c>
      <c r="W625" t="s">
        <v>2072</v>
      </c>
      <c r="Y625">
        <v>0</v>
      </c>
      <c r="AA625" t="s">
        <v>40</v>
      </c>
      <c r="AB625" t="s">
        <v>46</v>
      </c>
      <c r="AC625" t="s">
        <v>47</v>
      </c>
      <c r="AG625" t="s">
        <v>2101</v>
      </c>
      <c r="AJ625" t="s">
        <v>40</v>
      </c>
      <c r="AK625">
        <v>5019190719</v>
      </c>
      <c r="AO625" s="1">
        <v>45950</v>
      </c>
      <c r="AP625" s="5">
        <v>0.58333333333333337</v>
      </c>
      <c r="AS625">
        <v>1</v>
      </c>
    </row>
    <row r="626" spans="1:45" x14ac:dyDescent="0.2">
      <c r="A626">
        <f t="shared" si="38"/>
        <v>2025</v>
      </c>
      <c r="B626">
        <f t="shared" si="39"/>
        <v>10</v>
      </c>
      <c r="C626">
        <f t="shared" si="40"/>
        <v>43</v>
      </c>
      <c r="D626" s="2">
        <f t="shared" si="41"/>
        <v>45950</v>
      </c>
      <c r="E626" s="1">
        <v>45950.583333333336</v>
      </c>
      <c r="F626" t="s">
        <v>2102</v>
      </c>
      <c r="G626" t="s">
        <v>36</v>
      </c>
      <c r="H626">
        <v>457334</v>
      </c>
      <c r="I626" t="s">
        <v>51</v>
      </c>
      <c r="J626" t="s">
        <v>144</v>
      </c>
      <c r="M626" t="s">
        <v>40</v>
      </c>
      <c r="N626" t="s">
        <v>41</v>
      </c>
      <c r="O626" t="s">
        <v>155</v>
      </c>
      <c r="P626">
        <v>33</v>
      </c>
      <c r="Q626">
        <v>0</v>
      </c>
      <c r="R626">
        <v>0</v>
      </c>
      <c r="S626">
        <v>0</v>
      </c>
      <c r="T626" t="s">
        <v>54</v>
      </c>
      <c r="U626" t="s">
        <v>55</v>
      </c>
      <c r="W626" t="s">
        <v>2076</v>
      </c>
      <c r="Y626">
        <v>0</v>
      </c>
      <c r="AA626" t="s">
        <v>40</v>
      </c>
      <c r="AB626" t="s">
        <v>46</v>
      </c>
      <c r="AC626" t="s">
        <v>47</v>
      </c>
      <c r="AG626" t="s">
        <v>2103</v>
      </c>
      <c r="AJ626" t="s">
        <v>40</v>
      </c>
      <c r="AK626">
        <v>5019199518</v>
      </c>
      <c r="AO626" s="1">
        <v>45950</v>
      </c>
      <c r="AP626" s="5">
        <v>0.58333333333333337</v>
      </c>
      <c r="AS626">
        <v>1</v>
      </c>
    </row>
    <row r="627" spans="1:45" x14ac:dyDescent="0.2">
      <c r="A627">
        <f t="shared" si="38"/>
        <v>2025</v>
      </c>
      <c r="B627">
        <f t="shared" si="39"/>
        <v>10</v>
      </c>
      <c r="C627">
        <f t="shared" si="40"/>
        <v>43</v>
      </c>
      <c r="D627" s="2">
        <f t="shared" si="41"/>
        <v>45950</v>
      </c>
      <c r="E627" s="1">
        <v>45950.625</v>
      </c>
      <c r="F627" t="s">
        <v>2104</v>
      </c>
      <c r="G627" t="s">
        <v>36</v>
      </c>
      <c r="H627">
        <v>457353</v>
      </c>
      <c r="I627" t="s">
        <v>51</v>
      </c>
      <c r="J627" t="s">
        <v>200</v>
      </c>
      <c r="M627" t="s">
        <v>40</v>
      </c>
      <c r="N627" t="s">
        <v>41</v>
      </c>
      <c r="O627" t="s">
        <v>182</v>
      </c>
      <c r="P627">
        <v>33</v>
      </c>
      <c r="Q627">
        <v>0</v>
      </c>
      <c r="R627">
        <v>0</v>
      </c>
      <c r="S627">
        <v>0</v>
      </c>
      <c r="T627" t="s">
        <v>54</v>
      </c>
      <c r="U627" t="s">
        <v>55</v>
      </c>
      <c r="W627" t="s">
        <v>2105</v>
      </c>
      <c r="Y627">
        <v>0</v>
      </c>
      <c r="AA627" t="s">
        <v>40</v>
      </c>
      <c r="AB627" t="s">
        <v>46</v>
      </c>
      <c r="AC627" t="s">
        <v>47</v>
      </c>
      <c r="AG627" t="s">
        <v>2106</v>
      </c>
      <c r="AJ627" t="s">
        <v>40</v>
      </c>
      <c r="AK627">
        <v>5019208371</v>
      </c>
      <c r="AO627" s="1">
        <v>45950</v>
      </c>
      <c r="AP627" s="5">
        <v>0.625</v>
      </c>
      <c r="AS627">
        <v>1</v>
      </c>
    </row>
    <row r="628" spans="1:45" x14ac:dyDescent="0.2">
      <c r="A628">
        <f t="shared" si="38"/>
        <v>2025</v>
      </c>
      <c r="B628">
        <f t="shared" si="39"/>
        <v>10</v>
      </c>
      <c r="C628">
        <f t="shared" si="40"/>
        <v>43</v>
      </c>
      <c r="D628" s="2">
        <f t="shared" si="41"/>
        <v>45950</v>
      </c>
      <c r="E628" s="1">
        <v>45950.666666666664</v>
      </c>
      <c r="F628" t="s">
        <v>2107</v>
      </c>
      <c r="G628" t="s">
        <v>36</v>
      </c>
      <c r="H628">
        <v>457352</v>
      </c>
      <c r="I628" t="s">
        <v>51</v>
      </c>
      <c r="J628" t="s">
        <v>144</v>
      </c>
      <c r="M628" t="s">
        <v>40</v>
      </c>
      <c r="N628" t="s">
        <v>41</v>
      </c>
      <c r="O628" t="s">
        <v>172</v>
      </c>
      <c r="P628">
        <v>33</v>
      </c>
      <c r="Q628">
        <v>0</v>
      </c>
      <c r="R628">
        <v>0</v>
      </c>
      <c r="S628">
        <v>0</v>
      </c>
      <c r="T628" t="s">
        <v>54</v>
      </c>
      <c r="U628" t="s">
        <v>55</v>
      </c>
      <c r="W628" t="s">
        <v>2108</v>
      </c>
      <c r="Y628">
        <v>0</v>
      </c>
      <c r="AA628" t="s">
        <v>40</v>
      </c>
      <c r="AB628" t="s">
        <v>46</v>
      </c>
      <c r="AC628" t="s">
        <v>47</v>
      </c>
      <c r="AG628" t="s">
        <v>2109</v>
      </c>
      <c r="AJ628" t="s">
        <v>40</v>
      </c>
      <c r="AK628">
        <v>5019210003</v>
      </c>
      <c r="AO628" s="1">
        <v>45950</v>
      </c>
      <c r="AP628" s="5">
        <v>0.66666666666666663</v>
      </c>
      <c r="AS628">
        <v>1</v>
      </c>
    </row>
    <row r="629" spans="1:45" x14ac:dyDescent="0.2">
      <c r="A629">
        <f t="shared" si="38"/>
        <v>2025</v>
      </c>
      <c r="B629">
        <f t="shared" si="39"/>
        <v>10</v>
      </c>
      <c r="C629">
        <f t="shared" si="40"/>
        <v>43</v>
      </c>
      <c r="D629" s="2">
        <f t="shared" si="41"/>
        <v>45950</v>
      </c>
      <c r="E629" s="1">
        <v>45950.666666666664</v>
      </c>
      <c r="F629" t="s">
        <v>2110</v>
      </c>
      <c r="G629" t="s">
        <v>36</v>
      </c>
      <c r="H629">
        <v>457333</v>
      </c>
      <c r="I629" t="s">
        <v>51</v>
      </c>
      <c r="J629" t="s">
        <v>355</v>
      </c>
      <c r="M629" t="s">
        <v>40</v>
      </c>
      <c r="N629" t="s">
        <v>41</v>
      </c>
      <c r="O629" t="s">
        <v>530</v>
      </c>
      <c r="P629">
        <v>33</v>
      </c>
      <c r="Q629">
        <v>0</v>
      </c>
      <c r="R629">
        <v>0</v>
      </c>
      <c r="S629">
        <v>0</v>
      </c>
      <c r="T629" t="s">
        <v>54</v>
      </c>
      <c r="U629" t="s">
        <v>55</v>
      </c>
      <c r="W629" t="s">
        <v>2111</v>
      </c>
      <c r="Y629">
        <v>0</v>
      </c>
      <c r="AA629" t="s">
        <v>40</v>
      </c>
      <c r="AB629" t="s">
        <v>46</v>
      </c>
      <c r="AC629" t="s">
        <v>47</v>
      </c>
      <c r="AG629" t="s">
        <v>2112</v>
      </c>
      <c r="AJ629" t="s">
        <v>40</v>
      </c>
      <c r="AK629">
        <v>5019199700</v>
      </c>
      <c r="AO629" s="1">
        <v>45950</v>
      </c>
      <c r="AP629" s="5">
        <v>0.66666666666666663</v>
      </c>
      <c r="AS629">
        <v>1</v>
      </c>
    </row>
    <row r="630" spans="1:45" x14ac:dyDescent="0.2">
      <c r="A630">
        <f t="shared" si="38"/>
        <v>2025</v>
      </c>
      <c r="B630">
        <f t="shared" si="39"/>
        <v>10</v>
      </c>
      <c r="C630">
        <f t="shared" si="40"/>
        <v>43</v>
      </c>
      <c r="D630" s="2">
        <f t="shared" si="41"/>
        <v>45950</v>
      </c>
      <c r="E630" s="1">
        <v>45950.666666666664</v>
      </c>
      <c r="F630" t="s">
        <v>2113</v>
      </c>
      <c r="G630" t="s">
        <v>36</v>
      </c>
      <c r="H630">
        <v>457340</v>
      </c>
      <c r="I630" t="s">
        <v>51</v>
      </c>
      <c r="J630" t="s">
        <v>154</v>
      </c>
      <c r="M630" t="s">
        <v>40</v>
      </c>
      <c r="N630" t="s">
        <v>41</v>
      </c>
      <c r="O630" t="s">
        <v>155</v>
      </c>
      <c r="P630">
        <v>33</v>
      </c>
      <c r="Q630">
        <v>0</v>
      </c>
      <c r="R630">
        <v>0</v>
      </c>
      <c r="S630">
        <v>0</v>
      </c>
      <c r="T630" t="s">
        <v>54</v>
      </c>
      <c r="U630" t="s">
        <v>55</v>
      </c>
      <c r="W630" t="s">
        <v>2072</v>
      </c>
      <c r="Y630">
        <v>0</v>
      </c>
      <c r="AA630" t="s">
        <v>40</v>
      </c>
      <c r="AB630" t="s">
        <v>46</v>
      </c>
      <c r="AC630" t="s">
        <v>47</v>
      </c>
      <c r="AG630" t="s">
        <v>2114</v>
      </c>
      <c r="AJ630" t="s">
        <v>40</v>
      </c>
      <c r="AK630">
        <v>5019189519</v>
      </c>
      <c r="AO630" s="1">
        <v>45950</v>
      </c>
      <c r="AP630" s="5">
        <v>0.66666666666666663</v>
      </c>
      <c r="AS630">
        <v>1</v>
      </c>
    </row>
    <row r="631" spans="1:45" x14ac:dyDescent="0.2">
      <c r="A631">
        <f t="shared" si="38"/>
        <v>2025</v>
      </c>
      <c r="B631">
        <f t="shared" si="39"/>
        <v>10</v>
      </c>
      <c r="C631">
        <f t="shared" si="40"/>
        <v>43</v>
      </c>
      <c r="D631" s="2">
        <f t="shared" si="41"/>
        <v>45950</v>
      </c>
      <c r="E631" s="1">
        <v>45950.708333333336</v>
      </c>
      <c r="F631" t="s">
        <v>2115</v>
      </c>
      <c r="G631" t="s">
        <v>36</v>
      </c>
      <c r="H631">
        <v>457359</v>
      </c>
      <c r="I631" t="s">
        <v>51</v>
      </c>
      <c r="J631" t="s">
        <v>154</v>
      </c>
      <c r="M631" t="s">
        <v>40</v>
      </c>
      <c r="N631" t="s">
        <v>41</v>
      </c>
      <c r="O631" t="s">
        <v>155</v>
      </c>
      <c r="P631">
        <v>33</v>
      </c>
      <c r="Q631">
        <v>0</v>
      </c>
      <c r="R631">
        <v>0</v>
      </c>
      <c r="S631">
        <v>0</v>
      </c>
      <c r="T631" t="s">
        <v>54</v>
      </c>
      <c r="U631" t="s">
        <v>55</v>
      </c>
      <c r="W631" t="s">
        <v>2116</v>
      </c>
      <c r="Y631">
        <v>0</v>
      </c>
      <c r="AA631" t="s">
        <v>40</v>
      </c>
      <c r="AB631" t="s">
        <v>46</v>
      </c>
      <c r="AC631" t="s">
        <v>47</v>
      </c>
      <c r="AG631" t="s">
        <v>2117</v>
      </c>
      <c r="AJ631" t="s">
        <v>40</v>
      </c>
      <c r="AK631">
        <v>5019200100</v>
      </c>
      <c r="AO631" s="1">
        <v>45950</v>
      </c>
      <c r="AP631" s="5">
        <v>0.70833333333333337</v>
      </c>
      <c r="AS631">
        <v>1</v>
      </c>
    </row>
    <row r="632" spans="1:45" x14ac:dyDescent="0.2">
      <c r="A632">
        <f t="shared" si="38"/>
        <v>2025</v>
      </c>
      <c r="B632">
        <f t="shared" si="39"/>
        <v>10</v>
      </c>
      <c r="C632">
        <f t="shared" si="40"/>
        <v>43</v>
      </c>
      <c r="D632" s="2">
        <f t="shared" si="41"/>
        <v>45950</v>
      </c>
      <c r="E632" s="1">
        <v>45950.708333333336</v>
      </c>
      <c r="F632" t="s">
        <v>2118</v>
      </c>
      <c r="G632" t="s">
        <v>36</v>
      </c>
      <c r="H632">
        <v>457348</v>
      </c>
      <c r="I632" t="s">
        <v>51</v>
      </c>
      <c r="J632" t="s">
        <v>194</v>
      </c>
      <c r="M632" t="s">
        <v>40</v>
      </c>
      <c r="N632" t="s">
        <v>41</v>
      </c>
      <c r="O632" t="s">
        <v>189</v>
      </c>
      <c r="P632">
        <v>33</v>
      </c>
      <c r="Q632">
        <v>0</v>
      </c>
      <c r="R632">
        <v>0</v>
      </c>
      <c r="S632">
        <v>0</v>
      </c>
      <c r="T632" t="s">
        <v>54</v>
      </c>
      <c r="U632" t="s">
        <v>55</v>
      </c>
      <c r="W632" t="s">
        <v>2119</v>
      </c>
      <c r="Y632">
        <v>0</v>
      </c>
      <c r="AA632" t="s">
        <v>40</v>
      </c>
      <c r="AB632" t="s">
        <v>46</v>
      </c>
      <c r="AC632" t="s">
        <v>47</v>
      </c>
      <c r="AG632" t="s">
        <v>2120</v>
      </c>
      <c r="AJ632" t="s">
        <v>40</v>
      </c>
      <c r="AK632">
        <v>5019194752</v>
      </c>
      <c r="AO632" s="1">
        <v>45950</v>
      </c>
      <c r="AP632" s="5">
        <v>0.70833333333333337</v>
      </c>
      <c r="AS632">
        <v>1</v>
      </c>
    </row>
    <row r="633" spans="1:45" x14ac:dyDescent="0.2">
      <c r="A633">
        <f t="shared" si="38"/>
        <v>2025</v>
      </c>
      <c r="B633">
        <f t="shared" si="39"/>
        <v>10</v>
      </c>
      <c r="C633">
        <f t="shared" si="40"/>
        <v>43</v>
      </c>
      <c r="D633" s="2">
        <f t="shared" si="41"/>
        <v>45950</v>
      </c>
      <c r="E633" s="1">
        <v>45950.708333333336</v>
      </c>
      <c r="F633" t="s">
        <v>2121</v>
      </c>
      <c r="G633" t="s">
        <v>36</v>
      </c>
      <c r="H633" t="s">
        <v>2122</v>
      </c>
      <c r="I633" t="s">
        <v>218</v>
      </c>
      <c r="J633" t="s">
        <v>118</v>
      </c>
      <c r="M633" t="s">
        <v>40</v>
      </c>
      <c r="N633" t="s">
        <v>41</v>
      </c>
      <c r="O633" t="s">
        <v>2123</v>
      </c>
      <c r="P633">
        <v>99</v>
      </c>
      <c r="Q633">
        <v>0</v>
      </c>
      <c r="R633">
        <v>0</v>
      </c>
      <c r="S633">
        <v>0</v>
      </c>
      <c r="T633" t="s">
        <v>54</v>
      </c>
      <c r="U633" t="s">
        <v>55</v>
      </c>
      <c r="W633" t="s">
        <v>2124</v>
      </c>
      <c r="Y633">
        <v>0</v>
      </c>
      <c r="AA633" t="s">
        <v>40</v>
      </c>
      <c r="AB633" t="s">
        <v>46</v>
      </c>
      <c r="AC633" t="s">
        <v>47</v>
      </c>
      <c r="AD633" t="s">
        <v>223</v>
      </c>
      <c r="AE633" t="s">
        <v>223</v>
      </c>
      <c r="AG633" t="s">
        <v>2125</v>
      </c>
      <c r="AJ633" t="s">
        <v>40</v>
      </c>
      <c r="AK633" t="s">
        <v>2126</v>
      </c>
      <c r="AO633" s="1">
        <v>45950</v>
      </c>
      <c r="AP633" s="5">
        <v>0.70833333333333337</v>
      </c>
      <c r="AS633">
        <v>1</v>
      </c>
    </row>
    <row r="634" spans="1:45" x14ac:dyDescent="0.2">
      <c r="A634">
        <f t="shared" si="38"/>
        <v>2025</v>
      </c>
      <c r="B634">
        <f t="shared" si="39"/>
        <v>10</v>
      </c>
      <c r="C634">
        <f t="shared" si="40"/>
        <v>43</v>
      </c>
      <c r="D634" s="2">
        <f t="shared" si="41"/>
        <v>45950</v>
      </c>
      <c r="E634" s="1">
        <v>45950.75</v>
      </c>
      <c r="F634" t="s">
        <v>2127</v>
      </c>
      <c r="G634" t="s">
        <v>36</v>
      </c>
      <c r="H634">
        <v>461227</v>
      </c>
      <c r="I634" t="s">
        <v>51</v>
      </c>
      <c r="J634" t="s">
        <v>188</v>
      </c>
      <c r="M634" t="s">
        <v>40</v>
      </c>
      <c r="N634" t="s">
        <v>41</v>
      </c>
      <c r="O634" t="s">
        <v>172</v>
      </c>
      <c r="P634">
        <v>33</v>
      </c>
      <c r="Q634">
        <v>0</v>
      </c>
      <c r="R634">
        <v>0</v>
      </c>
      <c r="S634">
        <v>0</v>
      </c>
      <c r="T634" t="s">
        <v>54</v>
      </c>
      <c r="U634" t="s">
        <v>55</v>
      </c>
      <c r="W634" t="s">
        <v>2128</v>
      </c>
      <c r="Y634">
        <v>0</v>
      </c>
      <c r="AA634" t="s">
        <v>40</v>
      </c>
      <c r="AB634" t="s">
        <v>46</v>
      </c>
      <c r="AC634" t="s">
        <v>47</v>
      </c>
      <c r="AG634" t="s">
        <v>2129</v>
      </c>
      <c r="AJ634" t="s">
        <v>40</v>
      </c>
      <c r="AK634">
        <v>5019197542</v>
      </c>
      <c r="AO634" s="1">
        <v>45950</v>
      </c>
      <c r="AP634" s="5">
        <v>0.75</v>
      </c>
      <c r="AS634">
        <v>1</v>
      </c>
    </row>
    <row r="635" spans="1:45" x14ac:dyDescent="0.2">
      <c r="A635">
        <f t="shared" si="38"/>
        <v>2025</v>
      </c>
      <c r="B635">
        <f t="shared" si="39"/>
        <v>10</v>
      </c>
      <c r="C635">
        <f t="shared" si="40"/>
        <v>43</v>
      </c>
      <c r="D635" s="2">
        <f t="shared" si="41"/>
        <v>45950</v>
      </c>
      <c r="E635" s="1">
        <v>45950.75</v>
      </c>
      <c r="F635" t="s">
        <v>2130</v>
      </c>
      <c r="G635" t="s">
        <v>36</v>
      </c>
      <c r="H635">
        <v>461226</v>
      </c>
      <c r="I635" t="s">
        <v>51</v>
      </c>
      <c r="J635" t="s">
        <v>154</v>
      </c>
      <c r="M635" t="s">
        <v>40</v>
      </c>
      <c r="N635" t="s">
        <v>41</v>
      </c>
      <c r="O635" t="s">
        <v>2131</v>
      </c>
      <c r="P635">
        <v>33</v>
      </c>
      <c r="Q635">
        <v>0</v>
      </c>
      <c r="R635">
        <v>0</v>
      </c>
      <c r="S635">
        <v>0</v>
      </c>
      <c r="T635" t="s">
        <v>54</v>
      </c>
      <c r="U635" t="s">
        <v>55</v>
      </c>
      <c r="W635" t="s">
        <v>2132</v>
      </c>
      <c r="Y635">
        <v>0</v>
      </c>
      <c r="AA635" t="s">
        <v>40</v>
      </c>
      <c r="AB635" t="s">
        <v>46</v>
      </c>
      <c r="AC635" t="s">
        <v>47</v>
      </c>
      <c r="AG635" t="s">
        <v>2133</v>
      </c>
      <c r="AJ635" t="s">
        <v>40</v>
      </c>
      <c r="AK635">
        <v>5019208900</v>
      </c>
      <c r="AO635" s="1">
        <v>45950</v>
      </c>
      <c r="AP635" s="5">
        <v>0.75</v>
      </c>
      <c r="AS635">
        <v>1</v>
      </c>
    </row>
    <row r="636" spans="1:45" x14ac:dyDescent="0.2">
      <c r="A636">
        <f t="shared" si="38"/>
        <v>2025</v>
      </c>
      <c r="B636">
        <f t="shared" si="39"/>
        <v>10</v>
      </c>
      <c r="C636">
        <f t="shared" si="40"/>
        <v>43</v>
      </c>
      <c r="D636" s="2">
        <f t="shared" si="41"/>
        <v>45950</v>
      </c>
      <c r="E636" s="1">
        <v>45950.75</v>
      </c>
      <c r="F636" t="s">
        <v>2134</v>
      </c>
      <c r="G636" t="s">
        <v>36</v>
      </c>
      <c r="H636">
        <v>457330</v>
      </c>
      <c r="I636" t="s">
        <v>51</v>
      </c>
      <c r="J636" t="s">
        <v>194</v>
      </c>
      <c r="M636" t="s">
        <v>40</v>
      </c>
      <c r="N636" t="s">
        <v>41</v>
      </c>
      <c r="O636" t="s">
        <v>189</v>
      </c>
      <c r="P636">
        <v>33</v>
      </c>
      <c r="Q636">
        <v>0</v>
      </c>
      <c r="R636">
        <v>0</v>
      </c>
      <c r="S636">
        <v>0</v>
      </c>
      <c r="T636" t="s">
        <v>54</v>
      </c>
      <c r="U636" t="s">
        <v>55</v>
      </c>
      <c r="W636" t="s">
        <v>2135</v>
      </c>
      <c r="Y636">
        <v>0</v>
      </c>
      <c r="AA636" t="s">
        <v>40</v>
      </c>
      <c r="AB636" t="s">
        <v>46</v>
      </c>
      <c r="AC636" t="s">
        <v>47</v>
      </c>
      <c r="AG636" t="s">
        <v>2136</v>
      </c>
      <c r="AJ636" t="s">
        <v>40</v>
      </c>
      <c r="AK636">
        <v>5019200901</v>
      </c>
      <c r="AO636" s="1">
        <v>45950</v>
      </c>
      <c r="AP636" s="5">
        <v>0.75</v>
      </c>
      <c r="AS636">
        <v>1</v>
      </c>
    </row>
    <row r="637" spans="1:45" x14ac:dyDescent="0.2">
      <c r="A637">
        <f t="shared" si="38"/>
        <v>2025</v>
      </c>
      <c r="B637">
        <f t="shared" si="39"/>
        <v>10</v>
      </c>
      <c r="C637">
        <f t="shared" si="40"/>
        <v>43</v>
      </c>
      <c r="D637" s="2">
        <f t="shared" si="41"/>
        <v>45950</v>
      </c>
      <c r="E637" s="1">
        <v>45950.791666666664</v>
      </c>
      <c r="F637" t="s">
        <v>2137</v>
      </c>
      <c r="G637" t="s">
        <v>36</v>
      </c>
      <c r="H637" t="s">
        <v>2138</v>
      </c>
      <c r="I637" t="s">
        <v>218</v>
      </c>
      <c r="J637" t="s">
        <v>126</v>
      </c>
      <c r="M637" t="s">
        <v>40</v>
      </c>
      <c r="N637" t="s">
        <v>41</v>
      </c>
      <c r="O637" t="s">
        <v>2139</v>
      </c>
      <c r="P637">
        <v>99</v>
      </c>
      <c r="Q637">
        <v>0</v>
      </c>
      <c r="R637">
        <v>0</v>
      </c>
      <c r="S637">
        <v>0</v>
      </c>
      <c r="T637" t="s">
        <v>54</v>
      </c>
      <c r="U637" t="s">
        <v>55</v>
      </c>
      <c r="W637" t="s">
        <v>2140</v>
      </c>
      <c r="X637" t="s">
        <v>2141</v>
      </c>
      <c r="Y637">
        <v>0</v>
      </c>
      <c r="AA637" t="s">
        <v>40</v>
      </c>
      <c r="AB637" t="s">
        <v>46</v>
      </c>
      <c r="AC637" t="s">
        <v>47</v>
      </c>
      <c r="AD637" t="s">
        <v>223</v>
      </c>
      <c r="AE637" t="s">
        <v>223</v>
      </c>
      <c r="AG637" t="s">
        <v>2142</v>
      </c>
      <c r="AJ637" t="s">
        <v>40</v>
      </c>
      <c r="AK637" t="s">
        <v>2143</v>
      </c>
      <c r="AL637" t="s">
        <v>2144</v>
      </c>
      <c r="AO637" s="1">
        <v>45950</v>
      </c>
      <c r="AP637" s="5">
        <v>0.79166666666666663</v>
      </c>
      <c r="AS637">
        <v>1</v>
      </c>
    </row>
    <row r="638" spans="1:45" x14ac:dyDescent="0.2">
      <c r="A638">
        <f t="shared" si="38"/>
        <v>2025</v>
      </c>
      <c r="B638">
        <f t="shared" si="39"/>
        <v>10</v>
      </c>
      <c r="C638">
        <f t="shared" si="40"/>
        <v>43</v>
      </c>
      <c r="D638" s="2">
        <f t="shared" si="41"/>
        <v>45950</v>
      </c>
      <c r="E638" s="1">
        <v>45950.833333333336</v>
      </c>
      <c r="F638" t="s">
        <v>2145</v>
      </c>
      <c r="G638" t="s">
        <v>36</v>
      </c>
      <c r="H638" t="s">
        <v>2146</v>
      </c>
      <c r="I638" t="s">
        <v>78</v>
      </c>
      <c r="J638" t="s">
        <v>126</v>
      </c>
      <c r="M638" t="s">
        <v>40</v>
      </c>
      <c r="N638" t="s">
        <v>41</v>
      </c>
      <c r="O638" t="s">
        <v>417</v>
      </c>
      <c r="P638">
        <v>66</v>
      </c>
      <c r="Q638">
        <v>0</v>
      </c>
      <c r="R638">
        <v>0</v>
      </c>
      <c r="S638">
        <v>0</v>
      </c>
      <c r="T638" t="s">
        <v>54</v>
      </c>
      <c r="U638" t="s">
        <v>55</v>
      </c>
      <c r="W638" t="s">
        <v>1759</v>
      </c>
      <c r="X638" t="s">
        <v>765</v>
      </c>
      <c r="Y638">
        <v>0</v>
      </c>
      <c r="AA638" t="s">
        <v>40</v>
      </c>
      <c r="AB638" t="s">
        <v>46</v>
      </c>
      <c r="AC638" t="s">
        <v>47</v>
      </c>
      <c r="AD638" t="s">
        <v>81</v>
      </c>
      <c r="AE638" t="s">
        <v>81</v>
      </c>
      <c r="AG638" t="s">
        <v>2147</v>
      </c>
      <c r="AJ638" t="s">
        <v>40</v>
      </c>
      <c r="AK638" t="s">
        <v>2148</v>
      </c>
      <c r="AL638" t="s">
        <v>767</v>
      </c>
      <c r="AM638" t="s">
        <v>2149</v>
      </c>
      <c r="AO638" s="1">
        <v>45950</v>
      </c>
      <c r="AP638" s="5">
        <v>0.83333333333333337</v>
      </c>
      <c r="AS638">
        <v>1</v>
      </c>
    </row>
    <row r="639" spans="1:45" x14ac:dyDescent="0.2">
      <c r="A639">
        <f t="shared" si="38"/>
        <v>2025</v>
      </c>
      <c r="B639">
        <f t="shared" si="39"/>
        <v>10</v>
      </c>
      <c r="C639">
        <f t="shared" si="40"/>
        <v>43</v>
      </c>
      <c r="D639" s="2">
        <f t="shared" si="41"/>
        <v>45951</v>
      </c>
      <c r="E639" s="1">
        <v>45951.25</v>
      </c>
      <c r="F639" t="s">
        <v>2150</v>
      </c>
      <c r="G639" t="s">
        <v>36</v>
      </c>
      <c r="H639">
        <v>462618</v>
      </c>
      <c r="I639" t="s">
        <v>51</v>
      </c>
      <c r="J639" t="s">
        <v>52</v>
      </c>
      <c r="M639" t="s">
        <v>40</v>
      </c>
      <c r="N639" t="s">
        <v>41</v>
      </c>
      <c r="O639" t="s">
        <v>53</v>
      </c>
      <c r="P639">
        <v>33</v>
      </c>
      <c r="Q639">
        <v>0</v>
      </c>
      <c r="R639">
        <v>0</v>
      </c>
      <c r="S639">
        <v>0</v>
      </c>
      <c r="T639" t="s">
        <v>54</v>
      </c>
      <c r="U639" t="s">
        <v>55</v>
      </c>
      <c r="W639" t="s">
        <v>2060</v>
      </c>
      <c r="Y639">
        <v>0</v>
      </c>
      <c r="AA639" t="s">
        <v>40</v>
      </c>
      <c r="AB639" t="s">
        <v>46</v>
      </c>
      <c r="AC639" t="s">
        <v>47</v>
      </c>
      <c r="AG639" t="s">
        <v>2151</v>
      </c>
      <c r="AJ639" t="s">
        <v>40</v>
      </c>
      <c r="AK639">
        <v>5019224283</v>
      </c>
      <c r="AO639" s="1">
        <v>45951</v>
      </c>
      <c r="AP639" s="5">
        <v>0.25</v>
      </c>
      <c r="AS639">
        <v>1</v>
      </c>
    </row>
    <row r="640" spans="1:45" x14ac:dyDescent="0.2">
      <c r="A640">
        <f t="shared" si="38"/>
        <v>2025</v>
      </c>
      <c r="B640">
        <f t="shared" si="39"/>
        <v>10</v>
      </c>
      <c r="C640">
        <f t="shared" si="40"/>
        <v>43</v>
      </c>
      <c r="D640" s="2">
        <f t="shared" si="41"/>
        <v>45951</v>
      </c>
      <c r="E640" s="1">
        <v>45951.291666666664</v>
      </c>
      <c r="F640" t="s">
        <v>2152</v>
      </c>
      <c r="G640" t="s">
        <v>36</v>
      </c>
      <c r="H640" t="s">
        <v>253</v>
      </c>
      <c r="I640" t="s">
        <v>38</v>
      </c>
      <c r="J640" t="s">
        <v>254</v>
      </c>
      <c r="M640" t="s">
        <v>40</v>
      </c>
      <c r="N640" t="s">
        <v>41</v>
      </c>
      <c r="O640" t="s">
        <v>42</v>
      </c>
      <c r="P640">
        <v>1</v>
      </c>
      <c r="Q640">
        <v>0</v>
      </c>
      <c r="R640">
        <v>0</v>
      </c>
      <c r="S640">
        <v>0</v>
      </c>
      <c r="T640">
        <v>5019215477</v>
      </c>
      <c r="U640" t="s">
        <v>101</v>
      </c>
      <c r="W640" t="s">
        <v>2108</v>
      </c>
      <c r="Y640">
        <v>0</v>
      </c>
      <c r="AA640" t="s">
        <v>40</v>
      </c>
      <c r="AB640" t="s">
        <v>46</v>
      </c>
      <c r="AC640" t="s">
        <v>47</v>
      </c>
      <c r="AF640" t="s">
        <v>48</v>
      </c>
      <c r="AJ640" t="s">
        <v>40</v>
      </c>
      <c r="AK640" t="s">
        <v>49</v>
      </c>
      <c r="AO640" s="1">
        <v>45951</v>
      </c>
      <c r="AP640" s="5">
        <v>0.29166666666666669</v>
      </c>
      <c r="AS640">
        <v>1</v>
      </c>
    </row>
    <row r="641" spans="1:45" x14ac:dyDescent="0.2">
      <c r="A641">
        <f t="shared" si="38"/>
        <v>2025</v>
      </c>
      <c r="B641">
        <f t="shared" si="39"/>
        <v>10</v>
      </c>
      <c r="C641">
        <f t="shared" si="40"/>
        <v>43</v>
      </c>
      <c r="D641" s="2">
        <f t="shared" si="41"/>
        <v>45951</v>
      </c>
      <c r="E641" s="1">
        <v>45951.291666666664</v>
      </c>
      <c r="F641" t="s">
        <v>2153</v>
      </c>
      <c r="G641" t="s">
        <v>36</v>
      </c>
      <c r="H641" t="s">
        <v>1808</v>
      </c>
      <c r="I641" t="s">
        <v>38</v>
      </c>
      <c r="J641" t="s">
        <v>99</v>
      </c>
      <c r="M641" t="s">
        <v>40</v>
      </c>
      <c r="N641" t="s">
        <v>41</v>
      </c>
      <c r="O641" t="s">
        <v>42</v>
      </c>
      <c r="P641">
        <v>23</v>
      </c>
      <c r="Q641">
        <v>0</v>
      </c>
      <c r="R641">
        <v>0</v>
      </c>
      <c r="S641">
        <v>0</v>
      </c>
      <c r="T641" t="s">
        <v>2154</v>
      </c>
      <c r="U641" t="s">
        <v>44</v>
      </c>
      <c r="W641" t="s">
        <v>2155</v>
      </c>
      <c r="Y641">
        <v>0</v>
      </c>
      <c r="AA641" t="s">
        <v>40</v>
      </c>
      <c r="AB641" t="s">
        <v>46</v>
      </c>
      <c r="AC641" t="s">
        <v>47</v>
      </c>
      <c r="AF641" t="s">
        <v>367</v>
      </c>
      <c r="AJ641" t="s">
        <v>40</v>
      </c>
      <c r="AK641" t="s">
        <v>49</v>
      </c>
      <c r="AM641" t="s">
        <v>1810</v>
      </c>
      <c r="AN641" t="s">
        <v>2156</v>
      </c>
      <c r="AO641" s="1">
        <v>45951</v>
      </c>
      <c r="AP641" s="5">
        <v>0.29166666666666669</v>
      </c>
      <c r="AS641">
        <v>1</v>
      </c>
    </row>
    <row r="642" spans="1:45" x14ac:dyDescent="0.2">
      <c r="A642">
        <f t="shared" ref="A642:A705" si="42">YEAR(D642)</f>
        <v>2025</v>
      </c>
      <c r="B642">
        <f t="shared" ref="B642:B705" si="43">MONTH(D642)</f>
        <v>10</v>
      </c>
      <c r="C642">
        <f t="shared" ref="C642:C705" si="44">WEEKNUM(D642)</f>
        <v>43</v>
      </c>
      <c r="D642" s="2">
        <f t="shared" ref="D642:D705" si="45">INT(E642)</f>
        <v>45951</v>
      </c>
      <c r="E642" s="1">
        <v>45951.291666666664</v>
      </c>
      <c r="F642" t="s">
        <v>2157</v>
      </c>
      <c r="G642" t="s">
        <v>36</v>
      </c>
      <c r="H642">
        <v>457339</v>
      </c>
      <c r="I642" t="s">
        <v>51</v>
      </c>
      <c r="J642" t="s">
        <v>154</v>
      </c>
      <c r="L642" t="s">
        <v>2158</v>
      </c>
      <c r="M642" t="s">
        <v>40</v>
      </c>
      <c r="N642" t="s">
        <v>41</v>
      </c>
      <c r="O642" t="s">
        <v>155</v>
      </c>
      <c r="P642">
        <v>33</v>
      </c>
      <c r="Q642">
        <v>0</v>
      </c>
      <c r="R642">
        <v>0</v>
      </c>
      <c r="S642">
        <v>0</v>
      </c>
      <c r="T642" t="s">
        <v>54</v>
      </c>
      <c r="U642" t="s">
        <v>233</v>
      </c>
      <c r="W642" t="s">
        <v>2116</v>
      </c>
      <c r="Y642">
        <v>0</v>
      </c>
      <c r="AA642" t="s">
        <v>40</v>
      </c>
      <c r="AB642" t="s">
        <v>46</v>
      </c>
      <c r="AC642" t="s">
        <v>47</v>
      </c>
      <c r="AG642" t="s">
        <v>2159</v>
      </c>
      <c r="AJ642" t="s">
        <v>40</v>
      </c>
      <c r="AK642">
        <v>5019206570</v>
      </c>
      <c r="AO642" s="1">
        <v>45951</v>
      </c>
      <c r="AP642" s="5">
        <v>0.29166666666666669</v>
      </c>
      <c r="AS642">
        <v>1</v>
      </c>
    </row>
    <row r="643" spans="1:45" x14ac:dyDescent="0.2">
      <c r="A643">
        <f t="shared" si="42"/>
        <v>2025</v>
      </c>
      <c r="B643">
        <f t="shared" si="43"/>
        <v>10</v>
      </c>
      <c r="C643">
        <f t="shared" si="44"/>
        <v>43</v>
      </c>
      <c r="D643" s="2">
        <f t="shared" si="45"/>
        <v>45951</v>
      </c>
      <c r="E643" s="1">
        <v>45951.291666666664</v>
      </c>
      <c r="F643" t="s">
        <v>2160</v>
      </c>
      <c r="G643" t="s">
        <v>36</v>
      </c>
      <c r="H643" t="s">
        <v>2161</v>
      </c>
      <c r="I643" t="s">
        <v>78</v>
      </c>
      <c r="J643" t="s">
        <v>52</v>
      </c>
      <c r="M643" t="s">
        <v>40</v>
      </c>
      <c r="N643" t="s">
        <v>41</v>
      </c>
      <c r="O643" t="s">
        <v>1832</v>
      </c>
      <c r="P643">
        <v>66</v>
      </c>
      <c r="Q643">
        <v>0</v>
      </c>
      <c r="R643">
        <v>0</v>
      </c>
      <c r="S643">
        <v>0</v>
      </c>
      <c r="T643" t="s">
        <v>54</v>
      </c>
      <c r="U643" t="s">
        <v>55</v>
      </c>
      <c r="W643" t="s">
        <v>2162</v>
      </c>
      <c r="Y643">
        <v>0</v>
      </c>
      <c r="AA643" t="s">
        <v>40</v>
      </c>
      <c r="AB643" t="s">
        <v>46</v>
      </c>
      <c r="AC643" t="s">
        <v>47</v>
      </c>
      <c r="AD643" t="s">
        <v>81</v>
      </c>
      <c r="AE643" t="s">
        <v>81</v>
      </c>
      <c r="AG643" t="s">
        <v>2163</v>
      </c>
      <c r="AJ643" t="s">
        <v>40</v>
      </c>
      <c r="AK643" t="s">
        <v>2164</v>
      </c>
      <c r="AO643" s="1">
        <v>45951</v>
      </c>
      <c r="AP643" s="5">
        <v>0.29166666666666669</v>
      </c>
      <c r="AS643">
        <v>1</v>
      </c>
    </row>
    <row r="644" spans="1:45" x14ac:dyDescent="0.2">
      <c r="A644">
        <f t="shared" si="42"/>
        <v>2025</v>
      </c>
      <c r="B644">
        <f t="shared" si="43"/>
        <v>10</v>
      </c>
      <c r="C644">
        <f t="shared" si="44"/>
        <v>43</v>
      </c>
      <c r="D644" s="2">
        <f t="shared" si="45"/>
        <v>45951</v>
      </c>
      <c r="E644" s="1">
        <v>45951.333333333336</v>
      </c>
      <c r="F644" t="s">
        <v>2165</v>
      </c>
      <c r="G644" t="s">
        <v>36</v>
      </c>
      <c r="H644" t="s">
        <v>1808</v>
      </c>
      <c r="I644" t="s">
        <v>38</v>
      </c>
      <c r="J644" t="s">
        <v>99</v>
      </c>
      <c r="M644" t="s">
        <v>40</v>
      </c>
      <c r="N644" t="s">
        <v>41</v>
      </c>
      <c r="O644" t="s">
        <v>42</v>
      </c>
      <c r="P644">
        <v>23</v>
      </c>
      <c r="Q644">
        <v>0</v>
      </c>
      <c r="R644">
        <v>0</v>
      </c>
      <c r="S644">
        <v>0</v>
      </c>
      <c r="T644" t="s">
        <v>2166</v>
      </c>
      <c r="U644" t="s">
        <v>44</v>
      </c>
      <c r="W644" t="s">
        <v>2155</v>
      </c>
      <c r="Y644">
        <v>0</v>
      </c>
      <c r="AA644" t="s">
        <v>40</v>
      </c>
      <c r="AB644" t="s">
        <v>46</v>
      </c>
      <c r="AC644" t="s">
        <v>47</v>
      </c>
      <c r="AF644" t="s">
        <v>367</v>
      </c>
      <c r="AJ644" t="s">
        <v>40</v>
      </c>
      <c r="AK644" t="s">
        <v>49</v>
      </c>
      <c r="AM644" t="s">
        <v>1824</v>
      </c>
      <c r="AN644" t="s">
        <v>2156</v>
      </c>
      <c r="AO644" s="1">
        <v>45951</v>
      </c>
      <c r="AP644" s="5">
        <v>0.33333333333333331</v>
      </c>
      <c r="AS644">
        <v>1</v>
      </c>
    </row>
    <row r="645" spans="1:45" x14ac:dyDescent="0.2">
      <c r="A645">
        <f t="shared" si="42"/>
        <v>2025</v>
      </c>
      <c r="B645">
        <f t="shared" si="43"/>
        <v>10</v>
      </c>
      <c r="C645">
        <f t="shared" si="44"/>
        <v>43</v>
      </c>
      <c r="D645" s="2">
        <f t="shared" si="45"/>
        <v>45951</v>
      </c>
      <c r="E645" s="1">
        <v>45951.333333333336</v>
      </c>
      <c r="F645" t="s">
        <v>2167</v>
      </c>
      <c r="G645" t="s">
        <v>36</v>
      </c>
      <c r="H645" t="s">
        <v>37</v>
      </c>
      <c r="I645" t="s">
        <v>38</v>
      </c>
      <c r="J645" t="s">
        <v>112</v>
      </c>
      <c r="M645" t="s">
        <v>40</v>
      </c>
      <c r="N645" t="s">
        <v>41</v>
      </c>
      <c r="O645" t="s">
        <v>42</v>
      </c>
      <c r="P645">
        <v>23</v>
      </c>
      <c r="Q645">
        <v>0</v>
      </c>
      <c r="R645">
        <v>0</v>
      </c>
      <c r="S645">
        <v>0</v>
      </c>
      <c r="T645" t="s">
        <v>2168</v>
      </c>
      <c r="U645" t="s">
        <v>44</v>
      </c>
      <c r="W645" t="s">
        <v>2169</v>
      </c>
      <c r="Y645">
        <v>0</v>
      </c>
      <c r="AA645" t="s">
        <v>40</v>
      </c>
      <c r="AB645" t="s">
        <v>46</v>
      </c>
      <c r="AC645" t="s">
        <v>47</v>
      </c>
      <c r="AF645" t="s">
        <v>48</v>
      </c>
      <c r="AJ645" t="s">
        <v>40</v>
      </c>
      <c r="AK645" t="s">
        <v>49</v>
      </c>
      <c r="AO645" s="1">
        <v>45951</v>
      </c>
      <c r="AP645" s="5">
        <v>0.33333333333333331</v>
      </c>
      <c r="AS645">
        <v>1</v>
      </c>
    </row>
    <row r="646" spans="1:45" x14ac:dyDescent="0.2">
      <c r="A646">
        <f t="shared" si="42"/>
        <v>2025</v>
      </c>
      <c r="B646">
        <f t="shared" si="43"/>
        <v>10</v>
      </c>
      <c r="C646">
        <f t="shared" si="44"/>
        <v>43</v>
      </c>
      <c r="D646" s="2">
        <f t="shared" si="45"/>
        <v>45951</v>
      </c>
      <c r="E646" s="1">
        <v>45951.375</v>
      </c>
      <c r="F646" t="s">
        <v>2170</v>
      </c>
      <c r="G646" t="s">
        <v>36</v>
      </c>
      <c r="H646">
        <v>460063</v>
      </c>
      <c r="I646" t="s">
        <v>51</v>
      </c>
      <c r="J646" t="s">
        <v>52</v>
      </c>
      <c r="M646" t="s">
        <v>40</v>
      </c>
      <c r="N646" t="s">
        <v>41</v>
      </c>
      <c r="O646" t="s">
        <v>53</v>
      </c>
      <c r="P646">
        <v>33</v>
      </c>
      <c r="Q646">
        <v>0</v>
      </c>
      <c r="R646">
        <v>0</v>
      </c>
      <c r="S646">
        <v>0</v>
      </c>
      <c r="T646" t="s">
        <v>54</v>
      </c>
      <c r="U646" t="s">
        <v>55</v>
      </c>
      <c r="W646" t="s">
        <v>2060</v>
      </c>
      <c r="Y646">
        <v>0</v>
      </c>
      <c r="AA646" t="s">
        <v>40</v>
      </c>
      <c r="AB646" t="s">
        <v>46</v>
      </c>
      <c r="AC646" t="s">
        <v>47</v>
      </c>
      <c r="AG646" t="s">
        <v>2171</v>
      </c>
      <c r="AJ646" t="s">
        <v>40</v>
      </c>
      <c r="AK646">
        <v>5019212619</v>
      </c>
      <c r="AO646" s="1">
        <v>45951</v>
      </c>
      <c r="AP646" s="5">
        <v>0.375</v>
      </c>
      <c r="AS646">
        <v>1</v>
      </c>
    </row>
    <row r="647" spans="1:45" x14ac:dyDescent="0.2">
      <c r="A647">
        <f t="shared" si="42"/>
        <v>2025</v>
      </c>
      <c r="B647">
        <f t="shared" si="43"/>
        <v>10</v>
      </c>
      <c r="C647">
        <f t="shared" si="44"/>
        <v>43</v>
      </c>
      <c r="D647" s="2">
        <f t="shared" si="45"/>
        <v>45951</v>
      </c>
      <c r="E647" s="1">
        <v>45951.375</v>
      </c>
      <c r="F647" t="s">
        <v>2172</v>
      </c>
      <c r="G647" t="s">
        <v>36</v>
      </c>
      <c r="H647" t="s">
        <v>1808</v>
      </c>
      <c r="I647" t="s">
        <v>38</v>
      </c>
      <c r="J647" t="s">
        <v>99</v>
      </c>
      <c r="M647" t="s">
        <v>40</v>
      </c>
      <c r="N647" t="s">
        <v>41</v>
      </c>
      <c r="O647" t="s">
        <v>42</v>
      </c>
      <c r="P647">
        <v>23</v>
      </c>
      <c r="Q647">
        <v>0</v>
      </c>
      <c r="R647">
        <v>0</v>
      </c>
      <c r="S647">
        <v>0</v>
      </c>
      <c r="T647" t="s">
        <v>2173</v>
      </c>
      <c r="U647" t="s">
        <v>44</v>
      </c>
      <c r="W647" t="s">
        <v>2155</v>
      </c>
      <c r="Y647">
        <v>0</v>
      </c>
      <c r="AA647" t="s">
        <v>40</v>
      </c>
      <c r="AB647" t="s">
        <v>46</v>
      </c>
      <c r="AC647" t="s">
        <v>47</v>
      </c>
      <c r="AF647" t="s">
        <v>367</v>
      </c>
      <c r="AJ647" t="s">
        <v>40</v>
      </c>
      <c r="AK647" t="s">
        <v>49</v>
      </c>
      <c r="AM647" t="s">
        <v>2174</v>
      </c>
      <c r="AN647" t="s">
        <v>2156</v>
      </c>
      <c r="AO647" s="1">
        <v>45951</v>
      </c>
      <c r="AP647" s="5">
        <v>0.375</v>
      </c>
      <c r="AS647">
        <v>1</v>
      </c>
    </row>
    <row r="648" spans="1:45" x14ac:dyDescent="0.2">
      <c r="A648">
        <f t="shared" si="42"/>
        <v>2025</v>
      </c>
      <c r="B648">
        <f t="shared" si="43"/>
        <v>10</v>
      </c>
      <c r="C648">
        <f t="shared" si="44"/>
        <v>43</v>
      </c>
      <c r="D648" s="2">
        <f t="shared" si="45"/>
        <v>45951</v>
      </c>
      <c r="E648" s="1">
        <v>45951.375</v>
      </c>
      <c r="F648" t="s">
        <v>2175</v>
      </c>
      <c r="G648" t="s">
        <v>36</v>
      </c>
      <c r="H648" t="s">
        <v>37</v>
      </c>
      <c r="I648" t="s">
        <v>38</v>
      </c>
      <c r="J648" t="s">
        <v>112</v>
      </c>
      <c r="M648" t="s">
        <v>40</v>
      </c>
      <c r="N648" t="s">
        <v>41</v>
      </c>
      <c r="O648" t="s">
        <v>42</v>
      </c>
      <c r="P648">
        <v>23</v>
      </c>
      <c r="Q648">
        <v>0</v>
      </c>
      <c r="R648">
        <v>0</v>
      </c>
      <c r="S648">
        <v>0</v>
      </c>
      <c r="T648" t="s">
        <v>2176</v>
      </c>
      <c r="U648" t="s">
        <v>44</v>
      </c>
      <c r="W648" t="s">
        <v>2169</v>
      </c>
      <c r="Y648">
        <v>0</v>
      </c>
      <c r="AA648" t="s">
        <v>40</v>
      </c>
      <c r="AB648" t="s">
        <v>46</v>
      </c>
      <c r="AC648" t="s">
        <v>47</v>
      </c>
      <c r="AF648" t="s">
        <v>48</v>
      </c>
      <c r="AJ648" t="s">
        <v>40</v>
      </c>
      <c r="AK648" t="s">
        <v>49</v>
      </c>
      <c r="AO648" s="1">
        <v>45951</v>
      </c>
      <c r="AP648" s="5">
        <v>0.375</v>
      </c>
      <c r="AS648">
        <v>1</v>
      </c>
    </row>
    <row r="649" spans="1:45" x14ac:dyDescent="0.2">
      <c r="A649">
        <f t="shared" si="42"/>
        <v>2025</v>
      </c>
      <c r="B649">
        <f t="shared" si="43"/>
        <v>10</v>
      </c>
      <c r="C649">
        <f t="shared" si="44"/>
        <v>43</v>
      </c>
      <c r="D649" s="2">
        <f t="shared" si="45"/>
        <v>45951</v>
      </c>
      <c r="E649" s="1">
        <v>45951.416666666664</v>
      </c>
      <c r="F649" t="s">
        <v>2177</v>
      </c>
      <c r="G649" t="s">
        <v>36</v>
      </c>
      <c r="H649" t="s">
        <v>1808</v>
      </c>
      <c r="I649" t="s">
        <v>38</v>
      </c>
      <c r="J649" t="s">
        <v>99</v>
      </c>
      <c r="M649" t="s">
        <v>40</v>
      </c>
      <c r="N649" t="s">
        <v>41</v>
      </c>
      <c r="O649" t="s">
        <v>42</v>
      </c>
      <c r="P649">
        <v>23</v>
      </c>
      <c r="Q649">
        <v>0</v>
      </c>
      <c r="R649">
        <v>0</v>
      </c>
      <c r="S649">
        <v>0</v>
      </c>
      <c r="T649" t="s">
        <v>2178</v>
      </c>
      <c r="U649" t="s">
        <v>44</v>
      </c>
      <c r="W649" t="s">
        <v>2155</v>
      </c>
      <c r="Y649">
        <v>0</v>
      </c>
      <c r="AA649" t="s">
        <v>40</v>
      </c>
      <c r="AB649" t="s">
        <v>46</v>
      </c>
      <c r="AC649" t="s">
        <v>47</v>
      </c>
      <c r="AF649" t="s">
        <v>367</v>
      </c>
      <c r="AJ649" t="s">
        <v>40</v>
      </c>
      <c r="AK649" t="s">
        <v>49</v>
      </c>
      <c r="AM649" t="s">
        <v>2179</v>
      </c>
      <c r="AN649" t="s">
        <v>2156</v>
      </c>
      <c r="AO649" s="1">
        <v>45951</v>
      </c>
      <c r="AP649" s="5">
        <v>0.41666666666666669</v>
      </c>
      <c r="AS649">
        <v>1</v>
      </c>
    </row>
    <row r="650" spans="1:45" x14ac:dyDescent="0.2">
      <c r="A650">
        <f t="shared" si="42"/>
        <v>2025</v>
      </c>
      <c r="B650">
        <f t="shared" si="43"/>
        <v>10</v>
      </c>
      <c r="C650">
        <f t="shared" si="44"/>
        <v>43</v>
      </c>
      <c r="D650" s="2">
        <f t="shared" si="45"/>
        <v>45951</v>
      </c>
      <c r="E650" s="1">
        <v>45951.416666666664</v>
      </c>
      <c r="F650" t="s">
        <v>2180</v>
      </c>
      <c r="G650" t="s">
        <v>36</v>
      </c>
      <c r="H650">
        <v>462612</v>
      </c>
      <c r="I650" t="s">
        <v>51</v>
      </c>
      <c r="J650" t="s">
        <v>52</v>
      </c>
      <c r="M650" t="s">
        <v>40</v>
      </c>
      <c r="N650" t="s">
        <v>41</v>
      </c>
      <c r="O650" t="s">
        <v>53</v>
      </c>
      <c r="P650">
        <v>33</v>
      </c>
      <c r="Q650">
        <v>0</v>
      </c>
      <c r="R650">
        <v>0</v>
      </c>
      <c r="S650">
        <v>0</v>
      </c>
      <c r="T650" t="s">
        <v>54</v>
      </c>
      <c r="U650" t="s">
        <v>55</v>
      </c>
      <c r="W650" t="s">
        <v>2181</v>
      </c>
      <c r="Y650">
        <v>0</v>
      </c>
      <c r="AA650" t="s">
        <v>40</v>
      </c>
      <c r="AB650" t="s">
        <v>46</v>
      </c>
      <c r="AC650" t="s">
        <v>47</v>
      </c>
      <c r="AG650" t="s">
        <v>2182</v>
      </c>
      <c r="AJ650" t="s">
        <v>40</v>
      </c>
      <c r="AK650">
        <v>5019197182</v>
      </c>
      <c r="AO650" s="1">
        <v>45951</v>
      </c>
      <c r="AP650" s="5">
        <v>0.41666666666666669</v>
      </c>
      <c r="AS650">
        <v>1</v>
      </c>
    </row>
    <row r="651" spans="1:45" x14ac:dyDescent="0.2">
      <c r="A651">
        <f t="shared" si="42"/>
        <v>2025</v>
      </c>
      <c r="B651">
        <f t="shared" si="43"/>
        <v>10</v>
      </c>
      <c r="C651">
        <f t="shared" si="44"/>
        <v>43</v>
      </c>
      <c r="D651" s="2">
        <f t="shared" si="45"/>
        <v>45951</v>
      </c>
      <c r="E651" s="1">
        <v>45951.416666666664</v>
      </c>
      <c r="F651" t="s">
        <v>2183</v>
      </c>
      <c r="G651" t="s">
        <v>36</v>
      </c>
      <c r="H651">
        <v>462284</v>
      </c>
      <c r="I651" t="s">
        <v>51</v>
      </c>
      <c r="J651" t="s">
        <v>144</v>
      </c>
      <c r="M651" t="s">
        <v>40</v>
      </c>
      <c r="N651" t="s">
        <v>41</v>
      </c>
      <c r="O651" t="s">
        <v>90</v>
      </c>
      <c r="P651">
        <v>33</v>
      </c>
      <c r="Q651">
        <v>0</v>
      </c>
      <c r="R651">
        <v>0</v>
      </c>
      <c r="S651">
        <v>0</v>
      </c>
      <c r="T651" t="s">
        <v>54</v>
      </c>
      <c r="U651" t="s">
        <v>55</v>
      </c>
      <c r="W651" t="s">
        <v>2184</v>
      </c>
      <c r="X651" t="s">
        <v>2185</v>
      </c>
      <c r="Y651">
        <v>0</v>
      </c>
      <c r="AA651" t="s">
        <v>40</v>
      </c>
      <c r="AB651" t="s">
        <v>46</v>
      </c>
      <c r="AC651" t="s">
        <v>47</v>
      </c>
      <c r="AG651" t="s">
        <v>2186</v>
      </c>
      <c r="AJ651" t="s">
        <v>40</v>
      </c>
      <c r="AK651">
        <v>5019217058</v>
      </c>
      <c r="AL651" t="s">
        <v>2187</v>
      </c>
      <c r="AM651" t="s">
        <v>2188</v>
      </c>
      <c r="AO651" s="1">
        <v>45951</v>
      </c>
      <c r="AP651" s="5">
        <v>0.41666666666666669</v>
      </c>
      <c r="AS651">
        <v>1</v>
      </c>
    </row>
    <row r="652" spans="1:45" x14ac:dyDescent="0.2">
      <c r="A652">
        <f t="shared" si="42"/>
        <v>2025</v>
      </c>
      <c r="B652">
        <f t="shared" si="43"/>
        <v>10</v>
      </c>
      <c r="C652">
        <f t="shared" si="44"/>
        <v>43</v>
      </c>
      <c r="D652" s="2">
        <f t="shared" si="45"/>
        <v>45951</v>
      </c>
      <c r="E652" s="1">
        <v>45951.458333333336</v>
      </c>
      <c r="F652" t="s">
        <v>2189</v>
      </c>
      <c r="G652" t="s">
        <v>36</v>
      </c>
      <c r="H652">
        <v>462623</v>
      </c>
      <c r="I652" t="s">
        <v>51</v>
      </c>
      <c r="J652" t="s">
        <v>52</v>
      </c>
      <c r="M652" t="s">
        <v>40</v>
      </c>
      <c r="N652" t="s">
        <v>41</v>
      </c>
      <c r="O652" t="s">
        <v>53</v>
      </c>
      <c r="P652">
        <v>33</v>
      </c>
      <c r="Q652">
        <v>0</v>
      </c>
      <c r="R652">
        <v>0</v>
      </c>
      <c r="S652">
        <v>0</v>
      </c>
      <c r="T652" t="s">
        <v>54</v>
      </c>
      <c r="U652" t="s">
        <v>55</v>
      </c>
      <c r="W652" t="s">
        <v>2181</v>
      </c>
      <c r="Y652">
        <v>0</v>
      </c>
      <c r="AA652" t="s">
        <v>40</v>
      </c>
      <c r="AB652" t="s">
        <v>46</v>
      </c>
      <c r="AC652" t="s">
        <v>47</v>
      </c>
      <c r="AG652" t="s">
        <v>2190</v>
      </c>
      <c r="AJ652" t="s">
        <v>40</v>
      </c>
      <c r="AK652">
        <v>5017331432</v>
      </c>
      <c r="AO652" s="1">
        <v>45951</v>
      </c>
      <c r="AP652" s="5">
        <v>0.45833333333333331</v>
      </c>
      <c r="AS652">
        <v>1</v>
      </c>
    </row>
    <row r="653" spans="1:45" x14ac:dyDescent="0.2">
      <c r="A653">
        <f t="shared" si="42"/>
        <v>2025</v>
      </c>
      <c r="B653">
        <f t="shared" si="43"/>
        <v>10</v>
      </c>
      <c r="C653">
        <f t="shared" si="44"/>
        <v>43</v>
      </c>
      <c r="D653" s="2">
        <f t="shared" si="45"/>
        <v>45951</v>
      </c>
      <c r="E653" s="1">
        <v>45951.458333333336</v>
      </c>
      <c r="F653" t="s">
        <v>2191</v>
      </c>
      <c r="G653" t="s">
        <v>36</v>
      </c>
      <c r="H653">
        <v>460054</v>
      </c>
      <c r="I653" t="s">
        <v>51</v>
      </c>
      <c r="J653" t="s">
        <v>52</v>
      </c>
      <c r="M653" t="s">
        <v>40</v>
      </c>
      <c r="N653" t="s">
        <v>41</v>
      </c>
      <c r="O653" t="s">
        <v>53</v>
      </c>
      <c r="P653">
        <v>33</v>
      </c>
      <c r="Q653">
        <v>0</v>
      </c>
      <c r="R653">
        <v>0</v>
      </c>
      <c r="S653">
        <v>0</v>
      </c>
      <c r="T653" t="s">
        <v>54</v>
      </c>
      <c r="U653" t="s">
        <v>55</v>
      </c>
      <c r="W653" t="s">
        <v>2060</v>
      </c>
      <c r="Y653">
        <v>0</v>
      </c>
      <c r="AA653" t="s">
        <v>40</v>
      </c>
      <c r="AB653" t="s">
        <v>46</v>
      </c>
      <c r="AC653" t="s">
        <v>47</v>
      </c>
      <c r="AG653" t="s">
        <v>2192</v>
      </c>
      <c r="AJ653" t="s">
        <v>40</v>
      </c>
      <c r="AK653">
        <v>5019209029</v>
      </c>
      <c r="AO653" s="1">
        <v>45951</v>
      </c>
      <c r="AP653" s="5">
        <v>0.45833333333333331</v>
      </c>
      <c r="AS653">
        <v>1</v>
      </c>
    </row>
    <row r="654" spans="1:45" x14ac:dyDescent="0.2">
      <c r="A654">
        <f t="shared" si="42"/>
        <v>2025</v>
      </c>
      <c r="B654">
        <f t="shared" si="43"/>
        <v>10</v>
      </c>
      <c r="C654">
        <f t="shared" si="44"/>
        <v>43</v>
      </c>
      <c r="D654" s="2">
        <f t="shared" si="45"/>
        <v>45951</v>
      </c>
      <c r="E654" s="1">
        <v>45951.458333333336</v>
      </c>
      <c r="F654" t="s">
        <v>2193</v>
      </c>
      <c r="G654" t="s">
        <v>36</v>
      </c>
      <c r="H654" t="s">
        <v>1808</v>
      </c>
      <c r="I654" t="s">
        <v>38</v>
      </c>
      <c r="J654" t="s">
        <v>99</v>
      </c>
      <c r="M654" t="s">
        <v>40</v>
      </c>
      <c r="N654" t="s">
        <v>41</v>
      </c>
      <c r="O654" t="s">
        <v>42</v>
      </c>
      <c r="P654">
        <v>23</v>
      </c>
      <c r="Q654">
        <v>0</v>
      </c>
      <c r="R654">
        <v>0</v>
      </c>
      <c r="S654">
        <v>0</v>
      </c>
      <c r="T654" t="s">
        <v>2194</v>
      </c>
      <c r="U654" t="s">
        <v>44</v>
      </c>
      <c r="W654" t="s">
        <v>2155</v>
      </c>
      <c r="Y654">
        <v>0</v>
      </c>
      <c r="AA654" t="s">
        <v>40</v>
      </c>
      <c r="AB654" t="s">
        <v>46</v>
      </c>
      <c r="AC654" t="s">
        <v>47</v>
      </c>
      <c r="AF654" t="s">
        <v>367</v>
      </c>
      <c r="AJ654" t="s">
        <v>40</v>
      </c>
      <c r="AK654" t="s">
        <v>49</v>
      </c>
      <c r="AM654" t="s">
        <v>2195</v>
      </c>
      <c r="AN654" t="s">
        <v>2156</v>
      </c>
      <c r="AO654" s="1">
        <v>45951</v>
      </c>
      <c r="AP654" s="5">
        <v>0.45833333333333331</v>
      </c>
      <c r="AS654">
        <v>1</v>
      </c>
    </row>
    <row r="655" spans="1:45" x14ac:dyDescent="0.2">
      <c r="A655">
        <f t="shared" si="42"/>
        <v>2025</v>
      </c>
      <c r="B655">
        <f t="shared" si="43"/>
        <v>10</v>
      </c>
      <c r="C655">
        <f t="shared" si="44"/>
        <v>43</v>
      </c>
      <c r="D655" s="2">
        <f t="shared" si="45"/>
        <v>45951</v>
      </c>
      <c r="E655" s="1">
        <v>45951.5</v>
      </c>
      <c r="F655" t="s">
        <v>2196</v>
      </c>
      <c r="G655" t="s">
        <v>36</v>
      </c>
      <c r="H655" t="s">
        <v>106</v>
      </c>
      <c r="I655" t="s">
        <v>38</v>
      </c>
      <c r="J655" t="s">
        <v>107</v>
      </c>
      <c r="M655" t="s">
        <v>40</v>
      </c>
      <c r="N655" t="s">
        <v>41</v>
      </c>
      <c r="O655" t="s">
        <v>42</v>
      </c>
      <c r="P655">
        <v>33</v>
      </c>
      <c r="Q655">
        <v>0</v>
      </c>
      <c r="R655">
        <v>0</v>
      </c>
      <c r="S655">
        <v>0</v>
      </c>
      <c r="T655">
        <v>5019209880</v>
      </c>
      <c r="U655" t="s">
        <v>44</v>
      </c>
      <c r="W655" t="s">
        <v>2197</v>
      </c>
      <c r="Y655">
        <v>0</v>
      </c>
      <c r="AA655" t="s">
        <v>40</v>
      </c>
      <c r="AB655" t="s">
        <v>46</v>
      </c>
      <c r="AC655" t="s">
        <v>47</v>
      </c>
      <c r="AF655" t="s">
        <v>109</v>
      </c>
      <c r="AJ655" t="s">
        <v>40</v>
      </c>
      <c r="AK655" t="s">
        <v>49</v>
      </c>
      <c r="AO655" s="1">
        <v>45951</v>
      </c>
      <c r="AP655" s="5">
        <v>0.5</v>
      </c>
      <c r="AS655">
        <v>1</v>
      </c>
    </row>
    <row r="656" spans="1:45" x14ac:dyDescent="0.2">
      <c r="A656">
        <f t="shared" si="42"/>
        <v>2025</v>
      </c>
      <c r="B656">
        <f t="shared" si="43"/>
        <v>10</v>
      </c>
      <c r="C656">
        <f t="shared" si="44"/>
        <v>43</v>
      </c>
      <c r="D656" s="2">
        <f t="shared" si="45"/>
        <v>45951</v>
      </c>
      <c r="E656" s="1">
        <v>45951.5</v>
      </c>
      <c r="F656" t="s">
        <v>2198</v>
      </c>
      <c r="G656" t="s">
        <v>36</v>
      </c>
      <c r="H656" t="s">
        <v>1808</v>
      </c>
      <c r="I656" t="s">
        <v>38</v>
      </c>
      <c r="J656" t="s">
        <v>99</v>
      </c>
      <c r="M656" t="s">
        <v>40</v>
      </c>
      <c r="N656" t="s">
        <v>41</v>
      </c>
      <c r="O656" t="s">
        <v>42</v>
      </c>
      <c r="P656">
        <v>23</v>
      </c>
      <c r="Q656">
        <v>0</v>
      </c>
      <c r="R656">
        <v>0</v>
      </c>
      <c r="S656">
        <v>0</v>
      </c>
      <c r="T656" t="s">
        <v>2199</v>
      </c>
      <c r="U656" t="s">
        <v>44</v>
      </c>
      <c r="W656" t="s">
        <v>2155</v>
      </c>
      <c r="Y656">
        <v>0</v>
      </c>
      <c r="AA656" t="s">
        <v>40</v>
      </c>
      <c r="AB656" t="s">
        <v>46</v>
      </c>
      <c r="AC656" t="s">
        <v>47</v>
      </c>
      <c r="AF656" t="s">
        <v>367</v>
      </c>
      <c r="AJ656" t="s">
        <v>40</v>
      </c>
      <c r="AK656" t="s">
        <v>49</v>
      </c>
      <c r="AM656" t="s">
        <v>2200</v>
      </c>
      <c r="AN656" t="s">
        <v>2156</v>
      </c>
      <c r="AO656" s="1">
        <v>45951</v>
      </c>
      <c r="AP656" s="5">
        <v>0.5</v>
      </c>
      <c r="AS656">
        <v>1</v>
      </c>
    </row>
    <row r="657" spans="1:45" x14ac:dyDescent="0.2">
      <c r="A657">
        <f t="shared" si="42"/>
        <v>2025</v>
      </c>
      <c r="B657">
        <f t="shared" si="43"/>
        <v>10</v>
      </c>
      <c r="C657">
        <f t="shared" si="44"/>
        <v>43</v>
      </c>
      <c r="D657" s="2">
        <f t="shared" si="45"/>
        <v>45951</v>
      </c>
      <c r="E657" s="1">
        <v>45951.5</v>
      </c>
      <c r="F657" t="s">
        <v>2201</v>
      </c>
      <c r="G657" t="s">
        <v>36</v>
      </c>
      <c r="H657">
        <v>460053</v>
      </c>
      <c r="I657" t="s">
        <v>51</v>
      </c>
      <c r="J657" t="s">
        <v>52</v>
      </c>
      <c r="M657" t="s">
        <v>40</v>
      </c>
      <c r="N657" t="s">
        <v>41</v>
      </c>
      <c r="O657" t="s">
        <v>53</v>
      </c>
      <c r="P657">
        <v>33</v>
      </c>
      <c r="Q657">
        <v>0</v>
      </c>
      <c r="R657">
        <v>0</v>
      </c>
      <c r="S657">
        <v>0</v>
      </c>
      <c r="T657" t="s">
        <v>54</v>
      </c>
      <c r="U657" t="s">
        <v>55</v>
      </c>
      <c r="W657" t="s">
        <v>2060</v>
      </c>
      <c r="Y657">
        <v>0</v>
      </c>
      <c r="AA657" t="s">
        <v>40</v>
      </c>
      <c r="AB657" t="s">
        <v>46</v>
      </c>
      <c r="AC657" t="s">
        <v>47</v>
      </c>
      <c r="AG657" t="s">
        <v>2202</v>
      </c>
      <c r="AJ657" t="s">
        <v>40</v>
      </c>
      <c r="AK657">
        <v>5019220967</v>
      </c>
      <c r="AO657" s="1">
        <v>45951</v>
      </c>
      <c r="AP657" s="5">
        <v>0.5</v>
      </c>
      <c r="AS657">
        <v>1</v>
      </c>
    </row>
    <row r="658" spans="1:45" x14ac:dyDescent="0.2">
      <c r="A658">
        <f t="shared" si="42"/>
        <v>2025</v>
      </c>
      <c r="B658">
        <f t="shared" si="43"/>
        <v>10</v>
      </c>
      <c r="C658">
        <f t="shared" si="44"/>
        <v>43</v>
      </c>
      <c r="D658" s="2">
        <f t="shared" si="45"/>
        <v>45951</v>
      </c>
      <c r="E658" s="1">
        <v>45951.5</v>
      </c>
      <c r="F658" t="s">
        <v>2203</v>
      </c>
      <c r="G658" t="s">
        <v>36</v>
      </c>
      <c r="H658" t="s">
        <v>2204</v>
      </c>
      <c r="I658" t="s">
        <v>78</v>
      </c>
      <c r="J658" t="s">
        <v>713</v>
      </c>
      <c r="M658" t="s">
        <v>40</v>
      </c>
      <c r="N658" t="s">
        <v>41</v>
      </c>
      <c r="O658" t="s">
        <v>714</v>
      </c>
      <c r="P658">
        <v>66</v>
      </c>
      <c r="Q658">
        <v>0</v>
      </c>
      <c r="R658">
        <v>0</v>
      </c>
      <c r="S658">
        <v>0</v>
      </c>
      <c r="T658" t="s">
        <v>54</v>
      </c>
      <c r="U658" t="s">
        <v>55</v>
      </c>
      <c r="W658" t="s">
        <v>2205</v>
      </c>
      <c r="Y658">
        <v>0</v>
      </c>
      <c r="AA658" t="s">
        <v>40</v>
      </c>
      <c r="AB658" t="s">
        <v>46</v>
      </c>
      <c r="AC658" t="s">
        <v>47</v>
      </c>
      <c r="AD658" t="s">
        <v>81</v>
      </c>
      <c r="AE658" t="s">
        <v>81</v>
      </c>
      <c r="AG658" t="s">
        <v>2206</v>
      </c>
      <c r="AJ658" t="s">
        <v>40</v>
      </c>
      <c r="AK658" t="s">
        <v>2207</v>
      </c>
      <c r="AO658" s="1">
        <v>45951</v>
      </c>
      <c r="AP658" s="5">
        <v>0.5</v>
      </c>
      <c r="AS658">
        <v>1</v>
      </c>
    </row>
    <row r="659" spans="1:45" x14ac:dyDescent="0.2">
      <c r="A659">
        <f t="shared" si="42"/>
        <v>2025</v>
      </c>
      <c r="B659">
        <f t="shared" si="43"/>
        <v>10</v>
      </c>
      <c r="C659">
        <f t="shared" si="44"/>
        <v>43</v>
      </c>
      <c r="D659" s="2">
        <f t="shared" si="45"/>
        <v>45951</v>
      </c>
      <c r="E659" s="1">
        <v>45951.541666666664</v>
      </c>
      <c r="F659" t="s">
        <v>2208</v>
      </c>
      <c r="G659" t="s">
        <v>36</v>
      </c>
      <c r="H659">
        <v>460037</v>
      </c>
      <c r="I659" t="s">
        <v>51</v>
      </c>
      <c r="J659" t="s">
        <v>154</v>
      </c>
      <c r="M659" t="s">
        <v>40</v>
      </c>
      <c r="N659" t="s">
        <v>41</v>
      </c>
      <c r="O659" t="s">
        <v>53</v>
      </c>
      <c r="P659">
        <v>33</v>
      </c>
      <c r="Q659">
        <v>0</v>
      </c>
      <c r="R659">
        <v>0</v>
      </c>
      <c r="S659">
        <v>0</v>
      </c>
      <c r="T659" t="s">
        <v>54</v>
      </c>
      <c r="U659" t="s">
        <v>55</v>
      </c>
      <c r="W659" t="s">
        <v>2209</v>
      </c>
      <c r="Y659">
        <v>0</v>
      </c>
      <c r="AA659" t="s">
        <v>40</v>
      </c>
      <c r="AB659" t="s">
        <v>46</v>
      </c>
      <c r="AC659" t="s">
        <v>47</v>
      </c>
      <c r="AG659" t="s">
        <v>2210</v>
      </c>
      <c r="AJ659" t="s">
        <v>40</v>
      </c>
      <c r="AK659">
        <v>5019220259</v>
      </c>
      <c r="AO659" s="1">
        <v>45951</v>
      </c>
      <c r="AP659" s="5">
        <v>0.54166666666666663</v>
      </c>
      <c r="AS659">
        <v>1</v>
      </c>
    </row>
    <row r="660" spans="1:45" x14ac:dyDescent="0.2">
      <c r="A660">
        <f t="shared" si="42"/>
        <v>2025</v>
      </c>
      <c r="B660">
        <f t="shared" si="43"/>
        <v>10</v>
      </c>
      <c r="C660">
        <f t="shared" si="44"/>
        <v>43</v>
      </c>
      <c r="D660" s="2">
        <f t="shared" si="45"/>
        <v>45951</v>
      </c>
      <c r="E660" s="1">
        <v>45951.541666666664</v>
      </c>
      <c r="F660" t="s">
        <v>2211</v>
      </c>
      <c r="G660" t="s">
        <v>36</v>
      </c>
      <c r="H660" t="s">
        <v>626</v>
      </c>
      <c r="I660" t="s">
        <v>38</v>
      </c>
      <c r="J660" t="s">
        <v>451</v>
      </c>
      <c r="M660" t="s">
        <v>40</v>
      </c>
      <c r="N660" t="s">
        <v>41</v>
      </c>
      <c r="O660" t="s">
        <v>42</v>
      </c>
      <c r="P660">
        <v>23</v>
      </c>
      <c r="Q660">
        <v>0</v>
      </c>
      <c r="R660">
        <v>0</v>
      </c>
      <c r="S660">
        <v>0</v>
      </c>
      <c r="T660" t="s">
        <v>2212</v>
      </c>
      <c r="U660" t="s">
        <v>44</v>
      </c>
      <c r="W660" t="s">
        <v>2169</v>
      </c>
      <c r="Y660">
        <v>0</v>
      </c>
      <c r="AA660" t="s">
        <v>40</v>
      </c>
      <c r="AB660" t="s">
        <v>46</v>
      </c>
      <c r="AC660" t="s">
        <v>47</v>
      </c>
      <c r="AF660" t="s">
        <v>48</v>
      </c>
      <c r="AJ660" t="s">
        <v>40</v>
      </c>
      <c r="AK660" t="s">
        <v>49</v>
      </c>
      <c r="AO660" s="1">
        <v>45951</v>
      </c>
      <c r="AP660" s="5">
        <v>0.54166666666666663</v>
      </c>
      <c r="AS660">
        <v>1</v>
      </c>
    </row>
    <row r="661" spans="1:45" x14ac:dyDescent="0.2">
      <c r="A661">
        <f t="shared" si="42"/>
        <v>2025</v>
      </c>
      <c r="B661">
        <f t="shared" si="43"/>
        <v>10</v>
      </c>
      <c r="C661">
        <f t="shared" si="44"/>
        <v>43</v>
      </c>
      <c r="D661" s="2">
        <f t="shared" si="45"/>
        <v>45951</v>
      </c>
      <c r="E661" s="1">
        <v>45951.541666666664</v>
      </c>
      <c r="F661" t="s">
        <v>2213</v>
      </c>
      <c r="G661" t="s">
        <v>36</v>
      </c>
      <c r="H661" t="s">
        <v>2214</v>
      </c>
      <c r="I661" t="s">
        <v>38</v>
      </c>
      <c r="J661" t="s">
        <v>99</v>
      </c>
      <c r="M661" t="s">
        <v>40</v>
      </c>
      <c r="N661" t="s">
        <v>41</v>
      </c>
      <c r="O661" t="s">
        <v>42</v>
      </c>
      <c r="P661">
        <v>10</v>
      </c>
      <c r="Q661">
        <v>0</v>
      </c>
      <c r="R661">
        <v>0</v>
      </c>
      <c r="S661">
        <v>0</v>
      </c>
      <c r="T661" t="s">
        <v>2215</v>
      </c>
      <c r="U661" t="s">
        <v>101</v>
      </c>
      <c r="W661" t="s">
        <v>2155</v>
      </c>
      <c r="Y661">
        <v>0</v>
      </c>
      <c r="AA661" t="s">
        <v>40</v>
      </c>
      <c r="AB661" t="s">
        <v>46</v>
      </c>
      <c r="AC661" t="s">
        <v>47</v>
      </c>
      <c r="AF661" t="s">
        <v>367</v>
      </c>
      <c r="AJ661" t="s">
        <v>40</v>
      </c>
      <c r="AK661" t="s">
        <v>49</v>
      </c>
      <c r="AM661" t="s">
        <v>2216</v>
      </c>
      <c r="AN661" t="s">
        <v>2217</v>
      </c>
      <c r="AO661" s="1">
        <v>45951</v>
      </c>
      <c r="AP661" s="5">
        <v>0.54166666666666663</v>
      </c>
      <c r="AS661">
        <v>1</v>
      </c>
    </row>
    <row r="662" spans="1:45" x14ac:dyDescent="0.2">
      <c r="A662">
        <f t="shared" si="42"/>
        <v>2025</v>
      </c>
      <c r="B662">
        <f t="shared" si="43"/>
        <v>10</v>
      </c>
      <c r="C662">
        <f t="shared" si="44"/>
        <v>43</v>
      </c>
      <c r="D662" s="2">
        <f t="shared" si="45"/>
        <v>45951</v>
      </c>
      <c r="E662" s="1">
        <v>45951.541666666664</v>
      </c>
      <c r="F662" t="s">
        <v>2218</v>
      </c>
      <c r="G662" t="s">
        <v>36</v>
      </c>
      <c r="H662">
        <v>462619</v>
      </c>
      <c r="I662" t="s">
        <v>51</v>
      </c>
      <c r="J662" t="s">
        <v>52</v>
      </c>
      <c r="M662" t="s">
        <v>40</v>
      </c>
      <c r="N662" t="s">
        <v>41</v>
      </c>
      <c r="O662" t="s">
        <v>53</v>
      </c>
      <c r="P662">
        <v>33</v>
      </c>
      <c r="Q662">
        <v>0</v>
      </c>
      <c r="R662">
        <v>0</v>
      </c>
      <c r="S662">
        <v>0</v>
      </c>
      <c r="T662" t="s">
        <v>54</v>
      </c>
      <c r="U662" t="s">
        <v>55</v>
      </c>
      <c r="W662" t="s">
        <v>2060</v>
      </c>
      <c r="Y662">
        <v>0</v>
      </c>
      <c r="AA662" t="s">
        <v>40</v>
      </c>
      <c r="AB662" t="s">
        <v>46</v>
      </c>
      <c r="AC662" t="s">
        <v>47</v>
      </c>
      <c r="AG662" t="s">
        <v>2219</v>
      </c>
      <c r="AJ662" t="s">
        <v>40</v>
      </c>
      <c r="AK662">
        <v>5019212620</v>
      </c>
      <c r="AO662" s="1">
        <v>45951</v>
      </c>
      <c r="AP662" s="5">
        <v>0.54166666666666663</v>
      </c>
      <c r="AS662">
        <v>1</v>
      </c>
    </row>
    <row r="663" spans="1:45" x14ac:dyDescent="0.2">
      <c r="A663">
        <f t="shared" si="42"/>
        <v>2025</v>
      </c>
      <c r="B663">
        <f t="shared" si="43"/>
        <v>10</v>
      </c>
      <c r="C663">
        <f t="shared" si="44"/>
        <v>43</v>
      </c>
      <c r="D663" s="2">
        <f t="shared" si="45"/>
        <v>45951</v>
      </c>
      <c r="E663" s="1">
        <v>45951.541666666664</v>
      </c>
      <c r="F663" t="s">
        <v>2220</v>
      </c>
      <c r="G663" t="s">
        <v>36</v>
      </c>
      <c r="H663">
        <v>457356</v>
      </c>
      <c r="I663" t="s">
        <v>51</v>
      </c>
      <c r="J663" t="s">
        <v>144</v>
      </c>
      <c r="M663" t="s">
        <v>40</v>
      </c>
      <c r="N663" t="s">
        <v>41</v>
      </c>
      <c r="O663" t="s">
        <v>155</v>
      </c>
      <c r="P663">
        <v>33</v>
      </c>
      <c r="Q663">
        <v>0</v>
      </c>
      <c r="R663">
        <v>0</v>
      </c>
      <c r="S663">
        <v>0</v>
      </c>
      <c r="T663" t="s">
        <v>54</v>
      </c>
      <c r="U663" t="s">
        <v>55</v>
      </c>
      <c r="W663" t="s">
        <v>2221</v>
      </c>
      <c r="Y663">
        <v>0</v>
      </c>
      <c r="AA663" t="s">
        <v>40</v>
      </c>
      <c r="AB663" t="s">
        <v>46</v>
      </c>
      <c r="AC663" t="s">
        <v>47</v>
      </c>
      <c r="AG663" t="s">
        <v>2222</v>
      </c>
      <c r="AJ663" t="s">
        <v>40</v>
      </c>
      <c r="AK663">
        <v>5019209943</v>
      </c>
      <c r="AO663" s="1">
        <v>45951</v>
      </c>
      <c r="AP663" s="5">
        <v>0.54166666666666663</v>
      </c>
      <c r="AS663">
        <v>1</v>
      </c>
    </row>
    <row r="664" spans="1:45" x14ac:dyDescent="0.2">
      <c r="A664">
        <f t="shared" si="42"/>
        <v>2025</v>
      </c>
      <c r="B664">
        <f t="shared" si="43"/>
        <v>10</v>
      </c>
      <c r="C664">
        <f t="shared" si="44"/>
        <v>43</v>
      </c>
      <c r="D664" s="2">
        <f t="shared" si="45"/>
        <v>45951</v>
      </c>
      <c r="E664" s="1">
        <v>45951.583333333336</v>
      </c>
      <c r="F664" t="s">
        <v>2223</v>
      </c>
      <c r="G664" t="s">
        <v>36</v>
      </c>
      <c r="H664" t="s">
        <v>2015</v>
      </c>
      <c r="I664" t="s">
        <v>38</v>
      </c>
      <c r="J664" t="s">
        <v>451</v>
      </c>
      <c r="M664" t="s">
        <v>40</v>
      </c>
      <c r="N664" t="s">
        <v>41</v>
      </c>
      <c r="O664" t="s">
        <v>42</v>
      </c>
      <c r="P664">
        <v>13</v>
      </c>
      <c r="Q664">
        <v>0</v>
      </c>
      <c r="R664">
        <v>0</v>
      </c>
      <c r="S664">
        <v>0</v>
      </c>
      <c r="T664" t="s">
        <v>2224</v>
      </c>
      <c r="U664" t="s">
        <v>44</v>
      </c>
      <c r="W664" t="s">
        <v>2225</v>
      </c>
      <c r="Y664">
        <v>0</v>
      </c>
      <c r="AA664" t="s">
        <v>40</v>
      </c>
      <c r="AB664" t="s">
        <v>46</v>
      </c>
      <c r="AC664" t="s">
        <v>47</v>
      </c>
      <c r="AF664" t="s">
        <v>454</v>
      </c>
      <c r="AJ664" t="s">
        <v>40</v>
      </c>
      <c r="AK664" t="s">
        <v>49</v>
      </c>
      <c r="AO664" s="1">
        <v>45951</v>
      </c>
      <c r="AP664" s="5">
        <v>0.58333333333333337</v>
      </c>
      <c r="AS664">
        <v>1</v>
      </c>
    </row>
    <row r="665" spans="1:45" x14ac:dyDescent="0.2">
      <c r="A665">
        <f t="shared" si="42"/>
        <v>2025</v>
      </c>
      <c r="B665">
        <f t="shared" si="43"/>
        <v>10</v>
      </c>
      <c r="C665">
        <f t="shared" si="44"/>
        <v>43</v>
      </c>
      <c r="D665" s="2">
        <f t="shared" si="45"/>
        <v>45951</v>
      </c>
      <c r="E665" s="1">
        <v>45951.583333333336</v>
      </c>
      <c r="F665" t="s">
        <v>2226</v>
      </c>
      <c r="G665" t="s">
        <v>36</v>
      </c>
      <c r="H665" t="s">
        <v>111</v>
      </c>
      <c r="I665" t="s">
        <v>38</v>
      </c>
      <c r="J665" t="s">
        <v>99</v>
      </c>
      <c r="M665" t="s">
        <v>40</v>
      </c>
      <c r="N665" t="s">
        <v>41</v>
      </c>
      <c r="O665" t="s">
        <v>42</v>
      </c>
      <c r="P665">
        <v>6</v>
      </c>
      <c r="Q665">
        <v>0</v>
      </c>
      <c r="R665">
        <v>0</v>
      </c>
      <c r="S665">
        <v>0</v>
      </c>
      <c r="T665" t="s">
        <v>2227</v>
      </c>
      <c r="U665" t="s">
        <v>101</v>
      </c>
      <c r="W665" t="s">
        <v>2169</v>
      </c>
      <c r="Y665">
        <v>0</v>
      </c>
      <c r="AA665" t="s">
        <v>40</v>
      </c>
      <c r="AB665" t="s">
        <v>46</v>
      </c>
      <c r="AC665" t="s">
        <v>47</v>
      </c>
      <c r="AF665" t="s">
        <v>48</v>
      </c>
      <c r="AJ665" t="s">
        <v>40</v>
      </c>
      <c r="AK665" t="s">
        <v>49</v>
      </c>
      <c r="AO665" s="1">
        <v>45951</v>
      </c>
      <c r="AP665" s="5">
        <v>0.58333333333333337</v>
      </c>
      <c r="AS665">
        <v>1</v>
      </c>
    </row>
    <row r="666" spans="1:45" x14ac:dyDescent="0.2">
      <c r="A666">
        <f t="shared" si="42"/>
        <v>2025</v>
      </c>
      <c r="B666">
        <f t="shared" si="43"/>
        <v>10</v>
      </c>
      <c r="C666">
        <f t="shared" si="44"/>
        <v>43</v>
      </c>
      <c r="D666" s="2">
        <f t="shared" si="45"/>
        <v>45951</v>
      </c>
      <c r="E666" s="1">
        <v>45951.583333333336</v>
      </c>
      <c r="F666" t="s">
        <v>2228</v>
      </c>
      <c r="G666" t="s">
        <v>36</v>
      </c>
      <c r="H666" t="s">
        <v>2229</v>
      </c>
      <c r="I666" t="s">
        <v>78</v>
      </c>
      <c r="J666" t="s">
        <v>188</v>
      </c>
      <c r="M666" t="s">
        <v>40</v>
      </c>
      <c r="N666" t="s">
        <v>41</v>
      </c>
      <c r="O666" t="s">
        <v>195</v>
      </c>
      <c r="P666">
        <v>66</v>
      </c>
      <c r="Q666">
        <v>0</v>
      </c>
      <c r="R666">
        <v>0</v>
      </c>
      <c r="S666">
        <v>0</v>
      </c>
      <c r="T666" t="s">
        <v>54</v>
      </c>
      <c r="U666" t="s">
        <v>55</v>
      </c>
      <c r="W666" t="s">
        <v>2169</v>
      </c>
      <c r="Y666">
        <v>0</v>
      </c>
      <c r="AA666" t="s">
        <v>40</v>
      </c>
      <c r="AB666" t="s">
        <v>46</v>
      </c>
      <c r="AC666" t="s">
        <v>47</v>
      </c>
      <c r="AD666" t="s">
        <v>81</v>
      </c>
      <c r="AE666" t="s">
        <v>81</v>
      </c>
      <c r="AG666" t="s">
        <v>2230</v>
      </c>
      <c r="AJ666" t="s">
        <v>40</v>
      </c>
      <c r="AK666" t="s">
        <v>2231</v>
      </c>
      <c r="AO666" s="1">
        <v>45951</v>
      </c>
      <c r="AP666" s="5">
        <v>0.58333333333333337</v>
      </c>
      <c r="AS666">
        <v>1</v>
      </c>
    </row>
    <row r="667" spans="1:45" x14ac:dyDescent="0.2">
      <c r="A667">
        <f t="shared" si="42"/>
        <v>2025</v>
      </c>
      <c r="B667">
        <f t="shared" si="43"/>
        <v>10</v>
      </c>
      <c r="C667">
        <f t="shared" si="44"/>
        <v>43</v>
      </c>
      <c r="D667" s="2">
        <f t="shared" si="45"/>
        <v>45951</v>
      </c>
      <c r="E667" s="1">
        <v>45951.583333333336</v>
      </c>
      <c r="F667" t="s">
        <v>2232</v>
      </c>
      <c r="G667" t="s">
        <v>36</v>
      </c>
      <c r="H667" t="s">
        <v>2001</v>
      </c>
      <c r="I667" t="s">
        <v>38</v>
      </c>
      <c r="J667" t="s">
        <v>880</v>
      </c>
      <c r="M667" t="s">
        <v>40</v>
      </c>
      <c r="N667" t="s">
        <v>41</v>
      </c>
      <c r="O667" t="s">
        <v>42</v>
      </c>
      <c r="P667">
        <v>18</v>
      </c>
      <c r="Q667">
        <v>0</v>
      </c>
      <c r="R667">
        <v>0</v>
      </c>
      <c r="S667">
        <v>0</v>
      </c>
      <c r="T667">
        <v>5019111153</v>
      </c>
      <c r="U667" t="s">
        <v>44</v>
      </c>
      <c r="W667" t="s">
        <v>2197</v>
      </c>
      <c r="Y667">
        <v>0</v>
      </c>
      <c r="AA667" t="s">
        <v>40</v>
      </c>
      <c r="AB667" t="s">
        <v>46</v>
      </c>
      <c r="AC667" t="s">
        <v>47</v>
      </c>
      <c r="AF667" t="s">
        <v>882</v>
      </c>
      <c r="AJ667" t="s">
        <v>40</v>
      </c>
      <c r="AK667" t="s">
        <v>49</v>
      </c>
      <c r="AO667" s="1">
        <v>45951</v>
      </c>
      <c r="AP667" s="5">
        <v>0.58333333333333337</v>
      </c>
      <c r="AS667">
        <v>1</v>
      </c>
    </row>
    <row r="668" spans="1:45" x14ac:dyDescent="0.2">
      <c r="A668">
        <f t="shared" si="42"/>
        <v>2025</v>
      </c>
      <c r="B668">
        <f t="shared" si="43"/>
        <v>10</v>
      </c>
      <c r="C668">
        <f t="shared" si="44"/>
        <v>43</v>
      </c>
      <c r="D668" s="2">
        <f t="shared" si="45"/>
        <v>45951</v>
      </c>
      <c r="E668" s="1">
        <v>45951.625</v>
      </c>
      <c r="F668" t="s">
        <v>2233</v>
      </c>
      <c r="G668" t="s">
        <v>36</v>
      </c>
      <c r="H668" t="s">
        <v>2234</v>
      </c>
      <c r="I668" t="s">
        <v>38</v>
      </c>
      <c r="J668" t="s">
        <v>99</v>
      </c>
      <c r="M668" t="s">
        <v>40</v>
      </c>
      <c r="N668" t="s">
        <v>41</v>
      </c>
      <c r="O668" t="s">
        <v>42</v>
      </c>
      <c r="P668">
        <v>10</v>
      </c>
      <c r="Q668">
        <v>0</v>
      </c>
      <c r="R668">
        <v>0</v>
      </c>
      <c r="S668">
        <v>0</v>
      </c>
      <c r="T668" t="s">
        <v>2235</v>
      </c>
      <c r="U668" t="s">
        <v>101</v>
      </c>
      <c r="W668" t="s">
        <v>2155</v>
      </c>
      <c r="Y668">
        <v>0</v>
      </c>
      <c r="AA668" t="s">
        <v>40</v>
      </c>
      <c r="AB668" t="s">
        <v>46</v>
      </c>
      <c r="AC668" t="s">
        <v>47</v>
      </c>
      <c r="AF668" t="s">
        <v>367</v>
      </c>
      <c r="AJ668" t="s">
        <v>40</v>
      </c>
      <c r="AK668" t="s">
        <v>49</v>
      </c>
      <c r="AM668" t="s">
        <v>2236</v>
      </c>
      <c r="AN668" t="s">
        <v>2237</v>
      </c>
      <c r="AO668" s="1">
        <v>45951</v>
      </c>
      <c r="AP668" s="5">
        <v>0.625</v>
      </c>
      <c r="AS668">
        <v>1</v>
      </c>
    </row>
    <row r="669" spans="1:45" x14ac:dyDescent="0.2">
      <c r="A669">
        <f t="shared" si="42"/>
        <v>2025</v>
      </c>
      <c r="B669">
        <f t="shared" si="43"/>
        <v>10</v>
      </c>
      <c r="C669">
        <f t="shared" si="44"/>
        <v>43</v>
      </c>
      <c r="D669" s="2">
        <f t="shared" si="45"/>
        <v>45951</v>
      </c>
      <c r="E669" s="1">
        <v>45951.625</v>
      </c>
      <c r="F669" t="s">
        <v>2238</v>
      </c>
      <c r="G669" t="s">
        <v>36</v>
      </c>
      <c r="H669" t="s">
        <v>626</v>
      </c>
      <c r="I669" t="s">
        <v>38</v>
      </c>
      <c r="J669" t="s">
        <v>451</v>
      </c>
      <c r="M669" t="s">
        <v>40</v>
      </c>
      <c r="N669" t="s">
        <v>41</v>
      </c>
      <c r="O669" t="s">
        <v>42</v>
      </c>
      <c r="P669">
        <v>23</v>
      </c>
      <c r="Q669">
        <v>0</v>
      </c>
      <c r="R669">
        <v>0</v>
      </c>
      <c r="S669">
        <v>0</v>
      </c>
      <c r="T669" t="s">
        <v>2239</v>
      </c>
      <c r="U669" t="s">
        <v>44</v>
      </c>
      <c r="W669" t="s">
        <v>2169</v>
      </c>
      <c r="Y669">
        <v>0</v>
      </c>
      <c r="AA669" t="s">
        <v>40</v>
      </c>
      <c r="AB669" t="s">
        <v>46</v>
      </c>
      <c r="AC669" t="s">
        <v>47</v>
      </c>
      <c r="AF669" t="s">
        <v>48</v>
      </c>
      <c r="AJ669" t="s">
        <v>40</v>
      </c>
      <c r="AK669" t="s">
        <v>49</v>
      </c>
      <c r="AO669" s="1">
        <v>45951</v>
      </c>
      <c r="AP669" s="5">
        <v>0.625</v>
      </c>
      <c r="AS669">
        <v>1</v>
      </c>
    </row>
    <row r="670" spans="1:45" x14ac:dyDescent="0.2">
      <c r="A670">
        <f t="shared" si="42"/>
        <v>2025</v>
      </c>
      <c r="B670">
        <f t="shared" si="43"/>
        <v>10</v>
      </c>
      <c r="C670">
        <f t="shared" si="44"/>
        <v>43</v>
      </c>
      <c r="D670" s="2">
        <f t="shared" si="45"/>
        <v>45951</v>
      </c>
      <c r="E670" s="1">
        <v>45951.625</v>
      </c>
      <c r="F670" t="s">
        <v>2240</v>
      </c>
      <c r="G670" t="s">
        <v>36</v>
      </c>
      <c r="H670" t="s">
        <v>2241</v>
      </c>
      <c r="I670" t="s">
        <v>78</v>
      </c>
      <c r="J670" t="s">
        <v>200</v>
      </c>
      <c r="M670" t="s">
        <v>40</v>
      </c>
      <c r="N670" t="s">
        <v>41</v>
      </c>
      <c r="O670" t="s">
        <v>554</v>
      </c>
      <c r="P670">
        <v>66</v>
      </c>
      <c r="Q670">
        <v>0</v>
      </c>
      <c r="R670">
        <v>0</v>
      </c>
      <c r="S670">
        <v>0</v>
      </c>
      <c r="T670" t="s">
        <v>54</v>
      </c>
      <c r="U670" t="s">
        <v>55</v>
      </c>
      <c r="W670" t="s">
        <v>2242</v>
      </c>
      <c r="Y670">
        <v>0</v>
      </c>
      <c r="AA670" t="s">
        <v>40</v>
      </c>
      <c r="AB670" t="s">
        <v>46</v>
      </c>
      <c r="AC670" t="s">
        <v>47</v>
      </c>
      <c r="AD670" t="s">
        <v>81</v>
      </c>
      <c r="AE670" t="s">
        <v>81</v>
      </c>
      <c r="AG670" t="s">
        <v>2243</v>
      </c>
      <c r="AJ670" t="s">
        <v>40</v>
      </c>
      <c r="AK670" t="s">
        <v>2244</v>
      </c>
      <c r="AO670" s="1">
        <v>45951</v>
      </c>
      <c r="AP670" s="5">
        <v>0.625</v>
      </c>
      <c r="AS670">
        <v>1</v>
      </c>
    </row>
    <row r="671" spans="1:45" x14ac:dyDescent="0.2">
      <c r="A671">
        <f t="shared" si="42"/>
        <v>2025</v>
      </c>
      <c r="B671">
        <f t="shared" si="43"/>
        <v>10</v>
      </c>
      <c r="C671">
        <f t="shared" si="44"/>
        <v>43</v>
      </c>
      <c r="D671" s="2">
        <f t="shared" si="45"/>
        <v>45951</v>
      </c>
      <c r="E671" s="1">
        <v>45951.666666666664</v>
      </c>
      <c r="F671" t="s">
        <v>2245</v>
      </c>
      <c r="G671" t="s">
        <v>36</v>
      </c>
      <c r="H671">
        <v>457342</v>
      </c>
      <c r="I671" t="s">
        <v>51</v>
      </c>
      <c r="J671" t="s">
        <v>154</v>
      </c>
      <c r="M671" t="s">
        <v>40</v>
      </c>
      <c r="N671" t="s">
        <v>41</v>
      </c>
      <c r="O671" t="s">
        <v>155</v>
      </c>
      <c r="P671">
        <v>33</v>
      </c>
      <c r="Q671">
        <v>0</v>
      </c>
      <c r="R671">
        <v>0</v>
      </c>
      <c r="S671">
        <v>0</v>
      </c>
      <c r="T671" t="s">
        <v>54</v>
      </c>
      <c r="U671" t="s">
        <v>55</v>
      </c>
      <c r="W671" t="s">
        <v>2169</v>
      </c>
      <c r="Y671">
        <v>0</v>
      </c>
      <c r="AA671" t="s">
        <v>40</v>
      </c>
      <c r="AB671" t="s">
        <v>46</v>
      </c>
      <c r="AC671" t="s">
        <v>47</v>
      </c>
      <c r="AG671" t="s">
        <v>2246</v>
      </c>
      <c r="AJ671" t="s">
        <v>40</v>
      </c>
      <c r="AK671">
        <v>5019208982</v>
      </c>
      <c r="AO671" s="1">
        <v>45951</v>
      </c>
      <c r="AP671" s="5">
        <v>0.66666666666666663</v>
      </c>
      <c r="AS671">
        <v>1</v>
      </c>
    </row>
    <row r="672" spans="1:45" x14ac:dyDescent="0.2">
      <c r="A672">
        <f t="shared" si="42"/>
        <v>2025</v>
      </c>
      <c r="B672">
        <f t="shared" si="43"/>
        <v>10</v>
      </c>
      <c r="C672">
        <f t="shared" si="44"/>
        <v>43</v>
      </c>
      <c r="D672" s="2">
        <f t="shared" si="45"/>
        <v>45951</v>
      </c>
      <c r="E672" s="1">
        <v>45951.666666666664</v>
      </c>
      <c r="F672" t="s">
        <v>2247</v>
      </c>
      <c r="G672" t="s">
        <v>36</v>
      </c>
      <c r="H672" t="s">
        <v>626</v>
      </c>
      <c r="I672" t="s">
        <v>38</v>
      </c>
      <c r="J672" t="s">
        <v>451</v>
      </c>
      <c r="M672" t="s">
        <v>40</v>
      </c>
      <c r="N672" t="s">
        <v>41</v>
      </c>
      <c r="O672" t="s">
        <v>42</v>
      </c>
      <c r="P672">
        <v>23</v>
      </c>
      <c r="Q672">
        <v>0</v>
      </c>
      <c r="R672">
        <v>0</v>
      </c>
      <c r="S672">
        <v>0</v>
      </c>
      <c r="T672" t="s">
        <v>2248</v>
      </c>
      <c r="U672" t="s">
        <v>44</v>
      </c>
      <c r="W672" t="s">
        <v>2169</v>
      </c>
      <c r="Y672">
        <v>0</v>
      </c>
      <c r="AA672" t="s">
        <v>40</v>
      </c>
      <c r="AB672" t="s">
        <v>46</v>
      </c>
      <c r="AC672" t="s">
        <v>47</v>
      </c>
      <c r="AF672" t="s">
        <v>48</v>
      </c>
      <c r="AJ672" t="s">
        <v>40</v>
      </c>
      <c r="AK672" t="s">
        <v>49</v>
      </c>
      <c r="AO672" s="1">
        <v>45951</v>
      </c>
      <c r="AP672" s="5">
        <v>0.66666666666666663</v>
      </c>
      <c r="AS672">
        <v>1</v>
      </c>
    </row>
    <row r="673" spans="1:45" x14ac:dyDescent="0.2">
      <c r="A673">
        <f t="shared" si="42"/>
        <v>2025</v>
      </c>
      <c r="B673">
        <f t="shared" si="43"/>
        <v>10</v>
      </c>
      <c r="C673">
        <f t="shared" si="44"/>
        <v>43</v>
      </c>
      <c r="D673" s="2">
        <f t="shared" si="45"/>
        <v>45951</v>
      </c>
      <c r="E673" s="1">
        <v>45951.666666666664</v>
      </c>
      <c r="F673" t="s">
        <v>2249</v>
      </c>
      <c r="G673" t="s">
        <v>36</v>
      </c>
      <c r="H673">
        <v>457343</v>
      </c>
      <c r="I673" t="s">
        <v>51</v>
      </c>
      <c r="J673" t="s">
        <v>154</v>
      </c>
      <c r="M673" t="s">
        <v>40</v>
      </c>
      <c r="N673" t="s">
        <v>41</v>
      </c>
      <c r="O673" t="s">
        <v>155</v>
      </c>
      <c r="P673">
        <v>33</v>
      </c>
      <c r="Q673">
        <v>0</v>
      </c>
      <c r="R673">
        <v>0</v>
      </c>
      <c r="S673">
        <v>0</v>
      </c>
      <c r="T673" t="s">
        <v>54</v>
      </c>
      <c r="U673" t="s">
        <v>55</v>
      </c>
      <c r="W673" t="s">
        <v>2169</v>
      </c>
      <c r="Y673">
        <v>0</v>
      </c>
      <c r="AA673" t="s">
        <v>40</v>
      </c>
      <c r="AB673" t="s">
        <v>46</v>
      </c>
      <c r="AC673" t="s">
        <v>47</v>
      </c>
      <c r="AG673" t="s">
        <v>2250</v>
      </c>
      <c r="AJ673" t="s">
        <v>40</v>
      </c>
      <c r="AK673">
        <v>5019204674</v>
      </c>
      <c r="AO673" s="1">
        <v>45951</v>
      </c>
      <c r="AP673" s="5">
        <v>0.66666666666666663</v>
      </c>
      <c r="AS673">
        <v>1</v>
      </c>
    </row>
    <row r="674" spans="1:45" x14ac:dyDescent="0.2">
      <c r="A674">
        <f t="shared" si="42"/>
        <v>2025</v>
      </c>
      <c r="B674">
        <f t="shared" si="43"/>
        <v>10</v>
      </c>
      <c r="C674">
        <f t="shared" si="44"/>
        <v>43</v>
      </c>
      <c r="D674" s="2">
        <f t="shared" si="45"/>
        <v>45951</v>
      </c>
      <c r="E674" s="1">
        <v>45951.666666666664</v>
      </c>
      <c r="F674" t="s">
        <v>2251</v>
      </c>
      <c r="G674" t="s">
        <v>36</v>
      </c>
      <c r="H674">
        <v>457361</v>
      </c>
      <c r="I674" t="s">
        <v>51</v>
      </c>
      <c r="J674" t="s">
        <v>355</v>
      </c>
      <c r="M674" t="s">
        <v>40</v>
      </c>
      <c r="N674" t="s">
        <v>41</v>
      </c>
      <c r="O674" t="s">
        <v>530</v>
      </c>
      <c r="P674">
        <v>33</v>
      </c>
      <c r="Q674">
        <v>0</v>
      </c>
      <c r="R674">
        <v>0</v>
      </c>
      <c r="S674">
        <v>0</v>
      </c>
      <c r="T674" t="s">
        <v>54</v>
      </c>
      <c r="U674" t="s">
        <v>55</v>
      </c>
      <c r="W674" t="s">
        <v>2252</v>
      </c>
      <c r="Y674">
        <v>0</v>
      </c>
      <c r="AA674" t="s">
        <v>40</v>
      </c>
      <c r="AB674" t="s">
        <v>46</v>
      </c>
      <c r="AC674" t="s">
        <v>47</v>
      </c>
      <c r="AG674" t="s">
        <v>2253</v>
      </c>
      <c r="AJ674" t="s">
        <v>40</v>
      </c>
      <c r="AK674">
        <v>5019199517</v>
      </c>
      <c r="AO674" s="1">
        <v>45951</v>
      </c>
      <c r="AP674" s="5">
        <v>0.66666666666666663</v>
      </c>
      <c r="AS674">
        <v>1</v>
      </c>
    </row>
    <row r="675" spans="1:45" x14ac:dyDescent="0.2">
      <c r="A675">
        <f t="shared" si="42"/>
        <v>2025</v>
      </c>
      <c r="B675">
        <f t="shared" si="43"/>
        <v>10</v>
      </c>
      <c r="C675">
        <f t="shared" si="44"/>
        <v>43</v>
      </c>
      <c r="D675" s="2">
        <f t="shared" si="45"/>
        <v>45951</v>
      </c>
      <c r="E675" s="1">
        <v>45951.708333333336</v>
      </c>
      <c r="F675" t="s">
        <v>2254</v>
      </c>
      <c r="G675" t="s">
        <v>36</v>
      </c>
      <c r="H675">
        <v>457335</v>
      </c>
      <c r="I675" t="s">
        <v>51</v>
      </c>
      <c r="J675" t="s">
        <v>154</v>
      </c>
      <c r="M675" t="s">
        <v>40</v>
      </c>
      <c r="N675" t="s">
        <v>41</v>
      </c>
      <c r="O675" t="s">
        <v>155</v>
      </c>
      <c r="P675">
        <v>33</v>
      </c>
      <c r="Q675">
        <v>0</v>
      </c>
      <c r="R675">
        <v>0</v>
      </c>
      <c r="S675">
        <v>0</v>
      </c>
      <c r="T675" t="s">
        <v>54</v>
      </c>
      <c r="U675" t="s">
        <v>55</v>
      </c>
      <c r="W675" t="s">
        <v>2169</v>
      </c>
      <c r="Y675">
        <v>0</v>
      </c>
      <c r="AA675" t="s">
        <v>40</v>
      </c>
      <c r="AB675" t="s">
        <v>46</v>
      </c>
      <c r="AC675" t="s">
        <v>47</v>
      </c>
      <c r="AG675" t="s">
        <v>2255</v>
      </c>
      <c r="AJ675" t="s">
        <v>40</v>
      </c>
      <c r="AK675">
        <v>5019220648</v>
      </c>
      <c r="AO675" s="1">
        <v>45951</v>
      </c>
      <c r="AP675" s="5">
        <v>0.70833333333333337</v>
      </c>
      <c r="AS675">
        <v>1</v>
      </c>
    </row>
    <row r="676" spans="1:45" x14ac:dyDescent="0.2">
      <c r="A676">
        <f t="shared" si="42"/>
        <v>2025</v>
      </c>
      <c r="B676">
        <f t="shared" si="43"/>
        <v>10</v>
      </c>
      <c r="C676">
        <f t="shared" si="44"/>
        <v>43</v>
      </c>
      <c r="D676" s="2">
        <f t="shared" si="45"/>
        <v>45951</v>
      </c>
      <c r="E676" s="1">
        <v>45951.708333333336</v>
      </c>
      <c r="F676" t="s">
        <v>2256</v>
      </c>
      <c r="G676" t="s">
        <v>36</v>
      </c>
      <c r="H676">
        <v>457364</v>
      </c>
      <c r="I676" t="s">
        <v>51</v>
      </c>
      <c r="J676" t="s">
        <v>188</v>
      </c>
      <c r="M676" t="s">
        <v>40</v>
      </c>
      <c r="N676" t="s">
        <v>41</v>
      </c>
      <c r="O676" t="s">
        <v>189</v>
      </c>
      <c r="P676">
        <v>33</v>
      </c>
      <c r="Q676">
        <v>0</v>
      </c>
      <c r="R676">
        <v>0</v>
      </c>
      <c r="S676">
        <v>0</v>
      </c>
      <c r="T676" t="s">
        <v>54</v>
      </c>
      <c r="U676" t="s">
        <v>55</v>
      </c>
      <c r="W676" t="s">
        <v>2257</v>
      </c>
      <c r="Y676">
        <v>0</v>
      </c>
      <c r="AA676" t="s">
        <v>40</v>
      </c>
      <c r="AB676" t="s">
        <v>46</v>
      </c>
      <c r="AC676" t="s">
        <v>47</v>
      </c>
      <c r="AG676" t="s">
        <v>2258</v>
      </c>
      <c r="AJ676" t="s">
        <v>40</v>
      </c>
      <c r="AK676">
        <v>5019216939</v>
      </c>
      <c r="AO676" s="1">
        <v>45951</v>
      </c>
      <c r="AP676" s="5">
        <v>0.70833333333333337</v>
      </c>
      <c r="AS676">
        <v>1</v>
      </c>
    </row>
    <row r="677" spans="1:45" x14ac:dyDescent="0.2">
      <c r="A677">
        <f t="shared" si="42"/>
        <v>2025</v>
      </c>
      <c r="B677">
        <f t="shared" si="43"/>
        <v>10</v>
      </c>
      <c r="C677">
        <f t="shared" si="44"/>
        <v>43</v>
      </c>
      <c r="D677" s="2">
        <f t="shared" si="45"/>
        <v>45951</v>
      </c>
      <c r="E677" s="1">
        <v>45951.708333333336</v>
      </c>
      <c r="F677" t="s">
        <v>2259</v>
      </c>
      <c r="G677" t="s">
        <v>36</v>
      </c>
      <c r="H677">
        <v>457362</v>
      </c>
      <c r="I677" t="s">
        <v>51</v>
      </c>
      <c r="J677" t="s">
        <v>126</v>
      </c>
      <c r="M677" t="s">
        <v>40</v>
      </c>
      <c r="N677" t="s">
        <v>41</v>
      </c>
      <c r="O677" t="s">
        <v>90</v>
      </c>
      <c r="P677">
        <v>33</v>
      </c>
      <c r="Q677">
        <v>0</v>
      </c>
      <c r="R677">
        <v>0</v>
      </c>
      <c r="S677">
        <v>0</v>
      </c>
      <c r="T677" t="s">
        <v>54</v>
      </c>
      <c r="U677" t="s">
        <v>55</v>
      </c>
      <c r="W677" t="s">
        <v>2105</v>
      </c>
      <c r="X677" t="s">
        <v>944</v>
      </c>
      <c r="Y677">
        <v>0</v>
      </c>
      <c r="AA677" t="s">
        <v>40</v>
      </c>
      <c r="AB677" t="s">
        <v>46</v>
      </c>
      <c r="AC677" t="s">
        <v>47</v>
      </c>
      <c r="AG677" t="s">
        <v>2260</v>
      </c>
      <c r="AJ677" t="s">
        <v>40</v>
      </c>
      <c r="AK677">
        <v>5019200542</v>
      </c>
      <c r="AL677" t="s">
        <v>947</v>
      </c>
      <c r="AM677" t="s">
        <v>2261</v>
      </c>
      <c r="AO677" s="1">
        <v>45951</v>
      </c>
      <c r="AP677" s="5">
        <v>0.70833333333333337</v>
      </c>
      <c r="AS677">
        <v>1</v>
      </c>
    </row>
    <row r="678" spans="1:45" x14ac:dyDescent="0.2">
      <c r="A678">
        <f t="shared" si="42"/>
        <v>2025</v>
      </c>
      <c r="B678">
        <f t="shared" si="43"/>
        <v>10</v>
      </c>
      <c r="C678">
        <f t="shared" si="44"/>
        <v>43</v>
      </c>
      <c r="D678" s="2">
        <f t="shared" si="45"/>
        <v>45951</v>
      </c>
      <c r="E678" s="1">
        <v>45951.75</v>
      </c>
      <c r="F678" t="s">
        <v>2262</v>
      </c>
      <c r="G678" t="s">
        <v>36</v>
      </c>
      <c r="H678">
        <v>461229</v>
      </c>
      <c r="I678" t="s">
        <v>51</v>
      </c>
      <c r="J678" t="s">
        <v>375</v>
      </c>
      <c r="M678" t="s">
        <v>40</v>
      </c>
      <c r="N678" t="s">
        <v>41</v>
      </c>
      <c r="O678" t="s">
        <v>182</v>
      </c>
      <c r="P678">
        <v>33</v>
      </c>
      <c r="Q678">
        <v>0</v>
      </c>
      <c r="R678">
        <v>0</v>
      </c>
      <c r="S678">
        <v>0</v>
      </c>
      <c r="T678" t="s">
        <v>54</v>
      </c>
      <c r="U678" t="s">
        <v>55</v>
      </c>
      <c r="W678" t="s">
        <v>2263</v>
      </c>
      <c r="X678" t="s">
        <v>2264</v>
      </c>
      <c r="Y678">
        <v>0</v>
      </c>
      <c r="AA678" t="s">
        <v>40</v>
      </c>
      <c r="AB678" t="s">
        <v>46</v>
      </c>
      <c r="AC678" t="s">
        <v>47</v>
      </c>
      <c r="AG678" t="s">
        <v>2265</v>
      </c>
      <c r="AJ678" t="s">
        <v>40</v>
      </c>
      <c r="AK678">
        <v>5019222481</v>
      </c>
      <c r="AL678" t="s">
        <v>2266</v>
      </c>
      <c r="AM678" t="s">
        <v>2267</v>
      </c>
      <c r="AO678" s="1">
        <v>45951</v>
      </c>
      <c r="AP678" s="5">
        <v>0.75</v>
      </c>
      <c r="AS678">
        <v>1</v>
      </c>
    </row>
    <row r="679" spans="1:45" x14ac:dyDescent="0.2">
      <c r="A679">
        <f t="shared" si="42"/>
        <v>2025</v>
      </c>
      <c r="B679">
        <f t="shared" si="43"/>
        <v>10</v>
      </c>
      <c r="C679">
        <f t="shared" si="44"/>
        <v>43</v>
      </c>
      <c r="D679" s="2">
        <f t="shared" si="45"/>
        <v>45951</v>
      </c>
      <c r="E679" s="1">
        <v>45951.75</v>
      </c>
      <c r="F679" t="s">
        <v>2268</v>
      </c>
      <c r="G679" t="s">
        <v>36</v>
      </c>
      <c r="H679">
        <v>457345</v>
      </c>
      <c r="I679" t="s">
        <v>51</v>
      </c>
      <c r="J679" t="s">
        <v>219</v>
      </c>
      <c r="M679" t="s">
        <v>40</v>
      </c>
      <c r="N679" t="s">
        <v>41</v>
      </c>
      <c r="O679" t="s">
        <v>90</v>
      </c>
      <c r="P679">
        <v>33</v>
      </c>
      <c r="Q679">
        <v>0</v>
      </c>
      <c r="R679">
        <v>0</v>
      </c>
      <c r="S679">
        <v>0</v>
      </c>
      <c r="T679" t="s">
        <v>54</v>
      </c>
      <c r="U679" t="s">
        <v>55</v>
      </c>
      <c r="W679" t="s">
        <v>2269</v>
      </c>
      <c r="X679" t="s">
        <v>2270</v>
      </c>
      <c r="Y679">
        <v>0</v>
      </c>
      <c r="AA679" t="s">
        <v>40</v>
      </c>
      <c r="AB679" t="s">
        <v>46</v>
      </c>
      <c r="AC679" t="s">
        <v>47</v>
      </c>
      <c r="AG679" t="s">
        <v>2271</v>
      </c>
      <c r="AJ679" t="s">
        <v>40</v>
      </c>
      <c r="AK679">
        <v>5019218696</v>
      </c>
      <c r="AL679" t="s">
        <v>2272</v>
      </c>
      <c r="AM679" t="s">
        <v>2273</v>
      </c>
      <c r="AO679" s="1">
        <v>45951</v>
      </c>
      <c r="AP679" s="5">
        <v>0.75</v>
      </c>
      <c r="AS679">
        <v>1</v>
      </c>
    </row>
    <row r="680" spans="1:45" x14ac:dyDescent="0.2">
      <c r="A680">
        <f t="shared" si="42"/>
        <v>2025</v>
      </c>
      <c r="B680">
        <f t="shared" si="43"/>
        <v>10</v>
      </c>
      <c r="C680">
        <f t="shared" si="44"/>
        <v>43</v>
      </c>
      <c r="D680" s="2">
        <f t="shared" si="45"/>
        <v>45951</v>
      </c>
      <c r="E680" s="1">
        <v>45951.791666666664</v>
      </c>
      <c r="F680" t="s">
        <v>2274</v>
      </c>
      <c r="G680" t="s">
        <v>36</v>
      </c>
      <c r="H680">
        <v>457354</v>
      </c>
      <c r="I680" t="s">
        <v>51</v>
      </c>
      <c r="J680" t="s">
        <v>188</v>
      </c>
      <c r="M680" t="s">
        <v>40</v>
      </c>
      <c r="N680" t="s">
        <v>41</v>
      </c>
      <c r="O680" t="s">
        <v>172</v>
      </c>
      <c r="P680">
        <v>33</v>
      </c>
      <c r="Q680">
        <v>0</v>
      </c>
      <c r="R680">
        <v>0</v>
      </c>
      <c r="S680">
        <v>0</v>
      </c>
      <c r="T680" t="s">
        <v>54</v>
      </c>
      <c r="U680" t="s">
        <v>55</v>
      </c>
      <c r="W680" t="s">
        <v>2275</v>
      </c>
      <c r="Y680">
        <v>0</v>
      </c>
      <c r="AA680" t="s">
        <v>40</v>
      </c>
      <c r="AB680" t="s">
        <v>46</v>
      </c>
      <c r="AC680" t="s">
        <v>47</v>
      </c>
      <c r="AG680" t="s">
        <v>2276</v>
      </c>
      <c r="AJ680" t="s">
        <v>40</v>
      </c>
      <c r="AK680">
        <v>5019204787</v>
      </c>
      <c r="AO680" s="1">
        <v>45951</v>
      </c>
      <c r="AP680" s="5">
        <v>0.79166666666666663</v>
      </c>
      <c r="AS680">
        <v>1</v>
      </c>
    </row>
    <row r="681" spans="1:45" x14ac:dyDescent="0.2">
      <c r="A681">
        <f t="shared" si="42"/>
        <v>2025</v>
      </c>
      <c r="B681">
        <f t="shared" si="43"/>
        <v>10</v>
      </c>
      <c r="C681">
        <f t="shared" si="44"/>
        <v>43</v>
      </c>
      <c r="D681" s="2">
        <f t="shared" si="45"/>
        <v>45951</v>
      </c>
      <c r="E681" s="1">
        <v>45951.791666666664</v>
      </c>
      <c r="F681" t="s">
        <v>2277</v>
      </c>
      <c r="G681" t="s">
        <v>36</v>
      </c>
      <c r="H681">
        <v>457351</v>
      </c>
      <c r="I681" t="s">
        <v>51</v>
      </c>
      <c r="J681" t="s">
        <v>194</v>
      </c>
      <c r="M681" t="s">
        <v>40</v>
      </c>
      <c r="N681" t="s">
        <v>41</v>
      </c>
      <c r="O681" t="s">
        <v>189</v>
      </c>
      <c r="P681">
        <v>33</v>
      </c>
      <c r="Q681">
        <v>0</v>
      </c>
      <c r="R681">
        <v>0</v>
      </c>
      <c r="S681">
        <v>0</v>
      </c>
      <c r="T681" t="s">
        <v>54</v>
      </c>
      <c r="U681" t="s">
        <v>55</v>
      </c>
      <c r="W681" t="s">
        <v>2278</v>
      </c>
      <c r="Y681">
        <v>0</v>
      </c>
      <c r="AA681" t="s">
        <v>40</v>
      </c>
      <c r="AB681" t="s">
        <v>46</v>
      </c>
      <c r="AC681" t="s">
        <v>47</v>
      </c>
      <c r="AG681" t="s">
        <v>2279</v>
      </c>
      <c r="AJ681" t="s">
        <v>40</v>
      </c>
      <c r="AK681">
        <v>5019206590</v>
      </c>
      <c r="AO681" s="1">
        <v>45951</v>
      </c>
      <c r="AP681" s="5">
        <v>0.79166666666666663</v>
      </c>
      <c r="AS681">
        <v>1</v>
      </c>
    </row>
    <row r="682" spans="1:45" x14ac:dyDescent="0.2">
      <c r="A682">
        <f t="shared" si="42"/>
        <v>2025</v>
      </c>
      <c r="B682">
        <f t="shared" si="43"/>
        <v>10</v>
      </c>
      <c r="C682">
        <f t="shared" si="44"/>
        <v>43</v>
      </c>
      <c r="D682" s="2">
        <f t="shared" si="45"/>
        <v>45951</v>
      </c>
      <c r="E682" s="1">
        <v>45951.791666666664</v>
      </c>
      <c r="F682" t="s">
        <v>2280</v>
      </c>
      <c r="G682" t="s">
        <v>36</v>
      </c>
      <c r="H682" t="s">
        <v>2281</v>
      </c>
      <c r="I682" t="s">
        <v>78</v>
      </c>
      <c r="J682" t="s">
        <v>118</v>
      </c>
      <c r="M682" t="s">
        <v>40</v>
      </c>
      <c r="N682" t="s">
        <v>41</v>
      </c>
      <c r="O682" t="s">
        <v>1596</v>
      </c>
      <c r="P682">
        <v>66</v>
      </c>
      <c r="Q682">
        <v>0</v>
      </c>
      <c r="R682">
        <v>0</v>
      </c>
      <c r="S682">
        <v>0</v>
      </c>
      <c r="T682" t="s">
        <v>54</v>
      </c>
      <c r="U682" t="s">
        <v>55</v>
      </c>
      <c r="W682" t="s">
        <v>2252</v>
      </c>
      <c r="Y682">
        <v>0</v>
      </c>
      <c r="AA682" t="s">
        <v>40</v>
      </c>
      <c r="AB682" t="s">
        <v>46</v>
      </c>
      <c r="AC682" t="s">
        <v>47</v>
      </c>
      <c r="AD682" t="s">
        <v>81</v>
      </c>
      <c r="AE682" t="s">
        <v>81</v>
      </c>
      <c r="AG682" t="s">
        <v>2282</v>
      </c>
      <c r="AJ682" t="s">
        <v>40</v>
      </c>
      <c r="AK682" t="s">
        <v>2283</v>
      </c>
      <c r="AO682" s="1">
        <v>45951</v>
      </c>
      <c r="AP682" s="5">
        <v>0.79166666666666663</v>
      </c>
      <c r="AS682">
        <v>1</v>
      </c>
    </row>
    <row r="683" spans="1:45" x14ac:dyDescent="0.2">
      <c r="A683">
        <f t="shared" si="42"/>
        <v>2025</v>
      </c>
      <c r="B683">
        <f t="shared" si="43"/>
        <v>10</v>
      </c>
      <c r="C683">
        <f t="shared" si="44"/>
        <v>43</v>
      </c>
      <c r="D683" s="2">
        <f t="shared" si="45"/>
        <v>45952</v>
      </c>
      <c r="E683" s="1">
        <v>45952.25</v>
      </c>
      <c r="F683" t="s">
        <v>2284</v>
      </c>
      <c r="G683" t="s">
        <v>36</v>
      </c>
      <c r="H683">
        <v>462616</v>
      </c>
      <c r="I683" t="s">
        <v>51</v>
      </c>
      <c r="J683" t="s">
        <v>52</v>
      </c>
      <c r="M683" t="s">
        <v>40</v>
      </c>
      <c r="N683" t="s">
        <v>41</v>
      </c>
      <c r="O683" t="s">
        <v>53</v>
      </c>
      <c r="P683">
        <v>33</v>
      </c>
      <c r="Q683">
        <v>0</v>
      </c>
      <c r="R683">
        <v>0</v>
      </c>
      <c r="S683">
        <v>0</v>
      </c>
      <c r="T683" t="s">
        <v>54</v>
      </c>
      <c r="U683" t="s">
        <v>55</v>
      </c>
      <c r="W683" t="s">
        <v>2162</v>
      </c>
      <c r="Y683">
        <v>0</v>
      </c>
      <c r="AA683" t="s">
        <v>40</v>
      </c>
      <c r="AB683" t="s">
        <v>46</v>
      </c>
      <c r="AC683" t="s">
        <v>47</v>
      </c>
      <c r="AG683" t="s">
        <v>2285</v>
      </c>
      <c r="AJ683" t="s">
        <v>40</v>
      </c>
      <c r="AK683">
        <v>5019223469</v>
      </c>
      <c r="AO683" s="1">
        <v>45952</v>
      </c>
      <c r="AP683" s="5">
        <v>0.25</v>
      </c>
      <c r="AS683">
        <v>1</v>
      </c>
    </row>
    <row r="684" spans="1:45" x14ac:dyDescent="0.2">
      <c r="A684">
        <f t="shared" si="42"/>
        <v>2025</v>
      </c>
      <c r="B684">
        <f t="shared" si="43"/>
        <v>10</v>
      </c>
      <c r="C684">
        <f t="shared" si="44"/>
        <v>43</v>
      </c>
      <c r="D684" s="2">
        <f t="shared" si="45"/>
        <v>45952</v>
      </c>
      <c r="E684" s="1">
        <v>45952.25</v>
      </c>
      <c r="F684" t="s">
        <v>2286</v>
      </c>
      <c r="G684" t="s">
        <v>36</v>
      </c>
      <c r="H684" t="s">
        <v>1808</v>
      </c>
      <c r="I684" t="s">
        <v>38</v>
      </c>
      <c r="J684" t="s">
        <v>99</v>
      </c>
      <c r="M684" t="s">
        <v>40</v>
      </c>
      <c r="N684" t="s">
        <v>41</v>
      </c>
      <c r="O684" t="s">
        <v>42</v>
      </c>
      <c r="P684">
        <v>23</v>
      </c>
      <c r="Q684">
        <v>0</v>
      </c>
      <c r="R684">
        <v>0</v>
      </c>
      <c r="S684">
        <v>0</v>
      </c>
      <c r="T684" t="s">
        <v>2287</v>
      </c>
      <c r="U684" t="s">
        <v>44</v>
      </c>
      <c r="W684" t="s">
        <v>2288</v>
      </c>
      <c r="Y684">
        <v>0</v>
      </c>
      <c r="AA684" t="s">
        <v>40</v>
      </c>
      <c r="AB684" t="s">
        <v>46</v>
      </c>
      <c r="AC684" t="s">
        <v>47</v>
      </c>
      <c r="AF684" t="s">
        <v>367</v>
      </c>
      <c r="AJ684" t="s">
        <v>40</v>
      </c>
      <c r="AK684" t="s">
        <v>49</v>
      </c>
      <c r="AM684" t="s">
        <v>2289</v>
      </c>
      <c r="AN684" t="s">
        <v>2156</v>
      </c>
      <c r="AO684" s="1">
        <v>45952</v>
      </c>
      <c r="AP684" s="5">
        <v>0.25</v>
      </c>
      <c r="AS684">
        <v>1</v>
      </c>
    </row>
    <row r="685" spans="1:45" x14ac:dyDescent="0.2">
      <c r="A685">
        <f t="shared" si="42"/>
        <v>2025</v>
      </c>
      <c r="B685">
        <f t="shared" si="43"/>
        <v>10</v>
      </c>
      <c r="C685">
        <f t="shared" si="44"/>
        <v>43</v>
      </c>
      <c r="D685" s="2">
        <f t="shared" si="45"/>
        <v>45952</v>
      </c>
      <c r="E685" s="1">
        <v>45952.291666666664</v>
      </c>
      <c r="F685" t="s">
        <v>2290</v>
      </c>
      <c r="G685" t="s">
        <v>36</v>
      </c>
      <c r="H685" t="s">
        <v>253</v>
      </c>
      <c r="I685" t="s">
        <v>38</v>
      </c>
      <c r="J685" t="s">
        <v>254</v>
      </c>
      <c r="M685" t="s">
        <v>40</v>
      </c>
      <c r="N685" t="s">
        <v>41</v>
      </c>
      <c r="O685" t="s">
        <v>42</v>
      </c>
      <c r="P685">
        <v>1</v>
      </c>
      <c r="Q685">
        <v>0</v>
      </c>
      <c r="R685">
        <v>0</v>
      </c>
      <c r="S685">
        <v>0</v>
      </c>
      <c r="T685">
        <v>5019243610</v>
      </c>
      <c r="U685" t="s">
        <v>101</v>
      </c>
      <c r="W685" t="s">
        <v>2291</v>
      </c>
      <c r="Y685">
        <v>0</v>
      </c>
      <c r="AA685" t="s">
        <v>40</v>
      </c>
      <c r="AB685" t="s">
        <v>46</v>
      </c>
      <c r="AC685" t="s">
        <v>47</v>
      </c>
      <c r="AF685" t="s">
        <v>48</v>
      </c>
      <c r="AJ685" t="s">
        <v>40</v>
      </c>
      <c r="AK685" t="s">
        <v>49</v>
      </c>
      <c r="AO685" s="1">
        <v>45952</v>
      </c>
      <c r="AP685" s="5">
        <v>0.29166666666666669</v>
      </c>
      <c r="AS685">
        <v>1</v>
      </c>
    </row>
    <row r="686" spans="1:45" x14ac:dyDescent="0.2">
      <c r="A686">
        <f t="shared" si="42"/>
        <v>2025</v>
      </c>
      <c r="B686">
        <f t="shared" si="43"/>
        <v>10</v>
      </c>
      <c r="C686">
        <f t="shared" si="44"/>
        <v>43</v>
      </c>
      <c r="D686" s="2">
        <f t="shared" si="45"/>
        <v>45952</v>
      </c>
      <c r="E686" s="1">
        <v>45952.291666666664</v>
      </c>
      <c r="F686" t="s">
        <v>2292</v>
      </c>
      <c r="G686" t="s">
        <v>36</v>
      </c>
      <c r="H686" t="s">
        <v>1808</v>
      </c>
      <c r="I686" t="s">
        <v>38</v>
      </c>
      <c r="J686" t="s">
        <v>99</v>
      </c>
      <c r="M686" t="s">
        <v>40</v>
      </c>
      <c r="N686" t="s">
        <v>41</v>
      </c>
      <c r="O686" t="s">
        <v>42</v>
      </c>
      <c r="P686">
        <v>23</v>
      </c>
      <c r="Q686">
        <v>0</v>
      </c>
      <c r="R686">
        <v>0</v>
      </c>
      <c r="S686">
        <v>0</v>
      </c>
      <c r="T686" t="s">
        <v>2293</v>
      </c>
      <c r="U686" t="s">
        <v>44</v>
      </c>
      <c r="W686" t="s">
        <v>2288</v>
      </c>
      <c r="Y686">
        <v>0</v>
      </c>
      <c r="AA686" t="s">
        <v>40</v>
      </c>
      <c r="AB686" t="s">
        <v>46</v>
      </c>
      <c r="AC686" t="s">
        <v>47</v>
      </c>
      <c r="AF686" t="s">
        <v>367</v>
      </c>
      <c r="AJ686" t="s">
        <v>40</v>
      </c>
      <c r="AK686" t="s">
        <v>49</v>
      </c>
      <c r="AM686" t="s">
        <v>2294</v>
      </c>
      <c r="AN686" t="s">
        <v>2156</v>
      </c>
      <c r="AO686" s="1">
        <v>45952</v>
      </c>
      <c r="AP686" s="5">
        <v>0.29166666666666669</v>
      </c>
      <c r="AS686">
        <v>1</v>
      </c>
    </row>
    <row r="687" spans="1:45" x14ac:dyDescent="0.2">
      <c r="A687">
        <f t="shared" si="42"/>
        <v>2025</v>
      </c>
      <c r="B687">
        <f t="shared" si="43"/>
        <v>10</v>
      </c>
      <c r="C687">
        <f t="shared" si="44"/>
        <v>43</v>
      </c>
      <c r="D687" s="2">
        <f t="shared" si="45"/>
        <v>45952</v>
      </c>
      <c r="E687" s="1">
        <v>45952.291666666664</v>
      </c>
      <c r="F687" t="s">
        <v>2295</v>
      </c>
      <c r="G687" t="s">
        <v>36</v>
      </c>
      <c r="H687" t="s">
        <v>264</v>
      </c>
      <c r="I687" t="s">
        <v>38</v>
      </c>
      <c r="J687" t="s">
        <v>265</v>
      </c>
      <c r="M687" t="s">
        <v>40</v>
      </c>
      <c r="N687" t="s">
        <v>41</v>
      </c>
      <c r="O687" t="s">
        <v>42</v>
      </c>
      <c r="P687">
        <v>23</v>
      </c>
      <c r="Q687">
        <v>0</v>
      </c>
      <c r="R687">
        <v>0</v>
      </c>
      <c r="S687">
        <v>0</v>
      </c>
      <c r="T687" t="s">
        <v>2296</v>
      </c>
      <c r="U687" t="s">
        <v>55</v>
      </c>
      <c r="W687" t="s">
        <v>2297</v>
      </c>
      <c r="Y687">
        <v>0</v>
      </c>
      <c r="AA687" t="s">
        <v>40</v>
      </c>
      <c r="AB687" t="s">
        <v>46</v>
      </c>
      <c r="AC687" t="s">
        <v>47</v>
      </c>
      <c r="AF687" t="s">
        <v>48</v>
      </c>
      <c r="AJ687" t="s">
        <v>40</v>
      </c>
      <c r="AK687" t="s">
        <v>49</v>
      </c>
      <c r="AO687" s="1">
        <v>45952</v>
      </c>
      <c r="AP687" s="5">
        <v>0.29166666666666669</v>
      </c>
      <c r="AS687">
        <v>1</v>
      </c>
    </row>
    <row r="688" spans="1:45" x14ac:dyDescent="0.2">
      <c r="A688">
        <f t="shared" si="42"/>
        <v>2025</v>
      </c>
      <c r="B688">
        <f t="shared" si="43"/>
        <v>10</v>
      </c>
      <c r="C688">
        <f t="shared" si="44"/>
        <v>43</v>
      </c>
      <c r="D688" s="2">
        <f t="shared" si="45"/>
        <v>45952</v>
      </c>
      <c r="E688" s="1">
        <v>45952.333333333336</v>
      </c>
      <c r="F688" t="s">
        <v>2298</v>
      </c>
      <c r="G688" t="s">
        <v>36</v>
      </c>
      <c r="H688" t="s">
        <v>626</v>
      </c>
      <c r="I688" t="s">
        <v>38</v>
      </c>
      <c r="J688" t="s">
        <v>451</v>
      </c>
      <c r="M688" t="s">
        <v>40</v>
      </c>
      <c r="N688" t="s">
        <v>41</v>
      </c>
      <c r="O688" t="s">
        <v>42</v>
      </c>
      <c r="P688">
        <v>23</v>
      </c>
      <c r="Q688">
        <v>0</v>
      </c>
      <c r="R688">
        <v>0</v>
      </c>
      <c r="S688">
        <v>0</v>
      </c>
      <c r="T688" t="s">
        <v>2299</v>
      </c>
      <c r="U688" t="s">
        <v>44</v>
      </c>
      <c r="W688" t="s">
        <v>2297</v>
      </c>
      <c r="Y688">
        <v>0</v>
      </c>
      <c r="AA688" t="s">
        <v>40</v>
      </c>
      <c r="AB688" t="s">
        <v>46</v>
      </c>
      <c r="AC688" t="s">
        <v>47</v>
      </c>
      <c r="AF688" t="s">
        <v>48</v>
      </c>
      <c r="AJ688" t="s">
        <v>40</v>
      </c>
      <c r="AK688" t="s">
        <v>49</v>
      </c>
      <c r="AO688" s="1">
        <v>45952</v>
      </c>
      <c r="AP688" s="5">
        <v>0.33333333333333331</v>
      </c>
      <c r="AS688">
        <v>1</v>
      </c>
    </row>
    <row r="689" spans="1:45" x14ac:dyDescent="0.2">
      <c r="A689">
        <f t="shared" si="42"/>
        <v>2025</v>
      </c>
      <c r="B689">
        <f t="shared" si="43"/>
        <v>10</v>
      </c>
      <c r="C689">
        <f t="shared" si="44"/>
        <v>43</v>
      </c>
      <c r="D689" s="2">
        <f t="shared" si="45"/>
        <v>45952</v>
      </c>
      <c r="E689" s="1">
        <v>45952.333333333336</v>
      </c>
      <c r="F689" t="s">
        <v>2300</v>
      </c>
      <c r="G689" t="s">
        <v>36</v>
      </c>
      <c r="H689" t="s">
        <v>1808</v>
      </c>
      <c r="I689" t="s">
        <v>38</v>
      </c>
      <c r="J689" t="s">
        <v>99</v>
      </c>
      <c r="M689" t="s">
        <v>40</v>
      </c>
      <c r="N689" t="s">
        <v>41</v>
      </c>
      <c r="O689" t="s">
        <v>42</v>
      </c>
      <c r="P689">
        <v>23</v>
      </c>
      <c r="Q689">
        <v>0</v>
      </c>
      <c r="R689">
        <v>0</v>
      </c>
      <c r="S689">
        <v>0</v>
      </c>
      <c r="T689" t="s">
        <v>2301</v>
      </c>
      <c r="U689" t="s">
        <v>44</v>
      </c>
      <c r="W689" t="s">
        <v>2288</v>
      </c>
      <c r="Y689">
        <v>0</v>
      </c>
      <c r="AA689" t="s">
        <v>40</v>
      </c>
      <c r="AB689" t="s">
        <v>46</v>
      </c>
      <c r="AC689" t="s">
        <v>47</v>
      </c>
      <c r="AF689" t="s">
        <v>367</v>
      </c>
      <c r="AJ689" t="s">
        <v>40</v>
      </c>
      <c r="AK689" t="s">
        <v>49</v>
      </c>
      <c r="AM689" t="s">
        <v>2302</v>
      </c>
      <c r="AN689" t="s">
        <v>2156</v>
      </c>
      <c r="AO689" s="1">
        <v>45952</v>
      </c>
      <c r="AP689" s="5">
        <v>0.33333333333333331</v>
      </c>
      <c r="AS689">
        <v>1</v>
      </c>
    </row>
    <row r="690" spans="1:45" x14ac:dyDescent="0.2">
      <c r="A690">
        <f t="shared" si="42"/>
        <v>2025</v>
      </c>
      <c r="B690">
        <f t="shared" si="43"/>
        <v>10</v>
      </c>
      <c r="C690">
        <f t="shared" si="44"/>
        <v>43</v>
      </c>
      <c r="D690" s="2">
        <f t="shared" si="45"/>
        <v>45952</v>
      </c>
      <c r="E690" s="1">
        <v>45952.333333333336</v>
      </c>
      <c r="F690" t="s">
        <v>2303</v>
      </c>
      <c r="G690" t="s">
        <v>36</v>
      </c>
      <c r="H690">
        <v>457454</v>
      </c>
      <c r="I690" t="s">
        <v>51</v>
      </c>
      <c r="J690" t="s">
        <v>52</v>
      </c>
      <c r="M690" t="s">
        <v>40</v>
      </c>
      <c r="N690" t="s">
        <v>41</v>
      </c>
      <c r="O690" t="s">
        <v>66</v>
      </c>
      <c r="P690">
        <v>33</v>
      </c>
      <c r="Q690">
        <v>0</v>
      </c>
      <c r="R690">
        <v>0</v>
      </c>
      <c r="S690">
        <v>0</v>
      </c>
      <c r="T690" t="s">
        <v>54</v>
      </c>
      <c r="U690" t="s">
        <v>55</v>
      </c>
      <c r="W690" t="s">
        <v>2304</v>
      </c>
      <c r="Y690">
        <v>0</v>
      </c>
      <c r="AA690" t="s">
        <v>40</v>
      </c>
      <c r="AB690" t="s">
        <v>46</v>
      </c>
      <c r="AC690" t="s">
        <v>47</v>
      </c>
      <c r="AG690" t="s">
        <v>2305</v>
      </c>
      <c r="AJ690" t="s">
        <v>40</v>
      </c>
      <c r="AK690">
        <v>5019225307</v>
      </c>
      <c r="AO690" s="1">
        <v>45952</v>
      </c>
      <c r="AP690" s="5">
        <v>0.33333333333333331</v>
      </c>
      <c r="AS690">
        <v>1</v>
      </c>
    </row>
    <row r="691" spans="1:45" x14ac:dyDescent="0.2">
      <c r="A691">
        <f t="shared" si="42"/>
        <v>2025</v>
      </c>
      <c r="B691">
        <f t="shared" si="43"/>
        <v>10</v>
      </c>
      <c r="C691">
        <f t="shared" si="44"/>
        <v>43</v>
      </c>
      <c r="D691" s="2">
        <f t="shared" si="45"/>
        <v>45952</v>
      </c>
      <c r="E691" s="1">
        <v>45952.375</v>
      </c>
      <c r="F691" t="s">
        <v>2306</v>
      </c>
      <c r="G691" t="s">
        <v>36</v>
      </c>
      <c r="H691" t="s">
        <v>2307</v>
      </c>
      <c r="I691" t="s">
        <v>78</v>
      </c>
      <c r="J691" t="s">
        <v>52</v>
      </c>
      <c r="M691" t="s">
        <v>40</v>
      </c>
      <c r="N691" t="s">
        <v>41</v>
      </c>
      <c r="O691" t="s">
        <v>79</v>
      </c>
      <c r="P691">
        <v>66</v>
      </c>
      <c r="Q691">
        <v>0</v>
      </c>
      <c r="R691">
        <v>0</v>
      </c>
      <c r="S691">
        <v>0</v>
      </c>
      <c r="T691" t="s">
        <v>54</v>
      </c>
      <c r="U691" t="s">
        <v>55</v>
      </c>
      <c r="W691" t="s">
        <v>2308</v>
      </c>
      <c r="Y691">
        <v>0</v>
      </c>
      <c r="AA691" t="s">
        <v>40</v>
      </c>
      <c r="AB691" t="s">
        <v>46</v>
      </c>
      <c r="AC691" t="s">
        <v>47</v>
      </c>
      <c r="AD691" t="s">
        <v>81</v>
      </c>
      <c r="AE691" t="s">
        <v>81</v>
      </c>
      <c r="AG691" t="s">
        <v>2309</v>
      </c>
      <c r="AJ691" t="s">
        <v>40</v>
      </c>
      <c r="AK691" t="s">
        <v>2310</v>
      </c>
      <c r="AO691" s="1">
        <v>45952</v>
      </c>
      <c r="AP691" s="5">
        <v>0.375</v>
      </c>
      <c r="AS691">
        <v>1</v>
      </c>
    </row>
    <row r="692" spans="1:45" x14ac:dyDescent="0.2">
      <c r="A692">
        <f t="shared" si="42"/>
        <v>2025</v>
      </c>
      <c r="B692">
        <f t="shared" si="43"/>
        <v>10</v>
      </c>
      <c r="C692">
        <f t="shared" si="44"/>
        <v>43</v>
      </c>
      <c r="D692" s="2">
        <f t="shared" si="45"/>
        <v>45952</v>
      </c>
      <c r="E692" s="1">
        <v>45952.375</v>
      </c>
      <c r="F692" t="s">
        <v>2311</v>
      </c>
      <c r="G692" t="s">
        <v>36</v>
      </c>
      <c r="H692" t="s">
        <v>2312</v>
      </c>
      <c r="I692" t="s">
        <v>38</v>
      </c>
      <c r="J692" t="s">
        <v>60</v>
      </c>
      <c r="M692" t="s">
        <v>40</v>
      </c>
      <c r="N692" t="s">
        <v>41</v>
      </c>
      <c r="O692" t="s">
        <v>42</v>
      </c>
      <c r="P692">
        <v>20</v>
      </c>
      <c r="Q692">
        <v>0</v>
      </c>
      <c r="R692">
        <v>0</v>
      </c>
      <c r="S692">
        <v>0</v>
      </c>
      <c r="T692" t="s">
        <v>2313</v>
      </c>
      <c r="U692" t="s">
        <v>44</v>
      </c>
      <c r="W692" t="s">
        <v>2314</v>
      </c>
      <c r="Y692">
        <v>0</v>
      </c>
      <c r="AA692" t="s">
        <v>40</v>
      </c>
      <c r="AB692" t="s">
        <v>46</v>
      </c>
      <c r="AC692" t="s">
        <v>47</v>
      </c>
      <c r="AF692" t="s">
        <v>133</v>
      </c>
      <c r="AJ692" t="s">
        <v>40</v>
      </c>
      <c r="AK692" t="s">
        <v>49</v>
      </c>
      <c r="AN692">
        <v>260326729</v>
      </c>
      <c r="AO692" s="1">
        <v>45952</v>
      </c>
      <c r="AP692" s="5">
        <v>0.375</v>
      </c>
      <c r="AS692">
        <v>1</v>
      </c>
    </row>
    <row r="693" spans="1:45" x14ac:dyDescent="0.2">
      <c r="A693">
        <f t="shared" si="42"/>
        <v>2025</v>
      </c>
      <c r="B693">
        <f t="shared" si="43"/>
        <v>10</v>
      </c>
      <c r="C693">
        <f t="shared" si="44"/>
        <v>43</v>
      </c>
      <c r="D693" s="2">
        <f t="shared" si="45"/>
        <v>45952</v>
      </c>
      <c r="E693" s="1">
        <v>45952.375</v>
      </c>
      <c r="F693" t="s">
        <v>2315</v>
      </c>
      <c r="G693" t="s">
        <v>36</v>
      </c>
      <c r="H693" t="s">
        <v>2316</v>
      </c>
      <c r="I693" t="s">
        <v>38</v>
      </c>
      <c r="J693" t="s">
        <v>60</v>
      </c>
      <c r="M693" t="s">
        <v>40</v>
      </c>
      <c r="N693" t="s">
        <v>41</v>
      </c>
      <c r="O693" t="s">
        <v>42</v>
      </c>
      <c r="P693">
        <v>20</v>
      </c>
      <c r="Q693">
        <v>0</v>
      </c>
      <c r="R693">
        <v>0</v>
      </c>
      <c r="S693">
        <v>0</v>
      </c>
      <c r="T693">
        <v>5019153017</v>
      </c>
      <c r="U693" t="s">
        <v>44</v>
      </c>
      <c r="W693" t="s">
        <v>2314</v>
      </c>
      <c r="Y693">
        <v>0</v>
      </c>
      <c r="AA693" t="s">
        <v>40</v>
      </c>
      <c r="AB693" t="s">
        <v>46</v>
      </c>
      <c r="AC693" t="s">
        <v>47</v>
      </c>
      <c r="AF693" t="s">
        <v>133</v>
      </c>
      <c r="AJ693" t="s">
        <v>40</v>
      </c>
      <c r="AK693" t="s">
        <v>49</v>
      </c>
      <c r="AN693">
        <v>260326729</v>
      </c>
      <c r="AO693" s="1">
        <v>45952</v>
      </c>
      <c r="AP693" s="5">
        <v>0.375</v>
      </c>
      <c r="AS693">
        <v>1</v>
      </c>
    </row>
    <row r="694" spans="1:45" x14ac:dyDescent="0.2">
      <c r="A694">
        <f t="shared" si="42"/>
        <v>2025</v>
      </c>
      <c r="B694">
        <f t="shared" si="43"/>
        <v>10</v>
      </c>
      <c r="C694">
        <f t="shared" si="44"/>
        <v>43</v>
      </c>
      <c r="D694" s="2">
        <f t="shared" si="45"/>
        <v>45952</v>
      </c>
      <c r="E694" s="1">
        <v>45952.416666666664</v>
      </c>
      <c r="F694" t="s">
        <v>2317</v>
      </c>
      <c r="G694" t="s">
        <v>36</v>
      </c>
      <c r="H694">
        <v>460051</v>
      </c>
      <c r="I694" t="s">
        <v>51</v>
      </c>
      <c r="J694" t="s">
        <v>52</v>
      </c>
      <c r="M694" t="s">
        <v>40</v>
      </c>
      <c r="N694" t="s">
        <v>41</v>
      </c>
      <c r="O694" t="s">
        <v>53</v>
      </c>
      <c r="P694">
        <v>33</v>
      </c>
      <c r="Q694">
        <v>0</v>
      </c>
      <c r="R694">
        <v>0</v>
      </c>
      <c r="S694">
        <v>0</v>
      </c>
      <c r="T694" t="s">
        <v>54</v>
      </c>
      <c r="U694" t="s">
        <v>55</v>
      </c>
      <c r="W694" t="s">
        <v>2162</v>
      </c>
      <c r="Y694">
        <v>0</v>
      </c>
      <c r="AA694" t="s">
        <v>40</v>
      </c>
      <c r="AB694" t="s">
        <v>46</v>
      </c>
      <c r="AC694" t="s">
        <v>47</v>
      </c>
      <c r="AG694" t="s">
        <v>2318</v>
      </c>
      <c r="AJ694" t="s">
        <v>40</v>
      </c>
      <c r="AK694">
        <v>5019219977</v>
      </c>
      <c r="AO694" s="1">
        <v>45952</v>
      </c>
      <c r="AP694" s="5">
        <v>0.41666666666666669</v>
      </c>
      <c r="AS694">
        <v>1</v>
      </c>
    </row>
    <row r="695" spans="1:45" x14ac:dyDescent="0.2">
      <c r="A695">
        <f t="shared" si="42"/>
        <v>2025</v>
      </c>
      <c r="B695">
        <f t="shared" si="43"/>
        <v>10</v>
      </c>
      <c r="C695">
        <f t="shared" si="44"/>
        <v>43</v>
      </c>
      <c r="D695" s="2">
        <f t="shared" si="45"/>
        <v>45952</v>
      </c>
      <c r="E695" s="1">
        <v>45952.416666666664</v>
      </c>
      <c r="F695" t="s">
        <v>2319</v>
      </c>
      <c r="G695" t="s">
        <v>36</v>
      </c>
      <c r="H695" t="s">
        <v>2320</v>
      </c>
      <c r="I695" t="s">
        <v>78</v>
      </c>
      <c r="J695" t="s">
        <v>52</v>
      </c>
      <c r="M695" t="s">
        <v>40</v>
      </c>
      <c r="N695" t="s">
        <v>41</v>
      </c>
      <c r="O695" t="s">
        <v>79</v>
      </c>
      <c r="P695">
        <v>66</v>
      </c>
      <c r="Q695">
        <v>0</v>
      </c>
      <c r="R695">
        <v>0</v>
      </c>
      <c r="S695">
        <v>0</v>
      </c>
      <c r="T695" t="s">
        <v>54</v>
      </c>
      <c r="U695" t="s">
        <v>55</v>
      </c>
      <c r="W695" t="s">
        <v>2308</v>
      </c>
      <c r="Y695">
        <v>0</v>
      </c>
      <c r="AA695" t="s">
        <v>40</v>
      </c>
      <c r="AB695" t="s">
        <v>46</v>
      </c>
      <c r="AC695" t="s">
        <v>47</v>
      </c>
      <c r="AD695" t="s">
        <v>81</v>
      </c>
      <c r="AE695" t="s">
        <v>81</v>
      </c>
      <c r="AG695" t="s">
        <v>2321</v>
      </c>
      <c r="AJ695" t="s">
        <v>40</v>
      </c>
      <c r="AK695" t="s">
        <v>2322</v>
      </c>
      <c r="AO695" s="1">
        <v>45952</v>
      </c>
      <c r="AP695" s="5">
        <v>0.41666666666666669</v>
      </c>
      <c r="AS695">
        <v>1</v>
      </c>
    </row>
    <row r="696" spans="1:45" x14ac:dyDescent="0.2">
      <c r="A696">
        <f t="shared" si="42"/>
        <v>2025</v>
      </c>
      <c r="B696">
        <f t="shared" si="43"/>
        <v>10</v>
      </c>
      <c r="C696">
        <f t="shared" si="44"/>
        <v>43</v>
      </c>
      <c r="D696" s="2">
        <f t="shared" si="45"/>
        <v>45952</v>
      </c>
      <c r="E696" s="1">
        <v>45952.416666666664</v>
      </c>
      <c r="F696" t="s">
        <v>2323</v>
      </c>
      <c r="G696" t="s">
        <v>36</v>
      </c>
      <c r="H696">
        <v>460049</v>
      </c>
      <c r="I696" t="s">
        <v>51</v>
      </c>
      <c r="J696" t="s">
        <v>52</v>
      </c>
      <c r="M696" t="s">
        <v>40</v>
      </c>
      <c r="N696" t="s">
        <v>41</v>
      </c>
      <c r="O696" t="s">
        <v>53</v>
      </c>
      <c r="P696">
        <v>33</v>
      </c>
      <c r="Q696">
        <v>0</v>
      </c>
      <c r="R696">
        <v>0</v>
      </c>
      <c r="S696">
        <v>0</v>
      </c>
      <c r="T696" t="s">
        <v>54</v>
      </c>
      <c r="U696" t="s">
        <v>55</v>
      </c>
      <c r="W696" t="s">
        <v>2324</v>
      </c>
      <c r="Y696">
        <v>0</v>
      </c>
      <c r="AA696" t="s">
        <v>40</v>
      </c>
      <c r="AB696" t="s">
        <v>46</v>
      </c>
      <c r="AC696" t="s">
        <v>47</v>
      </c>
      <c r="AG696" t="s">
        <v>2325</v>
      </c>
      <c r="AJ696" t="s">
        <v>40</v>
      </c>
      <c r="AK696">
        <v>5019233408</v>
      </c>
      <c r="AO696" s="1">
        <v>45952</v>
      </c>
      <c r="AP696" s="5">
        <v>0.41666666666666669</v>
      </c>
      <c r="AS696">
        <v>1</v>
      </c>
    </row>
    <row r="697" spans="1:45" x14ac:dyDescent="0.2">
      <c r="A697">
        <f t="shared" si="42"/>
        <v>2025</v>
      </c>
      <c r="B697">
        <f t="shared" si="43"/>
        <v>10</v>
      </c>
      <c r="C697">
        <f t="shared" si="44"/>
        <v>43</v>
      </c>
      <c r="D697" s="2">
        <f t="shared" si="45"/>
        <v>45952</v>
      </c>
      <c r="E697" s="1">
        <v>45952.458333333336</v>
      </c>
      <c r="F697" t="s">
        <v>2326</v>
      </c>
      <c r="G697" t="s">
        <v>36</v>
      </c>
      <c r="H697" t="s">
        <v>1808</v>
      </c>
      <c r="I697" t="s">
        <v>38</v>
      </c>
      <c r="J697" t="s">
        <v>99</v>
      </c>
      <c r="M697" t="s">
        <v>40</v>
      </c>
      <c r="N697" t="s">
        <v>41</v>
      </c>
      <c r="O697" t="s">
        <v>42</v>
      </c>
      <c r="P697">
        <v>23</v>
      </c>
      <c r="Q697">
        <v>0</v>
      </c>
      <c r="R697">
        <v>0</v>
      </c>
      <c r="S697">
        <v>0</v>
      </c>
      <c r="T697" t="s">
        <v>2327</v>
      </c>
      <c r="U697" t="s">
        <v>44</v>
      </c>
      <c r="W697" t="s">
        <v>2288</v>
      </c>
      <c r="Y697">
        <v>0</v>
      </c>
      <c r="AA697" t="s">
        <v>40</v>
      </c>
      <c r="AB697" t="s">
        <v>46</v>
      </c>
      <c r="AC697" t="s">
        <v>47</v>
      </c>
      <c r="AF697" t="s">
        <v>367</v>
      </c>
      <c r="AJ697" t="s">
        <v>40</v>
      </c>
      <c r="AK697" t="s">
        <v>49</v>
      </c>
      <c r="AM697" t="s">
        <v>2328</v>
      </c>
      <c r="AN697" t="s">
        <v>2156</v>
      </c>
      <c r="AO697" s="1">
        <v>45952</v>
      </c>
      <c r="AP697" s="5">
        <v>0.45833333333333331</v>
      </c>
      <c r="AS697">
        <v>1</v>
      </c>
    </row>
    <row r="698" spans="1:45" x14ac:dyDescent="0.2">
      <c r="A698">
        <f t="shared" si="42"/>
        <v>2025</v>
      </c>
      <c r="B698">
        <f t="shared" si="43"/>
        <v>10</v>
      </c>
      <c r="C698">
        <f t="shared" si="44"/>
        <v>43</v>
      </c>
      <c r="D698" s="2">
        <f t="shared" si="45"/>
        <v>45952</v>
      </c>
      <c r="E698" s="1">
        <v>45952.458333333336</v>
      </c>
      <c r="F698" t="s">
        <v>2329</v>
      </c>
      <c r="G698" t="s">
        <v>36</v>
      </c>
      <c r="H698">
        <v>462620</v>
      </c>
      <c r="I698" t="s">
        <v>51</v>
      </c>
      <c r="J698" t="s">
        <v>52</v>
      </c>
      <c r="M698" t="s">
        <v>40</v>
      </c>
      <c r="N698" t="s">
        <v>41</v>
      </c>
      <c r="O698" t="s">
        <v>53</v>
      </c>
      <c r="P698">
        <v>33</v>
      </c>
      <c r="Q698">
        <v>0</v>
      </c>
      <c r="R698">
        <v>0</v>
      </c>
      <c r="S698">
        <v>0</v>
      </c>
      <c r="T698" t="s">
        <v>54</v>
      </c>
      <c r="U698" t="s">
        <v>55</v>
      </c>
      <c r="W698" t="s">
        <v>2162</v>
      </c>
      <c r="Y698">
        <v>0</v>
      </c>
      <c r="AA698" t="s">
        <v>40</v>
      </c>
      <c r="AB698" t="s">
        <v>46</v>
      </c>
      <c r="AC698" t="s">
        <v>47</v>
      </c>
      <c r="AG698" t="s">
        <v>2330</v>
      </c>
      <c r="AJ698" t="s">
        <v>40</v>
      </c>
      <c r="AK698">
        <v>5019211317</v>
      </c>
      <c r="AO698" s="1">
        <v>45952</v>
      </c>
      <c r="AP698" s="5">
        <v>0.45833333333333331</v>
      </c>
      <c r="AS698">
        <v>1</v>
      </c>
    </row>
    <row r="699" spans="1:45" x14ac:dyDescent="0.2">
      <c r="A699">
        <f t="shared" si="42"/>
        <v>2025</v>
      </c>
      <c r="B699">
        <f t="shared" si="43"/>
        <v>10</v>
      </c>
      <c r="C699">
        <f t="shared" si="44"/>
        <v>43</v>
      </c>
      <c r="D699" s="2">
        <f t="shared" si="45"/>
        <v>45952</v>
      </c>
      <c r="E699" s="1">
        <v>45952.458333333336</v>
      </c>
      <c r="F699" t="s">
        <v>2331</v>
      </c>
      <c r="G699" t="s">
        <v>36</v>
      </c>
      <c r="H699" t="s">
        <v>2332</v>
      </c>
      <c r="I699" t="s">
        <v>38</v>
      </c>
      <c r="J699" t="s">
        <v>645</v>
      </c>
      <c r="M699" t="s">
        <v>40</v>
      </c>
      <c r="N699" t="s">
        <v>41</v>
      </c>
      <c r="O699" t="s">
        <v>42</v>
      </c>
      <c r="P699">
        <v>20</v>
      </c>
      <c r="Q699">
        <v>0</v>
      </c>
      <c r="R699">
        <v>0</v>
      </c>
      <c r="S699">
        <v>0</v>
      </c>
      <c r="T699">
        <v>5019165778</v>
      </c>
      <c r="U699" t="s">
        <v>44</v>
      </c>
      <c r="W699" t="s">
        <v>2333</v>
      </c>
      <c r="Y699">
        <v>0</v>
      </c>
      <c r="AA699" t="s">
        <v>40</v>
      </c>
      <c r="AB699" t="s">
        <v>46</v>
      </c>
      <c r="AC699" t="s">
        <v>47</v>
      </c>
      <c r="AF699" t="s">
        <v>62</v>
      </c>
      <c r="AJ699" t="s">
        <v>40</v>
      </c>
      <c r="AK699" t="s">
        <v>49</v>
      </c>
      <c r="AN699">
        <v>38856155</v>
      </c>
      <c r="AO699" s="1">
        <v>45952</v>
      </c>
      <c r="AP699" s="5">
        <v>0.45833333333333331</v>
      </c>
      <c r="AS699">
        <v>1</v>
      </c>
    </row>
    <row r="700" spans="1:45" x14ac:dyDescent="0.2">
      <c r="A700">
        <f t="shared" si="42"/>
        <v>2025</v>
      </c>
      <c r="B700">
        <f t="shared" si="43"/>
        <v>10</v>
      </c>
      <c r="C700">
        <f t="shared" si="44"/>
        <v>43</v>
      </c>
      <c r="D700" s="2">
        <f t="shared" si="45"/>
        <v>45952</v>
      </c>
      <c r="E700" s="1">
        <v>45952.458333333336</v>
      </c>
      <c r="F700" t="s">
        <v>2334</v>
      </c>
      <c r="G700" t="s">
        <v>36</v>
      </c>
      <c r="H700" t="s">
        <v>626</v>
      </c>
      <c r="I700" t="s">
        <v>38</v>
      </c>
      <c r="J700" t="s">
        <v>451</v>
      </c>
      <c r="M700" t="s">
        <v>40</v>
      </c>
      <c r="N700" t="s">
        <v>41</v>
      </c>
      <c r="O700" t="s">
        <v>42</v>
      </c>
      <c r="P700">
        <v>23</v>
      </c>
      <c r="Q700">
        <v>0</v>
      </c>
      <c r="R700">
        <v>0</v>
      </c>
      <c r="S700">
        <v>0</v>
      </c>
      <c r="T700" t="s">
        <v>2335</v>
      </c>
      <c r="U700" t="s">
        <v>44</v>
      </c>
      <c r="W700" t="s">
        <v>2297</v>
      </c>
      <c r="Y700">
        <v>0</v>
      </c>
      <c r="AA700" t="s">
        <v>40</v>
      </c>
      <c r="AB700" t="s">
        <v>46</v>
      </c>
      <c r="AC700" t="s">
        <v>47</v>
      </c>
      <c r="AF700" t="s">
        <v>48</v>
      </c>
      <c r="AJ700" t="s">
        <v>40</v>
      </c>
      <c r="AK700" t="s">
        <v>49</v>
      </c>
      <c r="AO700" s="1">
        <v>45952</v>
      </c>
      <c r="AP700" s="5">
        <v>0.45833333333333331</v>
      </c>
      <c r="AS700">
        <v>1</v>
      </c>
    </row>
    <row r="701" spans="1:45" x14ac:dyDescent="0.2">
      <c r="A701">
        <f t="shared" si="42"/>
        <v>2025</v>
      </c>
      <c r="B701">
        <f t="shared" si="43"/>
        <v>10</v>
      </c>
      <c r="C701">
        <f t="shared" si="44"/>
        <v>43</v>
      </c>
      <c r="D701" s="2">
        <f t="shared" si="45"/>
        <v>45952</v>
      </c>
      <c r="E701" s="1">
        <v>45952.5</v>
      </c>
      <c r="F701" t="s">
        <v>2336</v>
      </c>
      <c r="G701" t="s">
        <v>36</v>
      </c>
      <c r="H701">
        <v>460045</v>
      </c>
      <c r="I701" t="s">
        <v>51</v>
      </c>
      <c r="J701" t="s">
        <v>144</v>
      </c>
      <c r="M701" t="s">
        <v>40</v>
      </c>
      <c r="N701" t="s">
        <v>41</v>
      </c>
      <c r="O701" t="s">
        <v>53</v>
      </c>
      <c r="P701">
        <v>33</v>
      </c>
      <c r="Q701">
        <v>0</v>
      </c>
      <c r="R701">
        <v>0</v>
      </c>
      <c r="S701">
        <v>0</v>
      </c>
      <c r="T701" t="s">
        <v>54</v>
      </c>
      <c r="U701" t="s">
        <v>55</v>
      </c>
      <c r="W701" t="s">
        <v>2337</v>
      </c>
      <c r="X701" t="s">
        <v>2338</v>
      </c>
      <c r="Y701">
        <v>0</v>
      </c>
      <c r="AA701" t="s">
        <v>40</v>
      </c>
      <c r="AB701" t="s">
        <v>46</v>
      </c>
      <c r="AC701" t="s">
        <v>47</v>
      </c>
      <c r="AG701" t="s">
        <v>2339</v>
      </c>
      <c r="AJ701" t="s">
        <v>40</v>
      </c>
      <c r="AK701">
        <v>5019227576</v>
      </c>
      <c r="AL701" t="s">
        <v>2340</v>
      </c>
      <c r="AM701" t="s">
        <v>2341</v>
      </c>
      <c r="AO701" s="1">
        <v>45952</v>
      </c>
      <c r="AP701" s="5">
        <v>0.5</v>
      </c>
      <c r="AS701">
        <v>1</v>
      </c>
    </row>
    <row r="702" spans="1:45" x14ac:dyDescent="0.2">
      <c r="A702">
        <f t="shared" si="42"/>
        <v>2025</v>
      </c>
      <c r="B702">
        <f t="shared" si="43"/>
        <v>10</v>
      </c>
      <c r="C702">
        <f t="shared" si="44"/>
        <v>43</v>
      </c>
      <c r="D702" s="2">
        <f t="shared" si="45"/>
        <v>45952</v>
      </c>
      <c r="E702" s="1">
        <v>45952.5</v>
      </c>
      <c r="F702" t="s">
        <v>2342</v>
      </c>
      <c r="G702" t="s">
        <v>36</v>
      </c>
      <c r="H702" t="s">
        <v>2343</v>
      </c>
      <c r="I702" t="s">
        <v>78</v>
      </c>
      <c r="J702" t="s">
        <v>144</v>
      </c>
      <c r="M702" t="s">
        <v>40</v>
      </c>
      <c r="N702" t="s">
        <v>41</v>
      </c>
      <c r="O702" t="s">
        <v>1781</v>
      </c>
      <c r="P702">
        <v>66</v>
      </c>
      <c r="Q702">
        <v>0</v>
      </c>
      <c r="R702">
        <v>0</v>
      </c>
      <c r="S702">
        <v>0</v>
      </c>
      <c r="T702" t="s">
        <v>54</v>
      </c>
      <c r="U702" t="s">
        <v>55</v>
      </c>
      <c r="W702" t="s">
        <v>2344</v>
      </c>
      <c r="Y702">
        <v>0</v>
      </c>
      <c r="AA702" t="s">
        <v>40</v>
      </c>
      <c r="AB702" t="s">
        <v>46</v>
      </c>
      <c r="AC702" t="s">
        <v>47</v>
      </c>
      <c r="AD702" t="s">
        <v>81</v>
      </c>
      <c r="AE702" t="s">
        <v>81</v>
      </c>
      <c r="AG702" t="s">
        <v>2345</v>
      </c>
      <c r="AJ702" t="s">
        <v>40</v>
      </c>
      <c r="AK702" t="s">
        <v>2346</v>
      </c>
      <c r="AO702" s="1">
        <v>45952</v>
      </c>
      <c r="AP702" s="5">
        <v>0.5</v>
      </c>
      <c r="AS702">
        <v>1</v>
      </c>
    </row>
    <row r="703" spans="1:45" x14ac:dyDescent="0.2">
      <c r="A703">
        <f t="shared" si="42"/>
        <v>2025</v>
      </c>
      <c r="B703">
        <f t="shared" si="43"/>
        <v>10</v>
      </c>
      <c r="C703">
        <f t="shared" si="44"/>
        <v>43</v>
      </c>
      <c r="D703" s="2">
        <f t="shared" si="45"/>
        <v>45952</v>
      </c>
      <c r="E703" s="1">
        <v>45952.541666666664</v>
      </c>
      <c r="F703" t="s">
        <v>2347</v>
      </c>
      <c r="G703" t="s">
        <v>36</v>
      </c>
      <c r="H703">
        <v>461780</v>
      </c>
      <c r="I703" t="s">
        <v>51</v>
      </c>
      <c r="J703" t="s">
        <v>154</v>
      </c>
      <c r="M703" t="s">
        <v>40</v>
      </c>
      <c r="N703" t="s">
        <v>41</v>
      </c>
      <c r="O703" t="s">
        <v>53</v>
      </c>
      <c r="P703">
        <v>33</v>
      </c>
      <c r="Q703">
        <v>0</v>
      </c>
      <c r="R703">
        <v>0</v>
      </c>
      <c r="S703">
        <v>0</v>
      </c>
      <c r="T703" t="s">
        <v>54</v>
      </c>
      <c r="U703" t="s">
        <v>55</v>
      </c>
      <c r="W703" t="s">
        <v>2348</v>
      </c>
      <c r="Y703">
        <v>0</v>
      </c>
      <c r="AA703" t="s">
        <v>40</v>
      </c>
      <c r="AB703" t="s">
        <v>46</v>
      </c>
      <c r="AC703" t="s">
        <v>47</v>
      </c>
      <c r="AG703" t="s">
        <v>2349</v>
      </c>
      <c r="AJ703" t="s">
        <v>40</v>
      </c>
      <c r="AK703">
        <v>5019219263</v>
      </c>
      <c r="AO703" s="1">
        <v>45952</v>
      </c>
      <c r="AP703" s="5">
        <v>0.54166666666666663</v>
      </c>
      <c r="AS703">
        <v>1</v>
      </c>
    </row>
    <row r="704" spans="1:45" x14ac:dyDescent="0.2">
      <c r="A704">
        <f t="shared" si="42"/>
        <v>2025</v>
      </c>
      <c r="B704">
        <f t="shared" si="43"/>
        <v>10</v>
      </c>
      <c r="C704">
        <f t="shared" si="44"/>
        <v>43</v>
      </c>
      <c r="D704" s="2">
        <f t="shared" si="45"/>
        <v>45952</v>
      </c>
      <c r="E704" s="1">
        <v>45952.541666666664</v>
      </c>
      <c r="F704" t="s">
        <v>2350</v>
      </c>
      <c r="G704" t="s">
        <v>36</v>
      </c>
      <c r="H704">
        <v>457401</v>
      </c>
      <c r="I704" t="s">
        <v>51</v>
      </c>
      <c r="J704" t="s">
        <v>188</v>
      </c>
      <c r="M704" t="s">
        <v>40</v>
      </c>
      <c r="N704" t="s">
        <v>41</v>
      </c>
      <c r="O704" t="s">
        <v>189</v>
      </c>
      <c r="P704">
        <v>33</v>
      </c>
      <c r="Q704">
        <v>0</v>
      </c>
      <c r="R704">
        <v>0</v>
      </c>
      <c r="S704">
        <v>0</v>
      </c>
      <c r="T704" t="s">
        <v>54</v>
      </c>
      <c r="U704" t="s">
        <v>55</v>
      </c>
      <c r="W704" t="s">
        <v>2297</v>
      </c>
      <c r="Y704">
        <v>0</v>
      </c>
      <c r="AA704" t="s">
        <v>40</v>
      </c>
      <c r="AB704" t="s">
        <v>46</v>
      </c>
      <c r="AC704" t="s">
        <v>47</v>
      </c>
      <c r="AG704" t="s">
        <v>2351</v>
      </c>
      <c r="AJ704" t="s">
        <v>40</v>
      </c>
      <c r="AK704">
        <v>5019219502</v>
      </c>
      <c r="AO704" s="1">
        <v>45952</v>
      </c>
      <c r="AP704" s="5">
        <v>0.54166666666666663</v>
      </c>
      <c r="AS704">
        <v>1</v>
      </c>
    </row>
    <row r="705" spans="1:45" x14ac:dyDescent="0.2">
      <c r="A705">
        <f t="shared" si="42"/>
        <v>2025</v>
      </c>
      <c r="B705">
        <f t="shared" si="43"/>
        <v>10</v>
      </c>
      <c r="C705">
        <f t="shared" si="44"/>
        <v>43</v>
      </c>
      <c r="D705" s="2">
        <f t="shared" si="45"/>
        <v>45952</v>
      </c>
      <c r="E705" s="1">
        <v>45952.541666666664</v>
      </c>
      <c r="F705" t="s">
        <v>2352</v>
      </c>
      <c r="G705" t="s">
        <v>36</v>
      </c>
      <c r="H705" t="s">
        <v>1808</v>
      </c>
      <c r="I705" t="s">
        <v>38</v>
      </c>
      <c r="J705" t="s">
        <v>99</v>
      </c>
      <c r="M705" t="s">
        <v>40</v>
      </c>
      <c r="N705" t="s">
        <v>41</v>
      </c>
      <c r="O705" t="s">
        <v>42</v>
      </c>
      <c r="P705">
        <v>23</v>
      </c>
      <c r="Q705">
        <v>0</v>
      </c>
      <c r="R705">
        <v>0</v>
      </c>
      <c r="S705">
        <v>0</v>
      </c>
      <c r="T705" t="s">
        <v>2353</v>
      </c>
      <c r="U705" t="s">
        <v>44</v>
      </c>
      <c r="W705" t="s">
        <v>2288</v>
      </c>
      <c r="Y705">
        <v>0</v>
      </c>
      <c r="AA705" t="s">
        <v>40</v>
      </c>
      <c r="AB705" t="s">
        <v>46</v>
      </c>
      <c r="AC705" t="s">
        <v>47</v>
      </c>
      <c r="AF705" t="s">
        <v>367</v>
      </c>
      <c r="AJ705" t="s">
        <v>40</v>
      </c>
      <c r="AK705" t="s">
        <v>49</v>
      </c>
      <c r="AM705" t="s">
        <v>2354</v>
      </c>
      <c r="AN705" t="s">
        <v>2156</v>
      </c>
      <c r="AO705" s="1">
        <v>45952</v>
      </c>
      <c r="AP705" s="5">
        <v>0.54166666666666663</v>
      </c>
      <c r="AS705">
        <v>1</v>
      </c>
    </row>
    <row r="706" spans="1:45" x14ac:dyDescent="0.2">
      <c r="A706">
        <f t="shared" ref="A706:A769" si="46">YEAR(D706)</f>
        <v>2025</v>
      </c>
      <c r="B706">
        <f t="shared" ref="B706:B769" si="47">MONTH(D706)</f>
        <v>10</v>
      </c>
      <c r="C706">
        <f t="shared" ref="C706:C769" si="48">WEEKNUM(D706)</f>
        <v>43</v>
      </c>
      <c r="D706" s="2">
        <f t="shared" ref="D706:D769" si="49">INT(E706)</f>
        <v>45952</v>
      </c>
      <c r="E706" s="1">
        <v>45952.541666666664</v>
      </c>
      <c r="F706" t="s">
        <v>2355</v>
      </c>
      <c r="G706" t="s">
        <v>36</v>
      </c>
      <c r="H706" t="s">
        <v>626</v>
      </c>
      <c r="I706" t="s">
        <v>38</v>
      </c>
      <c r="J706" t="s">
        <v>451</v>
      </c>
      <c r="M706" t="s">
        <v>40</v>
      </c>
      <c r="N706" t="s">
        <v>41</v>
      </c>
      <c r="O706" t="s">
        <v>42</v>
      </c>
      <c r="P706">
        <v>23</v>
      </c>
      <c r="Q706">
        <v>0</v>
      </c>
      <c r="R706">
        <v>0</v>
      </c>
      <c r="S706">
        <v>0</v>
      </c>
      <c r="T706" t="s">
        <v>2356</v>
      </c>
      <c r="U706" t="s">
        <v>44</v>
      </c>
      <c r="W706" t="s">
        <v>2297</v>
      </c>
      <c r="Y706">
        <v>0</v>
      </c>
      <c r="AA706" t="s">
        <v>40</v>
      </c>
      <c r="AB706" t="s">
        <v>46</v>
      </c>
      <c r="AC706" t="s">
        <v>47</v>
      </c>
      <c r="AF706" t="s">
        <v>48</v>
      </c>
      <c r="AJ706" t="s">
        <v>40</v>
      </c>
      <c r="AK706" t="s">
        <v>49</v>
      </c>
      <c r="AO706" s="1">
        <v>45952</v>
      </c>
      <c r="AP706" s="5">
        <v>0.54166666666666663</v>
      </c>
      <c r="AS706">
        <v>1</v>
      </c>
    </row>
    <row r="707" spans="1:45" x14ac:dyDescent="0.2">
      <c r="A707">
        <f t="shared" si="46"/>
        <v>2025</v>
      </c>
      <c r="B707">
        <f t="shared" si="47"/>
        <v>10</v>
      </c>
      <c r="C707">
        <f t="shared" si="48"/>
        <v>43</v>
      </c>
      <c r="D707" s="2">
        <f t="shared" si="49"/>
        <v>45952</v>
      </c>
      <c r="E707" s="1">
        <v>45952.583333333336</v>
      </c>
      <c r="F707" t="s">
        <v>2357</v>
      </c>
      <c r="G707" t="s">
        <v>36</v>
      </c>
      <c r="H707" t="s">
        <v>2358</v>
      </c>
      <c r="I707" t="s">
        <v>1042</v>
      </c>
      <c r="J707" t="s">
        <v>348</v>
      </c>
      <c r="M707" t="s">
        <v>40</v>
      </c>
      <c r="N707" t="s">
        <v>41</v>
      </c>
      <c r="O707" t="s">
        <v>1043</v>
      </c>
      <c r="P707">
        <v>5</v>
      </c>
      <c r="Q707">
        <v>0</v>
      </c>
      <c r="R707">
        <v>0</v>
      </c>
      <c r="S707">
        <v>0</v>
      </c>
      <c r="T707" t="s">
        <v>2359</v>
      </c>
      <c r="U707" t="s">
        <v>101</v>
      </c>
      <c r="W707" t="s">
        <v>2297</v>
      </c>
      <c r="Y707">
        <v>0</v>
      </c>
      <c r="AA707" t="s">
        <v>40</v>
      </c>
      <c r="AB707" t="s">
        <v>46</v>
      </c>
      <c r="AC707" t="s">
        <v>47</v>
      </c>
      <c r="AD707" t="s">
        <v>81</v>
      </c>
      <c r="AE707" t="s">
        <v>81</v>
      </c>
      <c r="AF707" t="s">
        <v>48</v>
      </c>
      <c r="AG707" t="s">
        <v>81</v>
      </c>
      <c r="AJ707" t="s">
        <v>40</v>
      </c>
      <c r="AK707" t="s">
        <v>49</v>
      </c>
      <c r="AL707" t="s">
        <v>1045</v>
      </c>
      <c r="AO707" s="1">
        <v>45952</v>
      </c>
      <c r="AP707" s="5">
        <v>0.58333333333333337</v>
      </c>
      <c r="AS707">
        <v>1</v>
      </c>
    </row>
    <row r="708" spans="1:45" x14ac:dyDescent="0.2">
      <c r="A708">
        <f t="shared" si="46"/>
        <v>2025</v>
      </c>
      <c r="B708">
        <f t="shared" si="47"/>
        <v>10</v>
      </c>
      <c r="C708">
        <f t="shared" si="48"/>
        <v>43</v>
      </c>
      <c r="D708" s="2">
        <f t="shared" si="49"/>
        <v>45952</v>
      </c>
      <c r="E708" s="1">
        <v>45952.583333333336</v>
      </c>
      <c r="F708" t="s">
        <v>2360</v>
      </c>
      <c r="G708" t="s">
        <v>36</v>
      </c>
      <c r="H708" t="s">
        <v>1808</v>
      </c>
      <c r="I708" t="s">
        <v>38</v>
      </c>
      <c r="J708" t="s">
        <v>99</v>
      </c>
      <c r="M708" t="s">
        <v>40</v>
      </c>
      <c r="N708" t="s">
        <v>41</v>
      </c>
      <c r="O708" t="s">
        <v>42</v>
      </c>
      <c r="P708">
        <v>23</v>
      </c>
      <c r="Q708">
        <v>0</v>
      </c>
      <c r="R708">
        <v>0</v>
      </c>
      <c r="S708">
        <v>0</v>
      </c>
      <c r="T708" t="s">
        <v>2361</v>
      </c>
      <c r="U708" t="s">
        <v>44</v>
      </c>
      <c r="W708" t="s">
        <v>2288</v>
      </c>
      <c r="Y708">
        <v>0</v>
      </c>
      <c r="AA708" t="s">
        <v>40</v>
      </c>
      <c r="AB708" t="s">
        <v>46</v>
      </c>
      <c r="AC708" t="s">
        <v>47</v>
      </c>
      <c r="AF708" t="s">
        <v>367</v>
      </c>
      <c r="AJ708" t="s">
        <v>40</v>
      </c>
      <c r="AK708" t="s">
        <v>49</v>
      </c>
      <c r="AM708" t="s">
        <v>1810</v>
      </c>
      <c r="AN708" t="s">
        <v>2362</v>
      </c>
      <c r="AO708" s="1">
        <v>45952</v>
      </c>
      <c r="AP708" s="5">
        <v>0.58333333333333337</v>
      </c>
      <c r="AS708">
        <v>1</v>
      </c>
    </row>
    <row r="709" spans="1:45" x14ac:dyDescent="0.2">
      <c r="A709">
        <f t="shared" si="46"/>
        <v>2025</v>
      </c>
      <c r="B709">
        <f t="shared" si="47"/>
        <v>10</v>
      </c>
      <c r="C709">
        <f t="shared" si="48"/>
        <v>43</v>
      </c>
      <c r="D709" s="2">
        <f t="shared" si="49"/>
        <v>45952</v>
      </c>
      <c r="E709" s="1">
        <v>45952.583333333336</v>
      </c>
      <c r="F709" t="s">
        <v>2363</v>
      </c>
      <c r="G709" t="s">
        <v>36</v>
      </c>
      <c r="H709" t="s">
        <v>37</v>
      </c>
      <c r="I709" t="s">
        <v>38</v>
      </c>
      <c r="J709" t="s">
        <v>112</v>
      </c>
      <c r="M709" t="s">
        <v>40</v>
      </c>
      <c r="N709" t="s">
        <v>41</v>
      </c>
      <c r="O709" t="s">
        <v>42</v>
      </c>
      <c r="P709">
        <v>23</v>
      </c>
      <c r="Q709">
        <v>0</v>
      </c>
      <c r="R709">
        <v>0</v>
      </c>
      <c r="S709">
        <v>0</v>
      </c>
      <c r="T709" t="s">
        <v>2364</v>
      </c>
      <c r="U709" t="s">
        <v>44</v>
      </c>
      <c r="W709" t="s">
        <v>2297</v>
      </c>
      <c r="Y709">
        <v>0</v>
      </c>
      <c r="AA709" t="s">
        <v>40</v>
      </c>
      <c r="AB709" t="s">
        <v>46</v>
      </c>
      <c r="AC709" t="s">
        <v>47</v>
      </c>
      <c r="AF709" t="s">
        <v>48</v>
      </c>
      <c r="AJ709" t="s">
        <v>40</v>
      </c>
      <c r="AK709" t="s">
        <v>49</v>
      </c>
      <c r="AO709" s="1">
        <v>45952</v>
      </c>
      <c r="AP709" s="5">
        <v>0.58333333333333337</v>
      </c>
      <c r="AS709">
        <v>1</v>
      </c>
    </row>
    <row r="710" spans="1:45" x14ac:dyDescent="0.2">
      <c r="A710">
        <f t="shared" si="46"/>
        <v>2025</v>
      </c>
      <c r="B710">
        <f t="shared" si="47"/>
        <v>10</v>
      </c>
      <c r="C710">
        <f t="shared" si="48"/>
        <v>43</v>
      </c>
      <c r="D710" s="2">
        <f t="shared" si="49"/>
        <v>45952</v>
      </c>
      <c r="E710" s="1">
        <v>45952.583333333336</v>
      </c>
      <c r="F710" t="s">
        <v>2365</v>
      </c>
      <c r="G710" t="s">
        <v>36</v>
      </c>
      <c r="H710" t="s">
        <v>2366</v>
      </c>
      <c r="I710" t="s">
        <v>78</v>
      </c>
      <c r="J710" t="s">
        <v>52</v>
      </c>
      <c r="M710" t="s">
        <v>40</v>
      </c>
      <c r="N710" t="s">
        <v>41</v>
      </c>
      <c r="O710" t="s">
        <v>1832</v>
      </c>
      <c r="P710">
        <v>66</v>
      </c>
      <c r="Q710">
        <v>0</v>
      </c>
      <c r="R710">
        <v>0</v>
      </c>
      <c r="S710">
        <v>0</v>
      </c>
      <c r="T710" t="s">
        <v>54</v>
      </c>
      <c r="U710" t="s">
        <v>55</v>
      </c>
      <c r="W710" t="s">
        <v>2367</v>
      </c>
      <c r="Y710">
        <v>0</v>
      </c>
      <c r="AA710" t="s">
        <v>40</v>
      </c>
      <c r="AB710" t="s">
        <v>46</v>
      </c>
      <c r="AC710" t="s">
        <v>47</v>
      </c>
      <c r="AD710" t="s">
        <v>81</v>
      </c>
      <c r="AE710" t="s">
        <v>81</v>
      </c>
      <c r="AG710" t="s">
        <v>2368</v>
      </c>
      <c r="AJ710" t="s">
        <v>40</v>
      </c>
      <c r="AK710" t="s">
        <v>2369</v>
      </c>
      <c r="AO710" s="1">
        <v>45952</v>
      </c>
      <c r="AP710" s="5">
        <v>0.58333333333333337</v>
      </c>
      <c r="AS710">
        <v>1</v>
      </c>
    </row>
    <row r="711" spans="1:45" x14ac:dyDescent="0.2">
      <c r="A711">
        <f t="shared" si="46"/>
        <v>2025</v>
      </c>
      <c r="B711">
        <f t="shared" si="47"/>
        <v>10</v>
      </c>
      <c r="C711">
        <f t="shared" si="48"/>
        <v>43</v>
      </c>
      <c r="D711" s="2">
        <f t="shared" si="49"/>
        <v>45952</v>
      </c>
      <c r="E711" s="1">
        <v>45952.625</v>
      </c>
      <c r="F711" t="s">
        <v>2370</v>
      </c>
      <c r="G711" t="s">
        <v>36</v>
      </c>
      <c r="H711" t="s">
        <v>2371</v>
      </c>
      <c r="I711" t="s">
        <v>38</v>
      </c>
      <c r="J711" t="s">
        <v>99</v>
      </c>
      <c r="M711" t="s">
        <v>40</v>
      </c>
      <c r="N711" t="s">
        <v>41</v>
      </c>
      <c r="O711" t="s">
        <v>42</v>
      </c>
      <c r="P711">
        <v>3</v>
      </c>
      <c r="Q711">
        <v>0</v>
      </c>
      <c r="R711">
        <v>0</v>
      </c>
      <c r="S711">
        <v>0</v>
      </c>
      <c r="T711" t="s">
        <v>2372</v>
      </c>
      <c r="U711" t="s">
        <v>101</v>
      </c>
      <c r="W711" t="s">
        <v>2209</v>
      </c>
      <c r="Y711">
        <v>0</v>
      </c>
      <c r="AA711" t="s">
        <v>40</v>
      </c>
      <c r="AB711" t="s">
        <v>46</v>
      </c>
      <c r="AC711" t="s">
        <v>47</v>
      </c>
      <c r="AF711" t="s">
        <v>1207</v>
      </c>
      <c r="AJ711" t="s">
        <v>40</v>
      </c>
      <c r="AK711" t="s">
        <v>49</v>
      </c>
      <c r="AO711" s="1">
        <v>45952</v>
      </c>
      <c r="AP711" s="5">
        <v>0.625</v>
      </c>
      <c r="AS711">
        <v>1</v>
      </c>
    </row>
    <row r="712" spans="1:45" x14ac:dyDescent="0.2">
      <c r="A712">
        <f t="shared" si="46"/>
        <v>2025</v>
      </c>
      <c r="B712">
        <f t="shared" si="47"/>
        <v>10</v>
      </c>
      <c r="C712">
        <f t="shared" si="48"/>
        <v>43</v>
      </c>
      <c r="D712" s="2">
        <f t="shared" si="49"/>
        <v>45952</v>
      </c>
      <c r="E712" s="1">
        <v>45952.625</v>
      </c>
      <c r="F712" t="s">
        <v>2373</v>
      </c>
      <c r="G712" t="s">
        <v>36</v>
      </c>
      <c r="H712" t="s">
        <v>2374</v>
      </c>
      <c r="I712" t="s">
        <v>78</v>
      </c>
      <c r="J712" t="s">
        <v>200</v>
      </c>
      <c r="M712" t="s">
        <v>40</v>
      </c>
      <c r="N712" t="s">
        <v>41</v>
      </c>
      <c r="O712" t="s">
        <v>525</v>
      </c>
      <c r="P712">
        <v>66</v>
      </c>
      <c r="Q712">
        <v>0</v>
      </c>
      <c r="R712">
        <v>0</v>
      </c>
      <c r="S712">
        <v>0</v>
      </c>
      <c r="T712" t="s">
        <v>54</v>
      </c>
      <c r="U712" t="s">
        <v>55</v>
      </c>
      <c r="W712" t="s">
        <v>2375</v>
      </c>
      <c r="Y712">
        <v>0</v>
      </c>
      <c r="AA712" t="s">
        <v>40</v>
      </c>
      <c r="AB712" t="s">
        <v>46</v>
      </c>
      <c r="AC712" t="s">
        <v>47</v>
      </c>
      <c r="AD712" t="s">
        <v>81</v>
      </c>
      <c r="AE712" t="s">
        <v>81</v>
      </c>
      <c r="AG712" t="s">
        <v>2376</v>
      </c>
      <c r="AJ712" t="s">
        <v>40</v>
      </c>
      <c r="AK712" t="s">
        <v>2377</v>
      </c>
      <c r="AO712" s="1">
        <v>45952</v>
      </c>
      <c r="AP712" s="5">
        <v>0.625</v>
      </c>
      <c r="AS712">
        <v>1</v>
      </c>
    </row>
    <row r="713" spans="1:45" x14ac:dyDescent="0.2">
      <c r="A713">
        <f t="shared" si="46"/>
        <v>2025</v>
      </c>
      <c r="B713">
        <f t="shared" si="47"/>
        <v>10</v>
      </c>
      <c r="C713">
        <f t="shared" si="48"/>
        <v>43</v>
      </c>
      <c r="D713" s="2">
        <f t="shared" si="49"/>
        <v>45952</v>
      </c>
      <c r="E713" s="1">
        <v>45952.625</v>
      </c>
      <c r="F713" t="s">
        <v>2378</v>
      </c>
      <c r="G713" t="s">
        <v>36</v>
      </c>
      <c r="H713" t="s">
        <v>2379</v>
      </c>
      <c r="I713" t="s">
        <v>38</v>
      </c>
      <c r="J713" t="s">
        <v>2380</v>
      </c>
      <c r="M713" t="s">
        <v>40</v>
      </c>
      <c r="N713" t="s">
        <v>41</v>
      </c>
      <c r="O713" t="s">
        <v>42</v>
      </c>
      <c r="P713">
        <v>31</v>
      </c>
      <c r="Q713">
        <v>0</v>
      </c>
      <c r="R713">
        <v>0</v>
      </c>
      <c r="S713">
        <v>0</v>
      </c>
      <c r="T713">
        <v>90021084</v>
      </c>
      <c r="U713" t="s">
        <v>44</v>
      </c>
      <c r="W713" t="s">
        <v>2209</v>
      </c>
      <c r="Y713">
        <v>0</v>
      </c>
      <c r="AA713" t="s">
        <v>40</v>
      </c>
      <c r="AB713" t="s">
        <v>46</v>
      </c>
      <c r="AC713" t="s">
        <v>47</v>
      </c>
      <c r="AF713" t="s">
        <v>2381</v>
      </c>
      <c r="AJ713" t="s">
        <v>40</v>
      </c>
      <c r="AK713" t="s">
        <v>49</v>
      </c>
      <c r="AO713" s="1">
        <v>45952</v>
      </c>
      <c r="AP713" s="5">
        <v>0.625</v>
      </c>
      <c r="AS713">
        <v>1</v>
      </c>
    </row>
    <row r="714" spans="1:45" x14ac:dyDescent="0.2">
      <c r="A714">
        <f t="shared" si="46"/>
        <v>2025</v>
      </c>
      <c r="B714">
        <f t="shared" si="47"/>
        <v>10</v>
      </c>
      <c r="C714">
        <f t="shared" si="48"/>
        <v>43</v>
      </c>
      <c r="D714" s="2">
        <f t="shared" si="49"/>
        <v>45952</v>
      </c>
      <c r="E714" s="1">
        <v>45952.625</v>
      </c>
      <c r="F714" t="s">
        <v>2382</v>
      </c>
      <c r="G714" t="s">
        <v>36</v>
      </c>
      <c r="H714" t="s">
        <v>2001</v>
      </c>
      <c r="I714" t="s">
        <v>38</v>
      </c>
      <c r="J714" t="s">
        <v>880</v>
      </c>
      <c r="M714" t="s">
        <v>40</v>
      </c>
      <c r="N714" t="s">
        <v>41</v>
      </c>
      <c r="O714" t="s">
        <v>42</v>
      </c>
      <c r="P714">
        <v>14</v>
      </c>
      <c r="Q714">
        <v>0</v>
      </c>
      <c r="R714">
        <v>0</v>
      </c>
      <c r="S714">
        <v>0</v>
      </c>
      <c r="T714" t="s">
        <v>2383</v>
      </c>
      <c r="U714" t="s">
        <v>44</v>
      </c>
      <c r="W714" t="s">
        <v>2209</v>
      </c>
      <c r="Y714">
        <v>0</v>
      </c>
      <c r="AA714" t="s">
        <v>40</v>
      </c>
      <c r="AB714" t="s">
        <v>46</v>
      </c>
      <c r="AC714" t="s">
        <v>47</v>
      </c>
      <c r="AF714" t="s">
        <v>882</v>
      </c>
      <c r="AJ714" t="s">
        <v>40</v>
      </c>
      <c r="AK714" t="s">
        <v>49</v>
      </c>
      <c r="AO714" s="1">
        <v>45952</v>
      </c>
      <c r="AP714" s="5">
        <v>0.625</v>
      </c>
      <c r="AS714">
        <v>1</v>
      </c>
    </row>
    <row r="715" spans="1:45" x14ac:dyDescent="0.2">
      <c r="A715">
        <f t="shared" si="46"/>
        <v>2025</v>
      </c>
      <c r="B715">
        <f t="shared" si="47"/>
        <v>10</v>
      </c>
      <c r="C715">
        <f t="shared" si="48"/>
        <v>43</v>
      </c>
      <c r="D715" s="2">
        <f t="shared" si="49"/>
        <v>45952</v>
      </c>
      <c r="E715" s="1">
        <v>45952.666666666664</v>
      </c>
      <c r="F715" t="s">
        <v>2384</v>
      </c>
      <c r="G715" t="s">
        <v>36</v>
      </c>
      <c r="H715" t="s">
        <v>2385</v>
      </c>
      <c r="I715" t="s">
        <v>78</v>
      </c>
      <c r="J715" t="s">
        <v>163</v>
      </c>
      <c r="M715" t="s">
        <v>40</v>
      </c>
      <c r="N715" t="s">
        <v>41</v>
      </c>
      <c r="O715" t="s">
        <v>1101</v>
      </c>
      <c r="P715">
        <v>66</v>
      </c>
      <c r="Q715">
        <v>0</v>
      </c>
      <c r="R715">
        <v>0</v>
      </c>
      <c r="S715">
        <v>0</v>
      </c>
      <c r="T715" t="s">
        <v>54</v>
      </c>
      <c r="U715" t="s">
        <v>55</v>
      </c>
      <c r="W715" t="s">
        <v>2269</v>
      </c>
      <c r="Y715">
        <v>0</v>
      </c>
      <c r="AA715" t="s">
        <v>40</v>
      </c>
      <c r="AB715" t="s">
        <v>46</v>
      </c>
      <c r="AC715" t="s">
        <v>47</v>
      </c>
      <c r="AD715" t="s">
        <v>81</v>
      </c>
      <c r="AE715" t="s">
        <v>81</v>
      </c>
      <c r="AG715" t="s">
        <v>2386</v>
      </c>
      <c r="AJ715" t="s">
        <v>40</v>
      </c>
      <c r="AK715" t="s">
        <v>2387</v>
      </c>
      <c r="AO715" s="1">
        <v>45952</v>
      </c>
      <c r="AP715" s="5">
        <v>0.66666666666666663</v>
      </c>
      <c r="AS715">
        <v>1</v>
      </c>
    </row>
    <row r="716" spans="1:45" x14ac:dyDescent="0.2">
      <c r="A716">
        <f t="shared" si="46"/>
        <v>2025</v>
      </c>
      <c r="B716">
        <f t="shared" si="47"/>
        <v>10</v>
      </c>
      <c r="C716">
        <f t="shared" si="48"/>
        <v>43</v>
      </c>
      <c r="D716" s="2">
        <f t="shared" si="49"/>
        <v>45952</v>
      </c>
      <c r="E716" s="1">
        <v>45952.666666666664</v>
      </c>
      <c r="F716" t="s">
        <v>2388</v>
      </c>
      <c r="G716" t="s">
        <v>36</v>
      </c>
      <c r="H716" t="s">
        <v>2379</v>
      </c>
      <c r="I716" t="s">
        <v>38</v>
      </c>
      <c r="J716" t="s">
        <v>2380</v>
      </c>
      <c r="M716" t="s">
        <v>40</v>
      </c>
      <c r="N716" t="s">
        <v>41</v>
      </c>
      <c r="O716" t="s">
        <v>42</v>
      </c>
      <c r="P716">
        <v>28</v>
      </c>
      <c r="Q716">
        <v>0</v>
      </c>
      <c r="R716">
        <v>0</v>
      </c>
      <c r="S716">
        <v>0</v>
      </c>
      <c r="T716" t="s">
        <v>2389</v>
      </c>
      <c r="U716" t="s">
        <v>44</v>
      </c>
      <c r="W716" t="s">
        <v>2209</v>
      </c>
      <c r="Y716">
        <v>0</v>
      </c>
      <c r="AA716" t="s">
        <v>40</v>
      </c>
      <c r="AB716" t="s">
        <v>46</v>
      </c>
      <c r="AC716" t="s">
        <v>47</v>
      </c>
      <c r="AF716" t="s">
        <v>2381</v>
      </c>
      <c r="AJ716" t="s">
        <v>40</v>
      </c>
      <c r="AK716" t="s">
        <v>49</v>
      </c>
      <c r="AO716" s="1">
        <v>45952</v>
      </c>
      <c r="AP716" s="5">
        <v>0.66666666666666663</v>
      </c>
      <c r="AS716">
        <v>1</v>
      </c>
    </row>
    <row r="717" spans="1:45" x14ac:dyDescent="0.2">
      <c r="A717">
        <f t="shared" si="46"/>
        <v>2025</v>
      </c>
      <c r="B717">
        <f t="shared" si="47"/>
        <v>10</v>
      </c>
      <c r="C717">
        <f t="shared" si="48"/>
        <v>43</v>
      </c>
      <c r="D717" s="2">
        <f t="shared" si="49"/>
        <v>45952</v>
      </c>
      <c r="E717" s="1">
        <v>45952.666666666664</v>
      </c>
      <c r="F717" t="s">
        <v>2390</v>
      </c>
      <c r="G717" t="s">
        <v>36</v>
      </c>
      <c r="H717" t="s">
        <v>2379</v>
      </c>
      <c r="I717" t="s">
        <v>38</v>
      </c>
      <c r="J717" t="s">
        <v>2380</v>
      </c>
      <c r="M717" t="s">
        <v>40</v>
      </c>
      <c r="N717" t="s">
        <v>41</v>
      </c>
      <c r="O717" t="s">
        <v>42</v>
      </c>
      <c r="P717">
        <v>31</v>
      </c>
      <c r="Q717">
        <v>0</v>
      </c>
      <c r="R717">
        <v>0</v>
      </c>
      <c r="S717">
        <v>0</v>
      </c>
      <c r="T717" t="s">
        <v>2391</v>
      </c>
      <c r="U717" t="s">
        <v>44</v>
      </c>
      <c r="W717" t="s">
        <v>2209</v>
      </c>
      <c r="Y717">
        <v>0</v>
      </c>
      <c r="AA717" t="s">
        <v>40</v>
      </c>
      <c r="AB717" t="s">
        <v>46</v>
      </c>
      <c r="AC717" t="s">
        <v>47</v>
      </c>
      <c r="AF717" t="s">
        <v>2381</v>
      </c>
      <c r="AJ717" t="s">
        <v>40</v>
      </c>
      <c r="AK717" t="s">
        <v>49</v>
      </c>
      <c r="AO717" s="1">
        <v>45952</v>
      </c>
      <c r="AP717" s="5">
        <v>0.66666666666666663</v>
      </c>
      <c r="AS717">
        <v>1</v>
      </c>
    </row>
    <row r="718" spans="1:45" x14ac:dyDescent="0.2">
      <c r="A718">
        <f t="shared" si="46"/>
        <v>2025</v>
      </c>
      <c r="B718">
        <f t="shared" si="47"/>
        <v>10</v>
      </c>
      <c r="C718">
        <f t="shared" si="48"/>
        <v>43</v>
      </c>
      <c r="D718" s="2">
        <f t="shared" si="49"/>
        <v>45952</v>
      </c>
      <c r="E718" s="1">
        <v>45952.666666666664</v>
      </c>
      <c r="F718" t="s">
        <v>2392</v>
      </c>
      <c r="G718" t="s">
        <v>36</v>
      </c>
      <c r="H718">
        <v>460033</v>
      </c>
      <c r="I718" t="s">
        <v>51</v>
      </c>
      <c r="J718" t="s">
        <v>154</v>
      </c>
      <c r="M718" t="s">
        <v>40</v>
      </c>
      <c r="N718" t="s">
        <v>41</v>
      </c>
      <c r="O718" t="s">
        <v>53</v>
      </c>
      <c r="P718">
        <v>33</v>
      </c>
      <c r="Q718">
        <v>0</v>
      </c>
      <c r="R718">
        <v>0</v>
      </c>
      <c r="S718">
        <v>0</v>
      </c>
      <c r="T718" t="s">
        <v>54</v>
      </c>
      <c r="U718" t="s">
        <v>55</v>
      </c>
      <c r="W718" t="s">
        <v>2082</v>
      </c>
      <c r="Y718">
        <v>0</v>
      </c>
      <c r="AA718" t="s">
        <v>40</v>
      </c>
      <c r="AB718" t="s">
        <v>46</v>
      </c>
      <c r="AC718" t="s">
        <v>47</v>
      </c>
      <c r="AG718" t="s">
        <v>2393</v>
      </c>
      <c r="AJ718" t="s">
        <v>40</v>
      </c>
      <c r="AK718">
        <v>5019211316</v>
      </c>
      <c r="AO718" s="1">
        <v>45952</v>
      </c>
      <c r="AP718" s="5">
        <v>0.66666666666666663</v>
      </c>
      <c r="AS718">
        <v>1</v>
      </c>
    </row>
    <row r="719" spans="1:45" x14ac:dyDescent="0.2">
      <c r="A719">
        <f t="shared" si="46"/>
        <v>2025</v>
      </c>
      <c r="B719">
        <f t="shared" si="47"/>
        <v>10</v>
      </c>
      <c r="C719">
        <f t="shared" si="48"/>
        <v>43</v>
      </c>
      <c r="D719" s="2">
        <f t="shared" si="49"/>
        <v>45952</v>
      </c>
      <c r="E719" s="1">
        <v>45952.708333333336</v>
      </c>
      <c r="F719" t="s">
        <v>2394</v>
      </c>
      <c r="G719" t="s">
        <v>36</v>
      </c>
      <c r="H719">
        <v>457411</v>
      </c>
      <c r="I719" t="s">
        <v>51</v>
      </c>
      <c r="J719" t="s">
        <v>154</v>
      </c>
      <c r="M719" t="s">
        <v>40</v>
      </c>
      <c r="N719" t="s">
        <v>41</v>
      </c>
      <c r="O719" t="s">
        <v>155</v>
      </c>
      <c r="P719">
        <v>33</v>
      </c>
      <c r="Q719">
        <v>0</v>
      </c>
      <c r="R719">
        <v>0</v>
      </c>
      <c r="S719">
        <v>0</v>
      </c>
      <c r="T719" t="s">
        <v>54</v>
      </c>
      <c r="U719" t="s">
        <v>55</v>
      </c>
      <c r="W719" t="s">
        <v>2297</v>
      </c>
      <c r="Y719">
        <v>0</v>
      </c>
      <c r="AA719" t="s">
        <v>40</v>
      </c>
      <c r="AB719" t="s">
        <v>46</v>
      </c>
      <c r="AC719" t="s">
        <v>47</v>
      </c>
      <c r="AG719" t="s">
        <v>2395</v>
      </c>
      <c r="AJ719" t="s">
        <v>40</v>
      </c>
      <c r="AK719">
        <v>5019207673</v>
      </c>
      <c r="AO719" s="1">
        <v>45952</v>
      </c>
      <c r="AP719" s="5">
        <v>0.70833333333333337</v>
      </c>
      <c r="AS719">
        <v>1</v>
      </c>
    </row>
    <row r="720" spans="1:45" x14ac:dyDescent="0.2">
      <c r="A720">
        <f t="shared" si="46"/>
        <v>2025</v>
      </c>
      <c r="B720">
        <f t="shared" si="47"/>
        <v>10</v>
      </c>
      <c r="C720">
        <f t="shared" si="48"/>
        <v>43</v>
      </c>
      <c r="D720" s="2">
        <f t="shared" si="49"/>
        <v>45952</v>
      </c>
      <c r="E720" s="1">
        <v>45952.708333333336</v>
      </c>
      <c r="F720" t="s">
        <v>2396</v>
      </c>
      <c r="G720" t="s">
        <v>36</v>
      </c>
      <c r="H720" t="s">
        <v>2397</v>
      </c>
      <c r="I720" t="s">
        <v>51</v>
      </c>
      <c r="J720" t="s">
        <v>194</v>
      </c>
      <c r="M720" t="s">
        <v>40</v>
      </c>
      <c r="N720" t="s">
        <v>41</v>
      </c>
      <c r="O720" t="s">
        <v>2398</v>
      </c>
      <c r="P720">
        <v>1</v>
      </c>
      <c r="Q720">
        <v>0</v>
      </c>
      <c r="R720">
        <v>0</v>
      </c>
      <c r="S720">
        <v>14988</v>
      </c>
      <c r="T720" t="s">
        <v>2399</v>
      </c>
      <c r="U720" t="s">
        <v>392</v>
      </c>
      <c r="W720" t="s">
        <v>1892</v>
      </c>
      <c r="X720" t="s">
        <v>2400</v>
      </c>
      <c r="Y720">
        <v>0</v>
      </c>
      <c r="AA720" t="s">
        <v>40</v>
      </c>
      <c r="AB720" t="s">
        <v>46</v>
      </c>
      <c r="AC720" t="s">
        <v>47</v>
      </c>
      <c r="AJ720" t="s">
        <v>40</v>
      </c>
      <c r="AK720">
        <v>5019179677</v>
      </c>
      <c r="AL720" t="s">
        <v>2401</v>
      </c>
      <c r="AM720" t="s">
        <v>2402</v>
      </c>
      <c r="AO720" s="1">
        <v>45952</v>
      </c>
      <c r="AP720" s="5">
        <v>0.70833333333333337</v>
      </c>
      <c r="AS720">
        <v>1</v>
      </c>
    </row>
    <row r="721" spans="1:45" x14ac:dyDescent="0.2">
      <c r="A721">
        <f t="shared" si="46"/>
        <v>2025</v>
      </c>
      <c r="B721">
        <f t="shared" si="47"/>
        <v>10</v>
      </c>
      <c r="C721">
        <f t="shared" si="48"/>
        <v>43</v>
      </c>
      <c r="D721" s="2">
        <f t="shared" si="49"/>
        <v>45952</v>
      </c>
      <c r="E721" s="1">
        <v>45952.708333333336</v>
      </c>
      <c r="F721" t="s">
        <v>2403</v>
      </c>
      <c r="G721" t="s">
        <v>36</v>
      </c>
      <c r="H721">
        <v>457447</v>
      </c>
      <c r="I721" t="s">
        <v>51</v>
      </c>
      <c r="J721" t="s">
        <v>144</v>
      </c>
      <c r="M721" t="s">
        <v>40</v>
      </c>
      <c r="N721" t="s">
        <v>41</v>
      </c>
      <c r="O721" t="s">
        <v>155</v>
      </c>
      <c r="P721">
        <v>33</v>
      </c>
      <c r="Q721">
        <v>0</v>
      </c>
      <c r="R721">
        <v>0</v>
      </c>
      <c r="S721">
        <v>0</v>
      </c>
      <c r="T721" t="s">
        <v>54</v>
      </c>
      <c r="U721" t="s">
        <v>55</v>
      </c>
      <c r="W721" t="s">
        <v>1898</v>
      </c>
      <c r="Y721">
        <v>0</v>
      </c>
      <c r="AA721" t="s">
        <v>40</v>
      </c>
      <c r="AB721" t="s">
        <v>46</v>
      </c>
      <c r="AC721" t="s">
        <v>47</v>
      </c>
      <c r="AG721" t="s">
        <v>2404</v>
      </c>
      <c r="AJ721" t="s">
        <v>40</v>
      </c>
      <c r="AK721">
        <v>5019220217</v>
      </c>
      <c r="AO721" s="1">
        <v>45952</v>
      </c>
      <c r="AP721" s="5">
        <v>0.70833333333333337</v>
      </c>
      <c r="AS721">
        <v>1</v>
      </c>
    </row>
    <row r="722" spans="1:45" x14ac:dyDescent="0.2">
      <c r="A722">
        <f t="shared" si="46"/>
        <v>2025</v>
      </c>
      <c r="B722">
        <f t="shared" si="47"/>
        <v>10</v>
      </c>
      <c r="C722">
        <f t="shared" si="48"/>
        <v>43</v>
      </c>
      <c r="D722" s="2">
        <f t="shared" si="49"/>
        <v>45952</v>
      </c>
      <c r="E722" s="1">
        <v>45952.75</v>
      </c>
      <c r="F722" t="s">
        <v>2405</v>
      </c>
      <c r="G722" t="s">
        <v>36</v>
      </c>
      <c r="H722">
        <v>457407</v>
      </c>
      <c r="I722" t="s">
        <v>51</v>
      </c>
      <c r="J722" t="s">
        <v>194</v>
      </c>
      <c r="M722" t="s">
        <v>40</v>
      </c>
      <c r="N722" t="s">
        <v>41</v>
      </c>
      <c r="O722" t="s">
        <v>189</v>
      </c>
      <c r="P722">
        <v>33</v>
      </c>
      <c r="Q722">
        <v>0</v>
      </c>
      <c r="R722">
        <v>0</v>
      </c>
      <c r="S722">
        <v>0</v>
      </c>
      <c r="T722" t="s">
        <v>54</v>
      </c>
      <c r="U722" t="s">
        <v>55</v>
      </c>
      <c r="W722" t="s">
        <v>2406</v>
      </c>
      <c r="Y722">
        <v>0</v>
      </c>
      <c r="AA722" t="s">
        <v>40</v>
      </c>
      <c r="AB722" t="s">
        <v>46</v>
      </c>
      <c r="AC722" t="s">
        <v>47</v>
      </c>
      <c r="AG722" t="s">
        <v>2407</v>
      </c>
      <c r="AJ722" t="s">
        <v>40</v>
      </c>
      <c r="AK722">
        <v>5019229976</v>
      </c>
      <c r="AO722" s="1">
        <v>45952</v>
      </c>
      <c r="AP722" s="5">
        <v>0.75</v>
      </c>
      <c r="AS722">
        <v>1</v>
      </c>
    </row>
    <row r="723" spans="1:45" x14ac:dyDescent="0.2">
      <c r="A723">
        <f t="shared" si="46"/>
        <v>2025</v>
      </c>
      <c r="B723">
        <f t="shared" si="47"/>
        <v>10</v>
      </c>
      <c r="C723">
        <f t="shared" si="48"/>
        <v>43</v>
      </c>
      <c r="D723" s="2">
        <f t="shared" si="49"/>
        <v>45952</v>
      </c>
      <c r="E723" s="1">
        <v>45952.75</v>
      </c>
      <c r="F723" t="s">
        <v>2408</v>
      </c>
      <c r="G723" t="s">
        <v>36</v>
      </c>
      <c r="H723">
        <v>457417</v>
      </c>
      <c r="I723" t="s">
        <v>51</v>
      </c>
      <c r="J723" t="s">
        <v>219</v>
      </c>
      <c r="M723" t="s">
        <v>40</v>
      </c>
      <c r="N723" t="s">
        <v>41</v>
      </c>
      <c r="O723" t="s">
        <v>90</v>
      </c>
      <c r="P723">
        <v>33</v>
      </c>
      <c r="Q723">
        <v>0</v>
      </c>
      <c r="R723">
        <v>0</v>
      </c>
      <c r="S723">
        <v>0</v>
      </c>
      <c r="T723" t="s">
        <v>54</v>
      </c>
      <c r="U723" t="s">
        <v>55</v>
      </c>
      <c r="W723" t="s">
        <v>2409</v>
      </c>
      <c r="X723" t="s">
        <v>2410</v>
      </c>
      <c r="Y723">
        <v>0</v>
      </c>
      <c r="AA723" t="s">
        <v>40</v>
      </c>
      <c r="AB723" t="s">
        <v>46</v>
      </c>
      <c r="AC723" t="s">
        <v>47</v>
      </c>
      <c r="AG723" t="s">
        <v>2411</v>
      </c>
      <c r="AJ723" t="s">
        <v>40</v>
      </c>
      <c r="AK723">
        <v>5018942741</v>
      </c>
      <c r="AL723" t="s">
        <v>2412</v>
      </c>
      <c r="AM723" t="s">
        <v>2413</v>
      </c>
      <c r="AO723" s="1">
        <v>45952</v>
      </c>
      <c r="AP723" s="5">
        <v>0.75</v>
      </c>
      <c r="AS723">
        <v>1</v>
      </c>
    </row>
    <row r="724" spans="1:45" x14ac:dyDescent="0.2">
      <c r="A724">
        <f t="shared" si="46"/>
        <v>2025</v>
      </c>
      <c r="B724">
        <f t="shared" si="47"/>
        <v>10</v>
      </c>
      <c r="C724">
        <f t="shared" si="48"/>
        <v>43</v>
      </c>
      <c r="D724" s="2">
        <f t="shared" si="49"/>
        <v>45952</v>
      </c>
      <c r="E724" s="1">
        <v>45952.791666666664</v>
      </c>
      <c r="F724" t="s">
        <v>2414</v>
      </c>
      <c r="G724" t="s">
        <v>36</v>
      </c>
      <c r="H724">
        <v>457413</v>
      </c>
      <c r="I724" t="s">
        <v>51</v>
      </c>
      <c r="J724" t="s">
        <v>194</v>
      </c>
      <c r="M724" t="s">
        <v>40</v>
      </c>
      <c r="N724" t="s">
        <v>41</v>
      </c>
      <c r="O724" t="s">
        <v>189</v>
      </c>
      <c r="P724">
        <v>33</v>
      </c>
      <c r="Q724">
        <v>0</v>
      </c>
      <c r="R724">
        <v>0</v>
      </c>
      <c r="S724">
        <v>0</v>
      </c>
      <c r="T724" t="s">
        <v>54</v>
      </c>
      <c r="U724" t="s">
        <v>55</v>
      </c>
      <c r="W724" t="s">
        <v>2415</v>
      </c>
      <c r="Y724">
        <v>0</v>
      </c>
      <c r="AA724" t="s">
        <v>40</v>
      </c>
      <c r="AB724" t="s">
        <v>46</v>
      </c>
      <c r="AC724" t="s">
        <v>47</v>
      </c>
      <c r="AG724" t="s">
        <v>2416</v>
      </c>
      <c r="AJ724" t="s">
        <v>40</v>
      </c>
      <c r="AK724">
        <v>5019219907</v>
      </c>
      <c r="AO724" s="1">
        <v>45952</v>
      </c>
      <c r="AP724" s="5">
        <v>0.79166666666666663</v>
      </c>
      <c r="AS724">
        <v>1</v>
      </c>
    </row>
    <row r="725" spans="1:45" x14ac:dyDescent="0.2">
      <c r="A725">
        <f t="shared" si="46"/>
        <v>2025</v>
      </c>
      <c r="B725">
        <f t="shared" si="47"/>
        <v>10</v>
      </c>
      <c r="C725">
        <f t="shared" si="48"/>
        <v>43</v>
      </c>
      <c r="D725" s="2">
        <f t="shared" si="49"/>
        <v>45952</v>
      </c>
      <c r="E725" s="1">
        <v>45952.791666666664</v>
      </c>
      <c r="F725" t="s">
        <v>2417</v>
      </c>
      <c r="G725" t="s">
        <v>36</v>
      </c>
      <c r="H725">
        <v>457420</v>
      </c>
      <c r="I725" t="s">
        <v>51</v>
      </c>
      <c r="J725" t="s">
        <v>194</v>
      </c>
      <c r="M725" t="s">
        <v>40</v>
      </c>
      <c r="N725" t="s">
        <v>41</v>
      </c>
      <c r="O725" t="s">
        <v>210</v>
      </c>
      <c r="P725">
        <v>33</v>
      </c>
      <c r="Q725">
        <v>0</v>
      </c>
      <c r="R725">
        <v>0</v>
      </c>
      <c r="S725">
        <v>0</v>
      </c>
      <c r="T725" t="s">
        <v>54</v>
      </c>
      <c r="U725" t="s">
        <v>55</v>
      </c>
      <c r="W725" t="s">
        <v>2269</v>
      </c>
      <c r="X725" t="s">
        <v>2418</v>
      </c>
      <c r="Y725">
        <v>0</v>
      </c>
      <c r="AA725" t="s">
        <v>40</v>
      </c>
      <c r="AB725" t="s">
        <v>46</v>
      </c>
      <c r="AC725" t="s">
        <v>47</v>
      </c>
      <c r="AG725" t="s">
        <v>2419</v>
      </c>
      <c r="AJ725" t="s">
        <v>40</v>
      </c>
      <c r="AK725">
        <v>5019225304</v>
      </c>
      <c r="AL725" t="s">
        <v>2420</v>
      </c>
      <c r="AM725" t="s">
        <v>2421</v>
      </c>
      <c r="AO725" s="1">
        <v>45952</v>
      </c>
      <c r="AP725" s="5">
        <v>0.79166666666666663</v>
      </c>
      <c r="AS725">
        <v>1</v>
      </c>
    </row>
    <row r="726" spans="1:45" x14ac:dyDescent="0.2">
      <c r="A726">
        <f t="shared" si="46"/>
        <v>2025</v>
      </c>
      <c r="B726">
        <f t="shared" si="47"/>
        <v>10</v>
      </c>
      <c r="C726">
        <f t="shared" si="48"/>
        <v>43</v>
      </c>
      <c r="D726" s="2">
        <f t="shared" si="49"/>
        <v>45952</v>
      </c>
      <c r="E726" s="1">
        <v>45952.791666666664</v>
      </c>
      <c r="F726" t="s">
        <v>2422</v>
      </c>
      <c r="G726" t="s">
        <v>36</v>
      </c>
      <c r="H726">
        <v>457434</v>
      </c>
      <c r="I726" t="s">
        <v>51</v>
      </c>
      <c r="J726" t="s">
        <v>154</v>
      </c>
      <c r="M726" t="s">
        <v>40</v>
      </c>
      <c r="N726" t="s">
        <v>41</v>
      </c>
      <c r="O726" t="s">
        <v>155</v>
      </c>
      <c r="P726">
        <v>33</v>
      </c>
      <c r="Q726">
        <v>0</v>
      </c>
      <c r="R726">
        <v>0</v>
      </c>
      <c r="S726">
        <v>0</v>
      </c>
      <c r="T726" t="s">
        <v>54</v>
      </c>
      <c r="U726" t="s">
        <v>55</v>
      </c>
      <c r="W726" t="s">
        <v>2297</v>
      </c>
      <c r="Y726">
        <v>0</v>
      </c>
      <c r="AA726" t="s">
        <v>40</v>
      </c>
      <c r="AB726" t="s">
        <v>46</v>
      </c>
      <c r="AC726" t="s">
        <v>47</v>
      </c>
      <c r="AG726" t="s">
        <v>2423</v>
      </c>
      <c r="AJ726" t="s">
        <v>40</v>
      </c>
      <c r="AK726">
        <v>5019225065</v>
      </c>
      <c r="AO726" s="1">
        <v>45952</v>
      </c>
      <c r="AP726" s="5">
        <v>0.79166666666666663</v>
      </c>
      <c r="AS726">
        <v>1</v>
      </c>
    </row>
    <row r="727" spans="1:45" x14ac:dyDescent="0.2">
      <c r="A727">
        <f t="shared" si="46"/>
        <v>2025</v>
      </c>
      <c r="B727">
        <f t="shared" si="47"/>
        <v>10</v>
      </c>
      <c r="C727">
        <f t="shared" si="48"/>
        <v>43</v>
      </c>
      <c r="D727" s="2">
        <f t="shared" si="49"/>
        <v>45952</v>
      </c>
      <c r="E727" s="1">
        <v>45952.833333333336</v>
      </c>
      <c r="F727" t="s">
        <v>2424</v>
      </c>
      <c r="G727" t="s">
        <v>36</v>
      </c>
      <c r="H727">
        <v>457452</v>
      </c>
      <c r="I727" t="s">
        <v>51</v>
      </c>
      <c r="J727" t="s">
        <v>154</v>
      </c>
      <c r="M727" t="s">
        <v>40</v>
      </c>
      <c r="N727" t="s">
        <v>41</v>
      </c>
      <c r="O727" t="s">
        <v>182</v>
      </c>
      <c r="P727">
        <v>33</v>
      </c>
      <c r="Q727">
        <v>0</v>
      </c>
      <c r="R727">
        <v>0</v>
      </c>
      <c r="S727">
        <v>0</v>
      </c>
      <c r="T727" t="s">
        <v>54</v>
      </c>
      <c r="U727" t="s">
        <v>55</v>
      </c>
      <c r="W727" t="s">
        <v>2205</v>
      </c>
      <c r="Y727">
        <v>0</v>
      </c>
      <c r="AA727" t="s">
        <v>40</v>
      </c>
      <c r="AB727" t="s">
        <v>46</v>
      </c>
      <c r="AC727" t="s">
        <v>47</v>
      </c>
      <c r="AG727" t="s">
        <v>2425</v>
      </c>
      <c r="AJ727" t="s">
        <v>40</v>
      </c>
      <c r="AK727">
        <v>5019220831</v>
      </c>
      <c r="AO727" s="1">
        <v>45952</v>
      </c>
      <c r="AP727" s="5">
        <v>0.83333333333333337</v>
      </c>
      <c r="AS727">
        <v>1</v>
      </c>
    </row>
    <row r="728" spans="1:45" x14ac:dyDescent="0.2">
      <c r="A728">
        <f t="shared" si="46"/>
        <v>2025</v>
      </c>
      <c r="B728">
        <f t="shared" si="47"/>
        <v>10</v>
      </c>
      <c r="C728">
        <f t="shared" si="48"/>
        <v>43</v>
      </c>
      <c r="D728" s="2">
        <f t="shared" si="49"/>
        <v>45953</v>
      </c>
      <c r="E728" s="1">
        <v>45953.25</v>
      </c>
      <c r="F728" t="s">
        <v>2426</v>
      </c>
      <c r="G728" t="s">
        <v>36</v>
      </c>
      <c r="H728">
        <v>457423</v>
      </c>
      <c r="I728" t="s">
        <v>51</v>
      </c>
      <c r="J728" t="s">
        <v>118</v>
      </c>
      <c r="M728" t="s">
        <v>40</v>
      </c>
      <c r="N728" t="s">
        <v>41</v>
      </c>
      <c r="O728" t="s">
        <v>1514</v>
      </c>
      <c r="P728">
        <v>33</v>
      </c>
      <c r="Q728">
        <v>0</v>
      </c>
      <c r="R728">
        <v>0</v>
      </c>
      <c r="S728">
        <v>0</v>
      </c>
      <c r="T728" t="s">
        <v>54</v>
      </c>
      <c r="U728" t="s">
        <v>55</v>
      </c>
      <c r="W728" t="s">
        <v>2427</v>
      </c>
      <c r="Y728">
        <v>0</v>
      </c>
      <c r="AA728" t="s">
        <v>40</v>
      </c>
      <c r="AB728" t="s">
        <v>46</v>
      </c>
      <c r="AC728" t="s">
        <v>47</v>
      </c>
      <c r="AG728" t="s">
        <v>2428</v>
      </c>
      <c r="AJ728" t="s">
        <v>40</v>
      </c>
      <c r="AK728">
        <v>5019243808</v>
      </c>
      <c r="AO728" s="1">
        <v>45953</v>
      </c>
      <c r="AP728" s="5">
        <v>0.25</v>
      </c>
      <c r="AS728">
        <v>1</v>
      </c>
    </row>
    <row r="729" spans="1:45" x14ac:dyDescent="0.2">
      <c r="A729">
        <f t="shared" si="46"/>
        <v>2025</v>
      </c>
      <c r="B729">
        <f t="shared" si="47"/>
        <v>10</v>
      </c>
      <c r="C729">
        <f t="shared" si="48"/>
        <v>43</v>
      </c>
      <c r="D729" s="2">
        <f t="shared" si="49"/>
        <v>45953</v>
      </c>
      <c r="E729" s="1">
        <v>45953.25</v>
      </c>
      <c r="F729" t="s">
        <v>2429</v>
      </c>
      <c r="G729" t="s">
        <v>36</v>
      </c>
      <c r="H729">
        <v>461760</v>
      </c>
      <c r="I729" t="s">
        <v>51</v>
      </c>
      <c r="J729" t="s">
        <v>52</v>
      </c>
      <c r="M729" t="s">
        <v>40</v>
      </c>
      <c r="N729" t="s">
        <v>41</v>
      </c>
      <c r="O729" t="s">
        <v>992</v>
      </c>
      <c r="P729">
        <v>33</v>
      </c>
      <c r="Q729">
        <v>0</v>
      </c>
      <c r="R729">
        <v>0</v>
      </c>
      <c r="S729">
        <v>0</v>
      </c>
      <c r="T729" t="s">
        <v>54</v>
      </c>
      <c r="U729" t="s">
        <v>55</v>
      </c>
      <c r="W729" t="s">
        <v>2430</v>
      </c>
      <c r="Y729">
        <v>0</v>
      </c>
      <c r="AA729" t="s">
        <v>40</v>
      </c>
      <c r="AB729" t="s">
        <v>46</v>
      </c>
      <c r="AC729" t="s">
        <v>47</v>
      </c>
      <c r="AG729" t="s">
        <v>2431</v>
      </c>
      <c r="AJ729" t="s">
        <v>40</v>
      </c>
      <c r="AK729">
        <v>5019245333</v>
      </c>
      <c r="AO729" s="1">
        <v>45953</v>
      </c>
      <c r="AP729" s="5">
        <v>0.25</v>
      </c>
      <c r="AS729">
        <v>1</v>
      </c>
    </row>
    <row r="730" spans="1:45" x14ac:dyDescent="0.2">
      <c r="A730">
        <f t="shared" si="46"/>
        <v>2025</v>
      </c>
      <c r="B730">
        <f t="shared" si="47"/>
        <v>10</v>
      </c>
      <c r="C730">
        <f t="shared" si="48"/>
        <v>43</v>
      </c>
      <c r="D730" s="2">
        <f t="shared" si="49"/>
        <v>45953</v>
      </c>
      <c r="E730" s="1">
        <v>45953.291666666664</v>
      </c>
      <c r="F730" t="s">
        <v>2432</v>
      </c>
      <c r="G730" t="s">
        <v>36</v>
      </c>
      <c r="H730">
        <v>457450</v>
      </c>
      <c r="I730" t="s">
        <v>51</v>
      </c>
      <c r="J730" t="s">
        <v>144</v>
      </c>
      <c r="M730" t="s">
        <v>40</v>
      </c>
      <c r="N730" t="s">
        <v>41</v>
      </c>
      <c r="O730" t="s">
        <v>172</v>
      </c>
      <c r="P730">
        <v>33</v>
      </c>
      <c r="Q730">
        <v>0</v>
      </c>
      <c r="R730">
        <v>0</v>
      </c>
      <c r="S730">
        <v>0</v>
      </c>
      <c r="T730" t="s">
        <v>54</v>
      </c>
      <c r="U730" t="s">
        <v>233</v>
      </c>
      <c r="W730" t="s">
        <v>2433</v>
      </c>
      <c r="Y730">
        <v>0</v>
      </c>
      <c r="AA730" t="s">
        <v>40</v>
      </c>
      <c r="AB730" t="s">
        <v>46</v>
      </c>
      <c r="AC730" t="s">
        <v>47</v>
      </c>
      <c r="AG730" t="s">
        <v>2434</v>
      </c>
      <c r="AJ730" t="s">
        <v>40</v>
      </c>
      <c r="AK730">
        <v>5019224017</v>
      </c>
      <c r="AO730" s="1">
        <v>45953</v>
      </c>
      <c r="AP730" s="5">
        <v>0.29166666666666669</v>
      </c>
      <c r="AS730">
        <v>1</v>
      </c>
    </row>
    <row r="731" spans="1:45" x14ac:dyDescent="0.2">
      <c r="A731">
        <f t="shared" si="46"/>
        <v>2025</v>
      </c>
      <c r="B731">
        <f t="shared" si="47"/>
        <v>10</v>
      </c>
      <c r="C731">
        <f t="shared" si="48"/>
        <v>43</v>
      </c>
      <c r="D731" s="2">
        <f t="shared" si="49"/>
        <v>45953</v>
      </c>
      <c r="E731" s="1">
        <v>45953.291666666664</v>
      </c>
      <c r="F731" t="s">
        <v>2435</v>
      </c>
      <c r="G731" t="s">
        <v>36</v>
      </c>
      <c r="H731" t="s">
        <v>1808</v>
      </c>
      <c r="I731" t="s">
        <v>38</v>
      </c>
      <c r="J731" t="s">
        <v>99</v>
      </c>
      <c r="M731" t="s">
        <v>40</v>
      </c>
      <c r="N731" t="s">
        <v>41</v>
      </c>
      <c r="O731" t="s">
        <v>42</v>
      </c>
      <c r="P731">
        <v>23</v>
      </c>
      <c r="Q731">
        <v>0</v>
      </c>
      <c r="R731">
        <v>0</v>
      </c>
      <c r="S731">
        <v>0</v>
      </c>
      <c r="T731" t="s">
        <v>2436</v>
      </c>
      <c r="U731" t="s">
        <v>44</v>
      </c>
      <c r="W731" t="s">
        <v>2269</v>
      </c>
      <c r="Y731">
        <v>0</v>
      </c>
      <c r="AA731" t="s">
        <v>40</v>
      </c>
      <c r="AB731" t="s">
        <v>46</v>
      </c>
      <c r="AC731" t="s">
        <v>47</v>
      </c>
      <c r="AF731" t="s">
        <v>367</v>
      </c>
      <c r="AJ731" t="s">
        <v>40</v>
      </c>
      <c r="AK731" t="s">
        <v>49</v>
      </c>
      <c r="AM731" t="s">
        <v>1824</v>
      </c>
      <c r="AN731" t="s">
        <v>2362</v>
      </c>
      <c r="AO731" s="1">
        <v>45953</v>
      </c>
      <c r="AP731" s="5">
        <v>0.29166666666666669</v>
      </c>
      <c r="AS731">
        <v>1</v>
      </c>
    </row>
    <row r="732" spans="1:45" x14ac:dyDescent="0.2">
      <c r="A732">
        <f t="shared" si="46"/>
        <v>2025</v>
      </c>
      <c r="B732">
        <f t="shared" si="47"/>
        <v>10</v>
      </c>
      <c r="C732">
        <f t="shared" si="48"/>
        <v>43</v>
      </c>
      <c r="D732" s="2">
        <f t="shared" si="49"/>
        <v>45953</v>
      </c>
      <c r="E732" s="1">
        <v>45953.291666666664</v>
      </c>
      <c r="F732" t="s">
        <v>2437</v>
      </c>
      <c r="G732" t="s">
        <v>36</v>
      </c>
      <c r="H732">
        <v>462622</v>
      </c>
      <c r="I732" t="s">
        <v>51</v>
      </c>
      <c r="J732" t="s">
        <v>52</v>
      </c>
      <c r="M732" t="s">
        <v>40</v>
      </c>
      <c r="N732" t="s">
        <v>41</v>
      </c>
      <c r="O732" t="s">
        <v>476</v>
      </c>
      <c r="P732">
        <v>33</v>
      </c>
      <c r="Q732">
        <v>0</v>
      </c>
      <c r="R732">
        <v>0</v>
      </c>
      <c r="S732">
        <v>0</v>
      </c>
      <c r="T732" t="s">
        <v>54</v>
      </c>
      <c r="U732" t="s">
        <v>55</v>
      </c>
      <c r="W732" t="s">
        <v>2438</v>
      </c>
      <c r="Y732">
        <v>0</v>
      </c>
      <c r="AA732" t="s">
        <v>40</v>
      </c>
      <c r="AB732" t="s">
        <v>46</v>
      </c>
      <c r="AC732" t="s">
        <v>47</v>
      </c>
      <c r="AG732" t="s">
        <v>2439</v>
      </c>
      <c r="AJ732" t="s">
        <v>40</v>
      </c>
      <c r="AK732">
        <v>5019123425</v>
      </c>
      <c r="AO732" s="1">
        <v>45953</v>
      </c>
      <c r="AP732" s="5">
        <v>0.29166666666666669</v>
      </c>
      <c r="AS732">
        <v>1</v>
      </c>
    </row>
    <row r="733" spans="1:45" x14ac:dyDescent="0.2">
      <c r="A733">
        <f t="shared" si="46"/>
        <v>2025</v>
      </c>
      <c r="B733">
        <f t="shared" si="47"/>
        <v>10</v>
      </c>
      <c r="C733">
        <f t="shared" si="48"/>
        <v>43</v>
      </c>
      <c r="D733" s="2">
        <f t="shared" si="49"/>
        <v>45953</v>
      </c>
      <c r="E733" s="1">
        <v>45953.291666666664</v>
      </c>
      <c r="F733" t="s">
        <v>2440</v>
      </c>
      <c r="G733" t="s">
        <v>36</v>
      </c>
      <c r="H733" t="s">
        <v>2441</v>
      </c>
      <c r="I733" t="s">
        <v>38</v>
      </c>
      <c r="J733" t="s">
        <v>60</v>
      </c>
      <c r="M733" t="s">
        <v>40</v>
      </c>
      <c r="N733" t="s">
        <v>41</v>
      </c>
      <c r="O733" t="s">
        <v>42</v>
      </c>
      <c r="P733">
        <v>20</v>
      </c>
      <c r="Q733">
        <v>0</v>
      </c>
      <c r="R733">
        <v>0</v>
      </c>
      <c r="S733">
        <v>0</v>
      </c>
      <c r="T733" t="s">
        <v>2442</v>
      </c>
      <c r="U733" t="s">
        <v>392</v>
      </c>
      <c r="W733" t="s">
        <v>2443</v>
      </c>
      <c r="Y733">
        <v>0</v>
      </c>
      <c r="AA733" t="s">
        <v>40</v>
      </c>
      <c r="AB733" t="s">
        <v>46</v>
      </c>
      <c r="AC733" t="s">
        <v>47</v>
      </c>
      <c r="AF733" t="s">
        <v>62</v>
      </c>
      <c r="AJ733" t="s">
        <v>40</v>
      </c>
      <c r="AK733" t="s">
        <v>49</v>
      </c>
      <c r="AN733" t="s">
        <v>2444</v>
      </c>
      <c r="AO733" s="1">
        <v>45953</v>
      </c>
      <c r="AP733" s="5">
        <v>0.29166666666666669</v>
      </c>
      <c r="AS733">
        <v>1</v>
      </c>
    </row>
    <row r="734" spans="1:45" x14ac:dyDescent="0.2">
      <c r="A734">
        <f t="shared" si="46"/>
        <v>2025</v>
      </c>
      <c r="B734">
        <f t="shared" si="47"/>
        <v>10</v>
      </c>
      <c r="C734">
        <f t="shared" si="48"/>
        <v>43</v>
      </c>
      <c r="D734" s="2">
        <f t="shared" si="49"/>
        <v>45953</v>
      </c>
      <c r="E734" s="1">
        <v>45953.291666666664</v>
      </c>
      <c r="F734" t="s">
        <v>2445</v>
      </c>
      <c r="G734" t="s">
        <v>36</v>
      </c>
      <c r="H734" t="s">
        <v>253</v>
      </c>
      <c r="I734" t="s">
        <v>38</v>
      </c>
      <c r="J734" t="s">
        <v>254</v>
      </c>
      <c r="M734" t="s">
        <v>40</v>
      </c>
      <c r="N734" t="s">
        <v>41</v>
      </c>
      <c r="O734" t="s">
        <v>42</v>
      </c>
      <c r="P734">
        <v>1</v>
      </c>
      <c r="Q734">
        <v>0</v>
      </c>
      <c r="R734">
        <v>0</v>
      </c>
      <c r="S734">
        <v>0</v>
      </c>
      <c r="T734">
        <v>5019232232</v>
      </c>
      <c r="U734" t="s">
        <v>101</v>
      </c>
      <c r="W734" t="s">
        <v>2344</v>
      </c>
      <c r="Y734">
        <v>0</v>
      </c>
      <c r="AA734" t="s">
        <v>40</v>
      </c>
      <c r="AB734" t="s">
        <v>46</v>
      </c>
      <c r="AC734" t="s">
        <v>47</v>
      </c>
      <c r="AF734" t="s">
        <v>48</v>
      </c>
      <c r="AJ734" t="s">
        <v>40</v>
      </c>
      <c r="AK734" t="s">
        <v>49</v>
      </c>
      <c r="AO734" s="1">
        <v>45953</v>
      </c>
      <c r="AP734" s="5">
        <v>0.29166666666666669</v>
      </c>
      <c r="AS734">
        <v>1</v>
      </c>
    </row>
    <row r="735" spans="1:45" x14ac:dyDescent="0.2">
      <c r="A735">
        <f t="shared" si="46"/>
        <v>2025</v>
      </c>
      <c r="B735">
        <f t="shared" si="47"/>
        <v>10</v>
      </c>
      <c r="C735">
        <f t="shared" si="48"/>
        <v>43</v>
      </c>
      <c r="D735" s="2">
        <f t="shared" si="49"/>
        <v>45953</v>
      </c>
      <c r="E735" s="1">
        <v>45953.333333333336</v>
      </c>
      <c r="F735" t="s">
        <v>2446</v>
      </c>
      <c r="G735" t="s">
        <v>36</v>
      </c>
      <c r="H735" t="s">
        <v>2447</v>
      </c>
      <c r="I735" t="s">
        <v>38</v>
      </c>
      <c r="J735" t="s">
        <v>60</v>
      </c>
      <c r="M735" t="s">
        <v>40</v>
      </c>
      <c r="N735" t="s">
        <v>41</v>
      </c>
      <c r="O735" t="s">
        <v>42</v>
      </c>
      <c r="P735">
        <v>20</v>
      </c>
      <c r="Q735">
        <v>0</v>
      </c>
      <c r="R735">
        <v>0</v>
      </c>
      <c r="S735">
        <v>0</v>
      </c>
      <c r="T735">
        <v>5019242715</v>
      </c>
      <c r="U735" t="s">
        <v>392</v>
      </c>
      <c r="W735" t="s">
        <v>2443</v>
      </c>
      <c r="Y735">
        <v>0</v>
      </c>
      <c r="AA735" t="s">
        <v>40</v>
      </c>
      <c r="AB735" t="s">
        <v>46</v>
      </c>
      <c r="AC735" t="s">
        <v>47</v>
      </c>
      <c r="AF735" t="s">
        <v>62</v>
      </c>
      <c r="AJ735" t="s">
        <v>40</v>
      </c>
      <c r="AK735" t="s">
        <v>49</v>
      </c>
      <c r="AN735" t="s">
        <v>2448</v>
      </c>
      <c r="AO735" s="1">
        <v>45953</v>
      </c>
      <c r="AP735" s="5">
        <v>0.33333333333333331</v>
      </c>
      <c r="AS735">
        <v>1</v>
      </c>
    </row>
    <row r="736" spans="1:45" x14ac:dyDescent="0.2">
      <c r="A736">
        <f t="shared" si="46"/>
        <v>2025</v>
      </c>
      <c r="B736">
        <f t="shared" si="47"/>
        <v>10</v>
      </c>
      <c r="C736">
        <f t="shared" si="48"/>
        <v>43</v>
      </c>
      <c r="D736" s="2">
        <f t="shared" si="49"/>
        <v>45953</v>
      </c>
      <c r="E736" s="1">
        <v>45953.333333333336</v>
      </c>
      <c r="F736" t="s">
        <v>2449</v>
      </c>
      <c r="G736" t="s">
        <v>36</v>
      </c>
      <c r="H736" t="s">
        <v>264</v>
      </c>
      <c r="I736" t="s">
        <v>38</v>
      </c>
      <c r="J736" t="s">
        <v>265</v>
      </c>
      <c r="M736" t="s">
        <v>40</v>
      </c>
      <c r="N736" t="s">
        <v>41</v>
      </c>
      <c r="O736" t="s">
        <v>42</v>
      </c>
      <c r="P736">
        <v>23</v>
      </c>
      <c r="Q736">
        <v>0</v>
      </c>
      <c r="R736">
        <v>0</v>
      </c>
      <c r="S736">
        <v>0</v>
      </c>
      <c r="T736" t="s">
        <v>2450</v>
      </c>
      <c r="U736" t="s">
        <v>55</v>
      </c>
      <c r="W736" t="s">
        <v>2451</v>
      </c>
      <c r="Y736">
        <v>0</v>
      </c>
      <c r="AA736" t="s">
        <v>40</v>
      </c>
      <c r="AB736" t="s">
        <v>46</v>
      </c>
      <c r="AC736" t="s">
        <v>47</v>
      </c>
      <c r="AF736" t="s">
        <v>48</v>
      </c>
      <c r="AJ736" t="s">
        <v>40</v>
      </c>
      <c r="AK736" t="s">
        <v>49</v>
      </c>
      <c r="AO736" s="1">
        <v>45953</v>
      </c>
      <c r="AP736" s="5">
        <v>0.33333333333333331</v>
      </c>
      <c r="AS736">
        <v>1</v>
      </c>
    </row>
    <row r="737" spans="1:45" x14ac:dyDescent="0.2">
      <c r="A737">
        <f t="shared" si="46"/>
        <v>2025</v>
      </c>
      <c r="B737">
        <f t="shared" si="47"/>
        <v>10</v>
      </c>
      <c r="C737">
        <f t="shared" si="48"/>
        <v>43</v>
      </c>
      <c r="D737" s="2">
        <f t="shared" si="49"/>
        <v>45953</v>
      </c>
      <c r="E737" s="1">
        <v>45953.333333333336</v>
      </c>
      <c r="F737" t="s">
        <v>2452</v>
      </c>
      <c r="G737" t="s">
        <v>36</v>
      </c>
      <c r="H737" t="s">
        <v>2453</v>
      </c>
      <c r="I737" t="s">
        <v>38</v>
      </c>
      <c r="J737" t="s">
        <v>60</v>
      </c>
      <c r="M737" t="s">
        <v>40</v>
      </c>
      <c r="N737" t="s">
        <v>41</v>
      </c>
      <c r="O737" t="s">
        <v>42</v>
      </c>
      <c r="P737">
        <v>20</v>
      </c>
      <c r="Q737">
        <v>0</v>
      </c>
      <c r="R737">
        <v>0</v>
      </c>
      <c r="S737">
        <v>0</v>
      </c>
      <c r="T737" t="s">
        <v>2454</v>
      </c>
      <c r="U737" t="s">
        <v>44</v>
      </c>
      <c r="W737" t="s">
        <v>2455</v>
      </c>
      <c r="Y737">
        <v>0</v>
      </c>
      <c r="AA737" t="s">
        <v>40</v>
      </c>
      <c r="AB737" t="s">
        <v>46</v>
      </c>
      <c r="AC737" t="s">
        <v>47</v>
      </c>
      <c r="AF737" t="s">
        <v>62</v>
      </c>
      <c r="AJ737" t="s">
        <v>40</v>
      </c>
      <c r="AK737" t="s">
        <v>49</v>
      </c>
      <c r="AN737">
        <v>260110080</v>
      </c>
      <c r="AO737" s="1">
        <v>45953</v>
      </c>
      <c r="AP737" s="5">
        <v>0.33333333333333331</v>
      </c>
      <c r="AS737">
        <v>1</v>
      </c>
    </row>
    <row r="738" spans="1:45" x14ac:dyDescent="0.2">
      <c r="A738">
        <f t="shared" si="46"/>
        <v>2025</v>
      </c>
      <c r="B738">
        <f t="shared" si="47"/>
        <v>10</v>
      </c>
      <c r="C738">
        <f t="shared" si="48"/>
        <v>43</v>
      </c>
      <c r="D738" s="2">
        <f t="shared" si="49"/>
        <v>45953</v>
      </c>
      <c r="E738" s="1">
        <v>45953.333333333336</v>
      </c>
      <c r="F738" t="s">
        <v>2456</v>
      </c>
      <c r="G738" t="s">
        <v>36</v>
      </c>
      <c r="H738">
        <v>462621</v>
      </c>
      <c r="I738" t="s">
        <v>51</v>
      </c>
      <c r="J738" t="s">
        <v>52</v>
      </c>
      <c r="M738" t="s">
        <v>40</v>
      </c>
      <c r="N738" t="s">
        <v>41</v>
      </c>
      <c r="O738" t="s">
        <v>476</v>
      </c>
      <c r="P738">
        <v>33</v>
      </c>
      <c r="Q738">
        <v>0</v>
      </c>
      <c r="R738">
        <v>0</v>
      </c>
      <c r="S738">
        <v>0</v>
      </c>
      <c r="T738" t="s">
        <v>54</v>
      </c>
      <c r="U738" t="s">
        <v>55</v>
      </c>
      <c r="W738" t="s">
        <v>2438</v>
      </c>
      <c r="Y738">
        <v>0</v>
      </c>
      <c r="AA738" t="s">
        <v>40</v>
      </c>
      <c r="AB738" t="s">
        <v>46</v>
      </c>
      <c r="AC738" t="s">
        <v>47</v>
      </c>
      <c r="AG738" t="s">
        <v>2457</v>
      </c>
      <c r="AJ738" t="s">
        <v>40</v>
      </c>
      <c r="AK738">
        <v>5019124112</v>
      </c>
      <c r="AO738" s="1">
        <v>45953</v>
      </c>
      <c r="AP738" s="5">
        <v>0.33333333333333331</v>
      </c>
      <c r="AS738">
        <v>1</v>
      </c>
    </row>
    <row r="739" spans="1:45" x14ac:dyDescent="0.2">
      <c r="A739">
        <f t="shared" si="46"/>
        <v>2025</v>
      </c>
      <c r="B739">
        <f t="shared" si="47"/>
        <v>10</v>
      </c>
      <c r="C739">
        <f t="shared" si="48"/>
        <v>43</v>
      </c>
      <c r="D739" s="2">
        <f t="shared" si="49"/>
        <v>45953</v>
      </c>
      <c r="E739" s="1">
        <v>45953.375</v>
      </c>
      <c r="F739" t="s">
        <v>2458</v>
      </c>
      <c r="G739" t="s">
        <v>36</v>
      </c>
      <c r="H739" t="s">
        <v>2459</v>
      </c>
      <c r="I739" t="s">
        <v>38</v>
      </c>
      <c r="J739" t="s">
        <v>60</v>
      </c>
      <c r="M739" t="s">
        <v>40</v>
      </c>
      <c r="N739" t="s">
        <v>41</v>
      </c>
      <c r="O739" t="s">
        <v>42</v>
      </c>
      <c r="P739">
        <v>20</v>
      </c>
      <c r="Q739">
        <v>0</v>
      </c>
      <c r="R739">
        <v>0</v>
      </c>
      <c r="S739">
        <v>0</v>
      </c>
      <c r="T739" t="s">
        <v>2460</v>
      </c>
      <c r="U739" t="s">
        <v>44</v>
      </c>
      <c r="W739" t="s">
        <v>2443</v>
      </c>
      <c r="Y739">
        <v>0</v>
      </c>
      <c r="AA739" t="s">
        <v>40</v>
      </c>
      <c r="AB739" t="s">
        <v>820</v>
      </c>
      <c r="AC739" t="s">
        <v>47</v>
      </c>
      <c r="AF739" t="s">
        <v>62</v>
      </c>
      <c r="AJ739" t="s">
        <v>40</v>
      </c>
      <c r="AK739" t="s">
        <v>49</v>
      </c>
      <c r="AN739">
        <v>260110080</v>
      </c>
      <c r="AO739" s="1">
        <v>45953</v>
      </c>
      <c r="AP739" s="5">
        <v>0.375</v>
      </c>
      <c r="AS739">
        <v>1</v>
      </c>
    </row>
    <row r="740" spans="1:45" x14ac:dyDescent="0.2">
      <c r="A740">
        <f t="shared" si="46"/>
        <v>2025</v>
      </c>
      <c r="B740">
        <f t="shared" si="47"/>
        <v>10</v>
      </c>
      <c r="C740">
        <f t="shared" si="48"/>
        <v>43</v>
      </c>
      <c r="D740" s="2">
        <f t="shared" si="49"/>
        <v>45953</v>
      </c>
      <c r="E740" s="1">
        <v>45953.375</v>
      </c>
      <c r="F740" t="s">
        <v>2461</v>
      </c>
      <c r="G740" t="s">
        <v>36</v>
      </c>
      <c r="H740">
        <v>457440</v>
      </c>
      <c r="I740" t="s">
        <v>51</v>
      </c>
      <c r="J740" t="s">
        <v>52</v>
      </c>
      <c r="M740" t="s">
        <v>40</v>
      </c>
      <c r="N740" t="s">
        <v>41</v>
      </c>
      <c r="O740" t="s">
        <v>268</v>
      </c>
      <c r="P740">
        <v>33</v>
      </c>
      <c r="Q740">
        <v>0</v>
      </c>
      <c r="R740">
        <v>0</v>
      </c>
      <c r="S740">
        <v>0</v>
      </c>
      <c r="T740" t="s">
        <v>54</v>
      </c>
      <c r="U740" t="s">
        <v>55</v>
      </c>
      <c r="W740" t="s">
        <v>2462</v>
      </c>
      <c r="Y740">
        <v>0</v>
      </c>
      <c r="AA740" t="s">
        <v>40</v>
      </c>
      <c r="AB740" t="s">
        <v>46</v>
      </c>
      <c r="AC740" t="s">
        <v>47</v>
      </c>
      <c r="AG740" t="s">
        <v>2463</v>
      </c>
      <c r="AJ740" t="s">
        <v>40</v>
      </c>
      <c r="AK740">
        <v>5019233740</v>
      </c>
      <c r="AO740" s="1">
        <v>45953</v>
      </c>
      <c r="AP740" s="5">
        <v>0.375</v>
      </c>
      <c r="AS740">
        <v>1</v>
      </c>
    </row>
    <row r="741" spans="1:45" x14ac:dyDescent="0.2">
      <c r="A741">
        <f t="shared" si="46"/>
        <v>2025</v>
      </c>
      <c r="B741">
        <f t="shared" si="47"/>
        <v>10</v>
      </c>
      <c r="C741">
        <f t="shared" si="48"/>
        <v>43</v>
      </c>
      <c r="D741" s="2">
        <f t="shared" si="49"/>
        <v>45953</v>
      </c>
      <c r="E741" s="1">
        <v>45953.375</v>
      </c>
      <c r="F741" t="s">
        <v>2464</v>
      </c>
      <c r="G741" t="s">
        <v>36</v>
      </c>
      <c r="H741" t="s">
        <v>626</v>
      </c>
      <c r="I741" t="s">
        <v>38</v>
      </c>
      <c r="J741" t="s">
        <v>451</v>
      </c>
      <c r="M741" t="s">
        <v>40</v>
      </c>
      <c r="N741" t="s">
        <v>41</v>
      </c>
      <c r="O741" t="s">
        <v>42</v>
      </c>
      <c r="P741">
        <v>23</v>
      </c>
      <c r="Q741">
        <v>0</v>
      </c>
      <c r="R741">
        <v>0</v>
      </c>
      <c r="S741">
        <v>0</v>
      </c>
      <c r="T741" t="s">
        <v>2465</v>
      </c>
      <c r="U741" t="s">
        <v>44</v>
      </c>
      <c r="W741" t="s">
        <v>2451</v>
      </c>
      <c r="Y741">
        <v>0</v>
      </c>
      <c r="AA741" t="s">
        <v>40</v>
      </c>
      <c r="AB741" t="s">
        <v>46</v>
      </c>
      <c r="AC741" t="s">
        <v>47</v>
      </c>
      <c r="AF741" t="s">
        <v>48</v>
      </c>
      <c r="AJ741" t="s">
        <v>40</v>
      </c>
      <c r="AK741" t="s">
        <v>49</v>
      </c>
      <c r="AO741" s="1">
        <v>45953</v>
      </c>
      <c r="AP741" s="5">
        <v>0.375</v>
      </c>
      <c r="AS741">
        <v>1</v>
      </c>
    </row>
    <row r="742" spans="1:45" x14ac:dyDescent="0.2">
      <c r="A742">
        <f t="shared" si="46"/>
        <v>2025</v>
      </c>
      <c r="B742">
        <f t="shared" si="47"/>
        <v>10</v>
      </c>
      <c r="C742">
        <f t="shared" si="48"/>
        <v>43</v>
      </c>
      <c r="D742" s="2">
        <f t="shared" si="49"/>
        <v>45953</v>
      </c>
      <c r="E742" s="1">
        <v>45953.375</v>
      </c>
      <c r="F742" t="s">
        <v>2466</v>
      </c>
      <c r="G742" t="s">
        <v>36</v>
      </c>
      <c r="H742" t="s">
        <v>2467</v>
      </c>
      <c r="I742" t="s">
        <v>38</v>
      </c>
      <c r="J742" t="s">
        <v>60</v>
      </c>
      <c r="M742" t="s">
        <v>40</v>
      </c>
      <c r="N742" t="s">
        <v>41</v>
      </c>
      <c r="O742" t="s">
        <v>42</v>
      </c>
      <c r="P742">
        <v>20</v>
      </c>
      <c r="Q742">
        <v>0</v>
      </c>
      <c r="R742">
        <v>0</v>
      </c>
      <c r="S742">
        <v>0</v>
      </c>
      <c r="T742">
        <v>5019243422</v>
      </c>
      <c r="U742" t="s">
        <v>392</v>
      </c>
      <c r="W742" t="s">
        <v>2443</v>
      </c>
      <c r="Y742">
        <v>0</v>
      </c>
      <c r="AA742" t="s">
        <v>40</v>
      </c>
      <c r="AB742" t="s">
        <v>46</v>
      </c>
      <c r="AC742" t="s">
        <v>47</v>
      </c>
      <c r="AF742" t="s">
        <v>62</v>
      </c>
      <c r="AJ742" t="s">
        <v>40</v>
      </c>
      <c r="AK742" t="s">
        <v>49</v>
      </c>
      <c r="AN742" t="s">
        <v>2468</v>
      </c>
      <c r="AO742" s="1">
        <v>45953</v>
      </c>
      <c r="AP742" s="5">
        <v>0.375</v>
      </c>
      <c r="AS742">
        <v>1</v>
      </c>
    </row>
    <row r="743" spans="1:45" x14ac:dyDescent="0.2">
      <c r="A743">
        <f t="shared" si="46"/>
        <v>2025</v>
      </c>
      <c r="B743">
        <f t="shared" si="47"/>
        <v>10</v>
      </c>
      <c r="C743">
        <f t="shared" si="48"/>
        <v>43</v>
      </c>
      <c r="D743" s="2">
        <f t="shared" si="49"/>
        <v>45953</v>
      </c>
      <c r="E743" s="1">
        <v>45953.416666666664</v>
      </c>
      <c r="F743" t="s">
        <v>2469</v>
      </c>
      <c r="G743" t="s">
        <v>36</v>
      </c>
      <c r="H743" t="s">
        <v>2470</v>
      </c>
      <c r="I743" t="s">
        <v>38</v>
      </c>
      <c r="J743" t="s">
        <v>60</v>
      </c>
      <c r="M743" t="s">
        <v>40</v>
      </c>
      <c r="N743" t="s">
        <v>41</v>
      </c>
      <c r="O743" t="s">
        <v>42</v>
      </c>
      <c r="P743">
        <v>20</v>
      </c>
      <c r="Q743">
        <v>0</v>
      </c>
      <c r="R743">
        <v>0</v>
      </c>
      <c r="S743">
        <v>0</v>
      </c>
      <c r="T743" t="s">
        <v>2471</v>
      </c>
      <c r="U743" t="s">
        <v>392</v>
      </c>
      <c r="W743" t="s">
        <v>2443</v>
      </c>
      <c r="Y743">
        <v>0</v>
      </c>
      <c r="AA743" t="s">
        <v>40</v>
      </c>
      <c r="AB743" t="s">
        <v>46</v>
      </c>
      <c r="AC743" t="s">
        <v>47</v>
      </c>
      <c r="AF743" t="s">
        <v>62</v>
      </c>
      <c r="AJ743" t="s">
        <v>40</v>
      </c>
      <c r="AK743" t="s">
        <v>49</v>
      </c>
      <c r="AN743" t="s">
        <v>2472</v>
      </c>
      <c r="AO743" s="1">
        <v>45953</v>
      </c>
      <c r="AP743" s="5">
        <v>0.41666666666666669</v>
      </c>
      <c r="AS743">
        <v>1</v>
      </c>
    </row>
    <row r="744" spans="1:45" x14ac:dyDescent="0.2">
      <c r="A744">
        <f t="shared" si="46"/>
        <v>2025</v>
      </c>
      <c r="B744">
        <f t="shared" si="47"/>
        <v>10</v>
      </c>
      <c r="C744">
        <f t="shared" si="48"/>
        <v>43</v>
      </c>
      <c r="D744" s="2">
        <f t="shared" si="49"/>
        <v>45953</v>
      </c>
      <c r="E744" s="1">
        <v>45953.416666666664</v>
      </c>
      <c r="F744" t="s">
        <v>2473</v>
      </c>
      <c r="G744" t="s">
        <v>36</v>
      </c>
      <c r="H744" t="s">
        <v>1808</v>
      </c>
      <c r="I744" t="s">
        <v>38</v>
      </c>
      <c r="J744" t="s">
        <v>99</v>
      </c>
      <c r="M744" t="s">
        <v>40</v>
      </c>
      <c r="N744" t="s">
        <v>41</v>
      </c>
      <c r="O744" t="s">
        <v>42</v>
      </c>
      <c r="P744">
        <v>23</v>
      </c>
      <c r="Q744">
        <v>0</v>
      </c>
      <c r="R744">
        <v>0</v>
      </c>
      <c r="S744">
        <v>0</v>
      </c>
      <c r="T744" t="s">
        <v>2474</v>
      </c>
      <c r="U744" t="s">
        <v>44</v>
      </c>
      <c r="W744" t="s">
        <v>2475</v>
      </c>
      <c r="Y744">
        <v>0</v>
      </c>
      <c r="AA744" t="s">
        <v>40</v>
      </c>
      <c r="AB744" t="s">
        <v>46</v>
      </c>
      <c r="AC744" t="s">
        <v>47</v>
      </c>
      <c r="AF744" t="s">
        <v>367</v>
      </c>
      <c r="AJ744" t="s">
        <v>40</v>
      </c>
      <c r="AK744" t="s">
        <v>49</v>
      </c>
      <c r="AM744" t="s">
        <v>2174</v>
      </c>
      <c r="AN744" t="s">
        <v>2362</v>
      </c>
      <c r="AO744" s="1">
        <v>45953</v>
      </c>
      <c r="AP744" s="5">
        <v>0.41666666666666669</v>
      </c>
      <c r="AS744">
        <v>1</v>
      </c>
    </row>
    <row r="745" spans="1:45" x14ac:dyDescent="0.2">
      <c r="A745">
        <f t="shared" si="46"/>
        <v>2025</v>
      </c>
      <c r="B745">
        <f t="shared" si="47"/>
        <v>10</v>
      </c>
      <c r="C745">
        <f t="shared" si="48"/>
        <v>43</v>
      </c>
      <c r="D745" s="2">
        <f t="shared" si="49"/>
        <v>45953</v>
      </c>
      <c r="E745" s="1">
        <v>45953.416666666664</v>
      </c>
      <c r="F745" t="s">
        <v>2476</v>
      </c>
      <c r="G745" t="s">
        <v>36</v>
      </c>
      <c r="H745">
        <v>457443</v>
      </c>
      <c r="I745" t="s">
        <v>51</v>
      </c>
      <c r="J745" t="s">
        <v>188</v>
      </c>
      <c r="M745" t="s">
        <v>40</v>
      </c>
      <c r="N745" t="s">
        <v>41</v>
      </c>
      <c r="O745" t="s">
        <v>189</v>
      </c>
      <c r="P745">
        <v>33</v>
      </c>
      <c r="Q745">
        <v>0</v>
      </c>
      <c r="R745">
        <v>0</v>
      </c>
      <c r="S745">
        <v>0</v>
      </c>
      <c r="T745" t="s">
        <v>54</v>
      </c>
      <c r="U745" t="s">
        <v>55</v>
      </c>
      <c r="W745" t="s">
        <v>2477</v>
      </c>
      <c r="Y745">
        <v>0</v>
      </c>
      <c r="AA745" t="s">
        <v>40</v>
      </c>
      <c r="AB745" t="s">
        <v>46</v>
      </c>
      <c r="AC745" t="s">
        <v>47</v>
      </c>
      <c r="AG745" t="s">
        <v>2478</v>
      </c>
      <c r="AJ745" t="s">
        <v>40</v>
      </c>
      <c r="AK745">
        <v>5019237777</v>
      </c>
      <c r="AO745" s="1">
        <v>45953</v>
      </c>
      <c r="AP745" s="5">
        <v>0.41666666666666669</v>
      </c>
      <c r="AS745">
        <v>1</v>
      </c>
    </row>
    <row r="746" spans="1:45" x14ac:dyDescent="0.2">
      <c r="A746">
        <f t="shared" si="46"/>
        <v>2025</v>
      </c>
      <c r="B746">
        <f t="shared" si="47"/>
        <v>10</v>
      </c>
      <c r="C746">
        <f t="shared" si="48"/>
        <v>43</v>
      </c>
      <c r="D746" s="2">
        <f t="shared" si="49"/>
        <v>45953</v>
      </c>
      <c r="E746" s="1">
        <v>45953.416666666664</v>
      </c>
      <c r="F746" t="s">
        <v>2479</v>
      </c>
      <c r="G746" t="s">
        <v>36</v>
      </c>
      <c r="H746" t="s">
        <v>2480</v>
      </c>
      <c r="I746" t="s">
        <v>38</v>
      </c>
      <c r="J746" t="s">
        <v>451</v>
      </c>
      <c r="M746" t="s">
        <v>40</v>
      </c>
      <c r="N746" t="s">
        <v>41</v>
      </c>
      <c r="O746" t="s">
        <v>42</v>
      </c>
      <c r="P746">
        <v>6</v>
      </c>
      <c r="Q746">
        <v>0</v>
      </c>
      <c r="R746">
        <v>0</v>
      </c>
      <c r="S746">
        <v>0</v>
      </c>
      <c r="T746" t="s">
        <v>2481</v>
      </c>
      <c r="U746" t="s">
        <v>44</v>
      </c>
      <c r="W746" t="s">
        <v>2451</v>
      </c>
      <c r="Y746">
        <v>0</v>
      </c>
      <c r="AA746" t="s">
        <v>40</v>
      </c>
      <c r="AB746" t="s">
        <v>46</v>
      </c>
      <c r="AC746" t="s">
        <v>47</v>
      </c>
      <c r="AF746" t="s">
        <v>454</v>
      </c>
      <c r="AJ746" t="s">
        <v>40</v>
      </c>
      <c r="AK746" t="s">
        <v>49</v>
      </c>
      <c r="AO746" s="1">
        <v>45953</v>
      </c>
      <c r="AP746" s="5">
        <v>0.41666666666666669</v>
      </c>
      <c r="AS746">
        <v>1</v>
      </c>
    </row>
    <row r="747" spans="1:45" x14ac:dyDescent="0.2">
      <c r="A747">
        <f t="shared" si="46"/>
        <v>2025</v>
      </c>
      <c r="B747">
        <f t="shared" si="47"/>
        <v>10</v>
      </c>
      <c r="C747">
        <f t="shared" si="48"/>
        <v>43</v>
      </c>
      <c r="D747" s="2">
        <f t="shared" si="49"/>
        <v>45953</v>
      </c>
      <c r="E747" s="1">
        <v>45953.416666666664</v>
      </c>
      <c r="F747" t="s">
        <v>2482</v>
      </c>
      <c r="G747" t="s">
        <v>36</v>
      </c>
      <c r="H747" t="s">
        <v>2483</v>
      </c>
      <c r="I747" t="s">
        <v>38</v>
      </c>
      <c r="J747" t="s">
        <v>60</v>
      </c>
      <c r="M747" t="s">
        <v>40</v>
      </c>
      <c r="N747" t="s">
        <v>41</v>
      </c>
      <c r="O747" t="s">
        <v>42</v>
      </c>
      <c r="P747">
        <v>20</v>
      </c>
      <c r="Q747">
        <v>0</v>
      </c>
      <c r="R747">
        <v>0</v>
      </c>
      <c r="S747">
        <v>0</v>
      </c>
      <c r="T747" t="s">
        <v>2484</v>
      </c>
      <c r="U747" t="s">
        <v>44</v>
      </c>
      <c r="W747" t="s">
        <v>2485</v>
      </c>
      <c r="Y747">
        <v>0</v>
      </c>
      <c r="AA747" t="s">
        <v>40</v>
      </c>
      <c r="AB747" t="s">
        <v>46</v>
      </c>
      <c r="AC747" t="s">
        <v>47</v>
      </c>
      <c r="AF747" t="s">
        <v>1009</v>
      </c>
      <c r="AJ747" t="s">
        <v>40</v>
      </c>
      <c r="AK747" t="s">
        <v>49</v>
      </c>
      <c r="AN747">
        <v>260607777</v>
      </c>
      <c r="AO747" s="1">
        <v>45953</v>
      </c>
      <c r="AP747" s="5">
        <v>0.41666666666666669</v>
      </c>
      <c r="AS747">
        <v>1</v>
      </c>
    </row>
    <row r="748" spans="1:45" x14ac:dyDescent="0.2">
      <c r="A748">
        <f t="shared" si="46"/>
        <v>2025</v>
      </c>
      <c r="B748">
        <f t="shared" si="47"/>
        <v>10</v>
      </c>
      <c r="C748">
        <f t="shared" si="48"/>
        <v>43</v>
      </c>
      <c r="D748" s="2">
        <f t="shared" si="49"/>
        <v>45953</v>
      </c>
      <c r="E748" s="1">
        <v>45953.458333333336</v>
      </c>
      <c r="F748" t="s">
        <v>2486</v>
      </c>
      <c r="G748" t="s">
        <v>36</v>
      </c>
      <c r="H748">
        <v>460025</v>
      </c>
      <c r="I748" t="s">
        <v>51</v>
      </c>
      <c r="J748" t="s">
        <v>52</v>
      </c>
      <c r="M748" t="s">
        <v>40</v>
      </c>
      <c r="N748" t="s">
        <v>41</v>
      </c>
      <c r="O748" t="s">
        <v>53</v>
      </c>
      <c r="P748">
        <v>33</v>
      </c>
      <c r="Q748">
        <v>0</v>
      </c>
      <c r="R748">
        <v>0</v>
      </c>
      <c r="S748">
        <v>0</v>
      </c>
      <c r="T748" t="s">
        <v>54</v>
      </c>
      <c r="U748" t="s">
        <v>55</v>
      </c>
      <c r="W748" t="s">
        <v>2487</v>
      </c>
      <c r="Y748">
        <v>0</v>
      </c>
      <c r="AA748" t="s">
        <v>40</v>
      </c>
      <c r="AB748" t="s">
        <v>46</v>
      </c>
      <c r="AC748" t="s">
        <v>47</v>
      </c>
      <c r="AG748" t="s">
        <v>2488</v>
      </c>
      <c r="AJ748" t="s">
        <v>40</v>
      </c>
      <c r="AK748">
        <v>5019226597</v>
      </c>
      <c r="AO748" s="1">
        <v>45953</v>
      </c>
      <c r="AP748" s="5">
        <v>0.45833333333333331</v>
      </c>
      <c r="AS748">
        <v>1</v>
      </c>
    </row>
    <row r="749" spans="1:45" x14ac:dyDescent="0.2">
      <c r="A749">
        <f t="shared" si="46"/>
        <v>2025</v>
      </c>
      <c r="B749">
        <f t="shared" si="47"/>
        <v>10</v>
      </c>
      <c r="C749">
        <f t="shared" si="48"/>
        <v>43</v>
      </c>
      <c r="D749" s="2">
        <f t="shared" si="49"/>
        <v>45953</v>
      </c>
      <c r="E749" s="1">
        <v>45953.458333333336</v>
      </c>
      <c r="F749" t="s">
        <v>2489</v>
      </c>
      <c r="G749" t="s">
        <v>36</v>
      </c>
      <c r="H749" t="s">
        <v>37</v>
      </c>
      <c r="I749" t="s">
        <v>38</v>
      </c>
      <c r="J749" t="s">
        <v>112</v>
      </c>
      <c r="M749" t="s">
        <v>40</v>
      </c>
      <c r="N749" t="s">
        <v>41</v>
      </c>
      <c r="O749" t="s">
        <v>42</v>
      </c>
      <c r="P749">
        <v>23</v>
      </c>
      <c r="Q749">
        <v>0</v>
      </c>
      <c r="R749">
        <v>0</v>
      </c>
      <c r="S749">
        <v>0</v>
      </c>
      <c r="T749" t="s">
        <v>2490</v>
      </c>
      <c r="U749" t="s">
        <v>44</v>
      </c>
      <c r="W749" t="s">
        <v>2451</v>
      </c>
      <c r="Y749">
        <v>0</v>
      </c>
      <c r="AA749" t="s">
        <v>40</v>
      </c>
      <c r="AB749" t="s">
        <v>46</v>
      </c>
      <c r="AC749" t="s">
        <v>47</v>
      </c>
      <c r="AF749" t="s">
        <v>48</v>
      </c>
      <c r="AJ749" t="s">
        <v>40</v>
      </c>
      <c r="AK749" t="s">
        <v>49</v>
      </c>
      <c r="AO749" s="1">
        <v>45953</v>
      </c>
      <c r="AP749" s="5">
        <v>0.45833333333333331</v>
      </c>
      <c r="AS749">
        <v>1</v>
      </c>
    </row>
    <row r="750" spans="1:45" x14ac:dyDescent="0.2">
      <c r="A750">
        <f t="shared" si="46"/>
        <v>2025</v>
      </c>
      <c r="B750">
        <f t="shared" si="47"/>
        <v>10</v>
      </c>
      <c r="C750">
        <f t="shared" si="48"/>
        <v>43</v>
      </c>
      <c r="D750" s="2">
        <f t="shared" si="49"/>
        <v>45953</v>
      </c>
      <c r="E750" s="1">
        <v>45953.458333333336</v>
      </c>
      <c r="F750" t="s">
        <v>2491</v>
      </c>
      <c r="G750" t="s">
        <v>36</v>
      </c>
      <c r="H750" t="s">
        <v>1808</v>
      </c>
      <c r="I750" t="s">
        <v>38</v>
      </c>
      <c r="J750" t="s">
        <v>99</v>
      </c>
      <c r="M750" t="s">
        <v>40</v>
      </c>
      <c r="N750" t="s">
        <v>41</v>
      </c>
      <c r="O750" t="s">
        <v>42</v>
      </c>
      <c r="P750">
        <v>23</v>
      </c>
      <c r="Q750">
        <v>0</v>
      </c>
      <c r="R750">
        <v>0</v>
      </c>
      <c r="S750">
        <v>0</v>
      </c>
      <c r="T750" t="s">
        <v>2492</v>
      </c>
      <c r="U750" t="s">
        <v>44</v>
      </c>
      <c r="W750" t="s">
        <v>2475</v>
      </c>
      <c r="Y750">
        <v>0</v>
      </c>
      <c r="AA750" t="s">
        <v>40</v>
      </c>
      <c r="AB750" t="s">
        <v>46</v>
      </c>
      <c r="AC750" t="s">
        <v>47</v>
      </c>
      <c r="AF750" t="s">
        <v>367</v>
      </c>
      <c r="AJ750" t="s">
        <v>40</v>
      </c>
      <c r="AK750" t="s">
        <v>49</v>
      </c>
      <c r="AM750" t="s">
        <v>2179</v>
      </c>
      <c r="AN750" t="s">
        <v>2362</v>
      </c>
      <c r="AO750" s="1">
        <v>45953</v>
      </c>
      <c r="AP750" s="5">
        <v>0.45833333333333331</v>
      </c>
      <c r="AS750">
        <v>1</v>
      </c>
    </row>
    <row r="751" spans="1:45" x14ac:dyDescent="0.2">
      <c r="A751">
        <f t="shared" si="46"/>
        <v>2025</v>
      </c>
      <c r="B751">
        <f t="shared" si="47"/>
        <v>10</v>
      </c>
      <c r="C751">
        <f t="shared" si="48"/>
        <v>43</v>
      </c>
      <c r="D751" s="2">
        <f t="shared" si="49"/>
        <v>45953</v>
      </c>
      <c r="E751" s="1">
        <v>45953.5</v>
      </c>
      <c r="F751" t="s">
        <v>2493</v>
      </c>
      <c r="G751" t="s">
        <v>36</v>
      </c>
      <c r="H751" t="s">
        <v>37</v>
      </c>
      <c r="I751" t="s">
        <v>38</v>
      </c>
      <c r="J751" t="s">
        <v>112</v>
      </c>
      <c r="M751" t="s">
        <v>40</v>
      </c>
      <c r="N751" t="s">
        <v>41</v>
      </c>
      <c r="O751" t="s">
        <v>42</v>
      </c>
      <c r="P751">
        <v>23</v>
      </c>
      <c r="Q751">
        <v>0</v>
      </c>
      <c r="R751">
        <v>0</v>
      </c>
      <c r="S751">
        <v>0</v>
      </c>
      <c r="T751" t="s">
        <v>2494</v>
      </c>
      <c r="U751" t="s">
        <v>44</v>
      </c>
      <c r="W751" t="s">
        <v>2451</v>
      </c>
      <c r="Y751">
        <v>0</v>
      </c>
      <c r="AA751" t="s">
        <v>40</v>
      </c>
      <c r="AB751" t="s">
        <v>46</v>
      </c>
      <c r="AC751" t="s">
        <v>47</v>
      </c>
      <c r="AF751" t="s">
        <v>48</v>
      </c>
      <c r="AJ751" t="s">
        <v>40</v>
      </c>
      <c r="AK751" t="s">
        <v>49</v>
      </c>
      <c r="AO751" s="1">
        <v>45953</v>
      </c>
      <c r="AP751" s="5">
        <v>0.5</v>
      </c>
      <c r="AS751">
        <v>1</v>
      </c>
    </row>
    <row r="752" spans="1:45" x14ac:dyDescent="0.2">
      <c r="A752">
        <f t="shared" si="46"/>
        <v>2025</v>
      </c>
      <c r="B752">
        <f t="shared" si="47"/>
        <v>10</v>
      </c>
      <c r="C752">
        <f t="shared" si="48"/>
        <v>43</v>
      </c>
      <c r="D752" s="2">
        <f t="shared" si="49"/>
        <v>45953</v>
      </c>
      <c r="E752" s="1">
        <v>45953.5</v>
      </c>
      <c r="F752" t="s">
        <v>2495</v>
      </c>
      <c r="G752" t="s">
        <v>36</v>
      </c>
      <c r="H752">
        <v>460055</v>
      </c>
      <c r="I752" t="s">
        <v>51</v>
      </c>
      <c r="J752" t="s">
        <v>154</v>
      </c>
      <c r="M752" t="s">
        <v>40</v>
      </c>
      <c r="N752" t="s">
        <v>41</v>
      </c>
      <c r="O752" t="s">
        <v>53</v>
      </c>
      <c r="P752">
        <v>33</v>
      </c>
      <c r="Q752">
        <v>0</v>
      </c>
      <c r="R752">
        <v>0</v>
      </c>
      <c r="S752">
        <v>0</v>
      </c>
      <c r="T752" t="s">
        <v>54</v>
      </c>
      <c r="U752" t="s">
        <v>55</v>
      </c>
      <c r="W752" t="s">
        <v>2496</v>
      </c>
      <c r="Y752">
        <v>0</v>
      </c>
      <c r="AA752" t="s">
        <v>40</v>
      </c>
      <c r="AB752" t="s">
        <v>46</v>
      </c>
      <c r="AC752" t="s">
        <v>47</v>
      </c>
      <c r="AG752" t="s">
        <v>2497</v>
      </c>
      <c r="AJ752" t="s">
        <v>40</v>
      </c>
      <c r="AK752">
        <v>5019246364</v>
      </c>
      <c r="AO752" s="1">
        <v>45953</v>
      </c>
      <c r="AP752" s="5">
        <v>0.5</v>
      </c>
      <c r="AS752">
        <v>1</v>
      </c>
    </row>
    <row r="753" spans="1:45" x14ac:dyDescent="0.2">
      <c r="A753">
        <f t="shared" si="46"/>
        <v>2025</v>
      </c>
      <c r="B753">
        <f t="shared" si="47"/>
        <v>10</v>
      </c>
      <c r="C753">
        <f t="shared" si="48"/>
        <v>43</v>
      </c>
      <c r="D753" s="2">
        <f t="shared" si="49"/>
        <v>45953</v>
      </c>
      <c r="E753" s="1">
        <v>45953.5</v>
      </c>
      <c r="F753" t="s">
        <v>2498</v>
      </c>
      <c r="G753" t="s">
        <v>36</v>
      </c>
      <c r="H753" t="s">
        <v>1808</v>
      </c>
      <c r="I753" t="s">
        <v>38</v>
      </c>
      <c r="J753" t="s">
        <v>99</v>
      </c>
      <c r="M753" t="s">
        <v>40</v>
      </c>
      <c r="N753" t="s">
        <v>41</v>
      </c>
      <c r="O753" t="s">
        <v>42</v>
      </c>
      <c r="P753">
        <v>23</v>
      </c>
      <c r="Q753">
        <v>0</v>
      </c>
      <c r="R753">
        <v>0</v>
      </c>
      <c r="S753">
        <v>0</v>
      </c>
      <c r="T753" t="s">
        <v>2499</v>
      </c>
      <c r="U753" t="s">
        <v>44</v>
      </c>
      <c r="W753" t="s">
        <v>2475</v>
      </c>
      <c r="Y753">
        <v>0</v>
      </c>
      <c r="AA753" t="s">
        <v>40</v>
      </c>
      <c r="AB753" t="s">
        <v>46</v>
      </c>
      <c r="AC753" t="s">
        <v>47</v>
      </c>
      <c r="AF753" t="s">
        <v>367</v>
      </c>
      <c r="AJ753" t="s">
        <v>40</v>
      </c>
      <c r="AK753" t="s">
        <v>49</v>
      </c>
      <c r="AM753" t="s">
        <v>2195</v>
      </c>
      <c r="AN753" t="s">
        <v>2362</v>
      </c>
      <c r="AO753" s="1">
        <v>45953</v>
      </c>
      <c r="AP753" s="5">
        <v>0.5</v>
      </c>
      <c r="AS753">
        <v>1</v>
      </c>
    </row>
    <row r="754" spans="1:45" x14ac:dyDescent="0.2">
      <c r="A754">
        <f t="shared" si="46"/>
        <v>2025</v>
      </c>
      <c r="B754">
        <f t="shared" si="47"/>
        <v>10</v>
      </c>
      <c r="C754">
        <f t="shared" si="48"/>
        <v>43</v>
      </c>
      <c r="D754" s="2">
        <f t="shared" si="49"/>
        <v>45953</v>
      </c>
      <c r="E754" s="1">
        <v>45953.5</v>
      </c>
      <c r="F754" t="s">
        <v>2500</v>
      </c>
      <c r="G754" t="s">
        <v>36</v>
      </c>
      <c r="H754" t="s">
        <v>2501</v>
      </c>
      <c r="I754" t="s">
        <v>78</v>
      </c>
      <c r="J754" t="s">
        <v>52</v>
      </c>
      <c r="M754" t="s">
        <v>40</v>
      </c>
      <c r="N754" t="s">
        <v>41</v>
      </c>
      <c r="O754" t="s">
        <v>79</v>
      </c>
      <c r="P754">
        <v>66</v>
      </c>
      <c r="Q754">
        <v>0</v>
      </c>
      <c r="R754">
        <v>0</v>
      </c>
      <c r="S754">
        <v>0</v>
      </c>
      <c r="T754" t="s">
        <v>54</v>
      </c>
      <c r="U754" t="s">
        <v>55</v>
      </c>
      <c r="W754" t="s">
        <v>2430</v>
      </c>
      <c r="Y754">
        <v>0</v>
      </c>
      <c r="AA754" t="s">
        <v>40</v>
      </c>
      <c r="AB754" t="s">
        <v>46</v>
      </c>
      <c r="AC754" t="s">
        <v>47</v>
      </c>
      <c r="AD754" t="s">
        <v>81</v>
      </c>
      <c r="AE754" t="s">
        <v>81</v>
      </c>
      <c r="AG754" t="s">
        <v>2502</v>
      </c>
      <c r="AJ754" t="s">
        <v>40</v>
      </c>
      <c r="AK754" t="s">
        <v>2503</v>
      </c>
      <c r="AO754" s="1">
        <v>45953</v>
      </c>
      <c r="AP754" s="5">
        <v>0.5</v>
      </c>
      <c r="AS754">
        <v>1</v>
      </c>
    </row>
    <row r="755" spans="1:45" x14ac:dyDescent="0.2">
      <c r="A755">
        <f t="shared" si="46"/>
        <v>2025</v>
      </c>
      <c r="B755">
        <f t="shared" si="47"/>
        <v>10</v>
      </c>
      <c r="C755">
        <f t="shared" si="48"/>
        <v>43</v>
      </c>
      <c r="D755" s="2">
        <f t="shared" si="49"/>
        <v>45953</v>
      </c>
      <c r="E755" s="1">
        <v>45953.541666666664</v>
      </c>
      <c r="F755" t="s">
        <v>2504</v>
      </c>
      <c r="G755" t="s">
        <v>36</v>
      </c>
      <c r="H755" t="s">
        <v>37</v>
      </c>
      <c r="I755" t="s">
        <v>38</v>
      </c>
      <c r="J755" t="s">
        <v>112</v>
      </c>
      <c r="M755" t="s">
        <v>40</v>
      </c>
      <c r="N755" t="s">
        <v>41</v>
      </c>
      <c r="O755" t="s">
        <v>42</v>
      </c>
      <c r="P755">
        <v>23</v>
      </c>
      <c r="Q755">
        <v>0</v>
      </c>
      <c r="R755">
        <v>0</v>
      </c>
      <c r="S755">
        <v>0</v>
      </c>
      <c r="T755" t="s">
        <v>2505</v>
      </c>
      <c r="U755" t="s">
        <v>44</v>
      </c>
      <c r="W755" t="s">
        <v>2451</v>
      </c>
      <c r="Y755">
        <v>0</v>
      </c>
      <c r="AA755" t="s">
        <v>40</v>
      </c>
      <c r="AB755" t="s">
        <v>46</v>
      </c>
      <c r="AC755" t="s">
        <v>47</v>
      </c>
      <c r="AF755" t="s">
        <v>48</v>
      </c>
      <c r="AJ755" t="s">
        <v>40</v>
      </c>
      <c r="AK755" t="s">
        <v>49</v>
      </c>
      <c r="AO755" s="1">
        <v>45953</v>
      </c>
      <c r="AP755" s="5">
        <v>0.54166666666666663</v>
      </c>
      <c r="AS755">
        <v>1</v>
      </c>
    </row>
    <row r="756" spans="1:45" x14ac:dyDescent="0.2">
      <c r="A756">
        <f t="shared" si="46"/>
        <v>2025</v>
      </c>
      <c r="B756">
        <f t="shared" si="47"/>
        <v>10</v>
      </c>
      <c r="C756">
        <f t="shared" si="48"/>
        <v>43</v>
      </c>
      <c r="D756" s="2">
        <f t="shared" si="49"/>
        <v>45953</v>
      </c>
      <c r="E756" s="1">
        <v>45953.541666666664</v>
      </c>
      <c r="F756" t="s">
        <v>2506</v>
      </c>
      <c r="G756" t="s">
        <v>36</v>
      </c>
      <c r="H756" t="s">
        <v>2507</v>
      </c>
      <c r="I756" t="s">
        <v>38</v>
      </c>
      <c r="J756" t="s">
        <v>2508</v>
      </c>
      <c r="M756" t="s">
        <v>40</v>
      </c>
      <c r="N756" t="s">
        <v>41</v>
      </c>
      <c r="O756" t="s">
        <v>42</v>
      </c>
      <c r="P756">
        <v>8</v>
      </c>
      <c r="Q756">
        <v>0</v>
      </c>
      <c r="R756">
        <v>0</v>
      </c>
      <c r="S756">
        <v>0</v>
      </c>
      <c r="T756">
        <v>5019135152</v>
      </c>
      <c r="U756" t="s">
        <v>101</v>
      </c>
      <c r="W756" t="s">
        <v>2475</v>
      </c>
      <c r="Y756">
        <v>0</v>
      </c>
      <c r="AA756" t="s">
        <v>40</v>
      </c>
      <c r="AB756" t="s">
        <v>46</v>
      </c>
      <c r="AC756" t="s">
        <v>47</v>
      </c>
      <c r="AF756" t="s">
        <v>2509</v>
      </c>
      <c r="AJ756" t="s">
        <v>40</v>
      </c>
      <c r="AK756" t="s">
        <v>49</v>
      </c>
      <c r="AO756" s="1">
        <v>45953</v>
      </c>
      <c r="AP756" s="5">
        <v>0.54166666666666663</v>
      </c>
      <c r="AS756">
        <v>1</v>
      </c>
    </row>
    <row r="757" spans="1:45" x14ac:dyDescent="0.2">
      <c r="A757">
        <f t="shared" si="46"/>
        <v>2025</v>
      </c>
      <c r="B757">
        <f t="shared" si="47"/>
        <v>10</v>
      </c>
      <c r="C757">
        <f t="shared" si="48"/>
        <v>43</v>
      </c>
      <c r="D757" s="2">
        <f t="shared" si="49"/>
        <v>45953</v>
      </c>
      <c r="E757" s="1">
        <v>45953.541666666664</v>
      </c>
      <c r="F757" t="s">
        <v>2510</v>
      </c>
      <c r="G757" t="s">
        <v>36</v>
      </c>
      <c r="H757">
        <v>460024</v>
      </c>
      <c r="I757" t="s">
        <v>51</v>
      </c>
      <c r="J757" t="s">
        <v>144</v>
      </c>
      <c r="M757" t="s">
        <v>40</v>
      </c>
      <c r="N757" t="s">
        <v>41</v>
      </c>
      <c r="O757" t="s">
        <v>53</v>
      </c>
      <c r="P757">
        <v>33</v>
      </c>
      <c r="Q757">
        <v>0</v>
      </c>
      <c r="R757">
        <v>0</v>
      </c>
      <c r="S757">
        <v>0</v>
      </c>
      <c r="T757" t="s">
        <v>54</v>
      </c>
      <c r="U757" t="s">
        <v>55</v>
      </c>
      <c r="W757" t="s">
        <v>2082</v>
      </c>
      <c r="X757" t="s">
        <v>2511</v>
      </c>
      <c r="Y757">
        <v>0</v>
      </c>
      <c r="AA757" t="s">
        <v>40</v>
      </c>
      <c r="AB757" t="s">
        <v>46</v>
      </c>
      <c r="AC757" t="s">
        <v>47</v>
      </c>
      <c r="AG757" t="s">
        <v>2512</v>
      </c>
      <c r="AJ757" t="s">
        <v>40</v>
      </c>
      <c r="AK757">
        <v>5019246365</v>
      </c>
      <c r="AL757" t="s">
        <v>2513</v>
      </c>
      <c r="AM757" t="s">
        <v>2514</v>
      </c>
      <c r="AO757" s="1">
        <v>45953</v>
      </c>
      <c r="AP757" s="5">
        <v>0.54166666666666663</v>
      </c>
      <c r="AS757">
        <v>1</v>
      </c>
    </row>
    <row r="758" spans="1:45" x14ac:dyDescent="0.2">
      <c r="A758">
        <f t="shared" si="46"/>
        <v>2025</v>
      </c>
      <c r="B758">
        <f t="shared" si="47"/>
        <v>10</v>
      </c>
      <c r="C758">
        <f t="shared" si="48"/>
        <v>43</v>
      </c>
      <c r="D758" s="2">
        <f t="shared" si="49"/>
        <v>45953</v>
      </c>
      <c r="E758" s="1">
        <v>45953.541666666664</v>
      </c>
      <c r="F758" t="s">
        <v>2515</v>
      </c>
      <c r="G758" t="s">
        <v>36</v>
      </c>
      <c r="H758" t="s">
        <v>1808</v>
      </c>
      <c r="I758" t="s">
        <v>38</v>
      </c>
      <c r="J758" t="s">
        <v>99</v>
      </c>
      <c r="M758" t="s">
        <v>40</v>
      </c>
      <c r="N758" t="s">
        <v>41</v>
      </c>
      <c r="O758" t="s">
        <v>42</v>
      </c>
      <c r="P758">
        <v>23</v>
      </c>
      <c r="Q758">
        <v>0</v>
      </c>
      <c r="R758">
        <v>0</v>
      </c>
      <c r="S758">
        <v>0</v>
      </c>
      <c r="T758" t="s">
        <v>2516</v>
      </c>
      <c r="U758" t="s">
        <v>44</v>
      </c>
      <c r="W758" t="s">
        <v>2475</v>
      </c>
      <c r="Y758">
        <v>0</v>
      </c>
      <c r="AA758" t="s">
        <v>40</v>
      </c>
      <c r="AB758" t="s">
        <v>46</v>
      </c>
      <c r="AC758" t="s">
        <v>47</v>
      </c>
      <c r="AF758" t="s">
        <v>367</v>
      </c>
      <c r="AJ758" t="s">
        <v>40</v>
      </c>
      <c r="AK758" t="s">
        <v>49</v>
      </c>
      <c r="AM758" t="s">
        <v>2200</v>
      </c>
      <c r="AN758" t="s">
        <v>2362</v>
      </c>
      <c r="AO758" s="1">
        <v>45953</v>
      </c>
      <c r="AP758" s="5">
        <v>0.54166666666666663</v>
      </c>
      <c r="AS758">
        <v>1</v>
      </c>
    </row>
    <row r="759" spans="1:45" x14ac:dyDescent="0.2">
      <c r="A759">
        <f t="shared" si="46"/>
        <v>2025</v>
      </c>
      <c r="B759">
        <f t="shared" si="47"/>
        <v>10</v>
      </c>
      <c r="C759">
        <f t="shared" si="48"/>
        <v>43</v>
      </c>
      <c r="D759" s="2">
        <f t="shared" si="49"/>
        <v>45953</v>
      </c>
      <c r="E759" s="1">
        <v>45953.583333333336</v>
      </c>
      <c r="F759" t="s">
        <v>2517</v>
      </c>
      <c r="G759" t="s">
        <v>36</v>
      </c>
      <c r="H759" t="s">
        <v>1808</v>
      </c>
      <c r="I759" t="s">
        <v>38</v>
      </c>
      <c r="J759" t="s">
        <v>99</v>
      </c>
      <c r="M759" t="s">
        <v>40</v>
      </c>
      <c r="N759" t="s">
        <v>41</v>
      </c>
      <c r="O759" t="s">
        <v>42</v>
      </c>
      <c r="P759">
        <v>23</v>
      </c>
      <c r="Q759">
        <v>0</v>
      </c>
      <c r="R759">
        <v>0</v>
      </c>
      <c r="S759">
        <v>0</v>
      </c>
      <c r="T759" t="s">
        <v>2518</v>
      </c>
      <c r="U759" t="s">
        <v>44</v>
      </c>
      <c r="W759" t="s">
        <v>2269</v>
      </c>
      <c r="Y759">
        <v>0</v>
      </c>
      <c r="AA759" t="s">
        <v>40</v>
      </c>
      <c r="AB759" t="s">
        <v>46</v>
      </c>
      <c r="AC759" t="s">
        <v>47</v>
      </c>
      <c r="AF759" t="s">
        <v>367</v>
      </c>
      <c r="AJ759" t="s">
        <v>40</v>
      </c>
      <c r="AK759" t="s">
        <v>49</v>
      </c>
      <c r="AM759" t="s">
        <v>2289</v>
      </c>
      <c r="AN759" t="s">
        <v>2362</v>
      </c>
      <c r="AO759" s="1">
        <v>45953</v>
      </c>
      <c r="AP759" s="5">
        <v>0.58333333333333337</v>
      </c>
      <c r="AS759">
        <v>1</v>
      </c>
    </row>
    <row r="760" spans="1:45" x14ac:dyDescent="0.2">
      <c r="A760">
        <f t="shared" si="46"/>
        <v>2025</v>
      </c>
      <c r="B760">
        <f t="shared" si="47"/>
        <v>10</v>
      </c>
      <c r="C760">
        <f t="shared" si="48"/>
        <v>43</v>
      </c>
      <c r="D760" s="2">
        <f t="shared" si="49"/>
        <v>45953</v>
      </c>
      <c r="E760" s="1">
        <v>45953.583333333336</v>
      </c>
      <c r="F760" t="s">
        <v>2519</v>
      </c>
      <c r="G760" t="s">
        <v>36</v>
      </c>
      <c r="H760">
        <v>457410</v>
      </c>
      <c r="I760" t="s">
        <v>51</v>
      </c>
      <c r="J760" t="s">
        <v>188</v>
      </c>
      <c r="M760" t="s">
        <v>40</v>
      </c>
      <c r="N760" t="s">
        <v>41</v>
      </c>
      <c r="O760" t="s">
        <v>189</v>
      </c>
      <c r="P760">
        <v>33</v>
      </c>
      <c r="Q760">
        <v>0</v>
      </c>
      <c r="R760">
        <v>0</v>
      </c>
      <c r="S760">
        <v>0</v>
      </c>
      <c r="T760" t="s">
        <v>54</v>
      </c>
      <c r="U760" t="s">
        <v>55</v>
      </c>
      <c r="W760" t="s">
        <v>2520</v>
      </c>
      <c r="Y760">
        <v>0</v>
      </c>
      <c r="AA760" t="s">
        <v>40</v>
      </c>
      <c r="AB760" t="s">
        <v>46</v>
      </c>
      <c r="AC760" t="s">
        <v>47</v>
      </c>
      <c r="AG760" t="s">
        <v>2521</v>
      </c>
      <c r="AJ760" t="s">
        <v>40</v>
      </c>
      <c r="AK760">
        <v>5019221116</v>
      </c>
      <c r="AO760" s="1">
        <v>45953</v>
      </c>
      <c r="AP760" s="5">
        <v>0.58333333333333337</v>
      </c>
      <c r="AS760">
        <v>1</v>
      </c>
    </row>
    <row r="761" spans="1:45" x14ac:dyDescent="0.2">
      <c r="A761">
        <f t="shared" si="46"/>
        <v>2025</v>
      </c>
      <c r="B761">
        <f t="shared" si="47"/>
        <v>10</v>
      </c>
      <c r="C761">
        <f t="shared" si="48"/>
        <v>43</v>
      </c>
      <c r="D761" s="2">
        <f t="shared" si="49"/>
        <v>45953</v>
      </c>
      <c r="E761" s="1">
        <v>45953.583333333336</v>
      </c>
      <c r="F761" t="s">
        <v>2522</v>
      </c>
      <c r="G761" t="s">
        <v>36</v>
      </c>
      <c r="H761" t="s">
        <v>37</v>
      </c>
      <c r="I761" t="s">
        <v>38</v>
      </c>
      <c r="J761" t="s">
        <v>112</v>
      </c>
      <c r="M761" t="s">
        <v>40</v>
      </c>
      <c r="N761" t="s">
        <v>41</v>
      </c>
      <c r="O761" t="s">
        <v>42</v>
      </c>
      <c r="P761">
        <v>23</v>
      </c>
      <c r="Q761">
        <v>0</v>
      </c>
      <c r="R761">
        <v>0</v>
      </c>
      <c r="S761">
        <v>0</v>
      </c>
      <c r="T761" t="s">
        <v>2523</v>
      </c>
      <c r="U761" t="s">
        <v>44</v>
      </c>
      <c r="W761" t="s">
        <v>2451</v>
      </c>
      <c r="Y761">
        <v>0</v>
      </c>
      <c r="AA761" t="s">
        <v>40</v>
      </c>
      <c r="AB761" t="s">
        <v>46</v>
      </c>
      <c r="AC761" t="s">
        <v>47</v>
      </c>
      <c r="AF761" t="s">
        <v>48</v>
      </c>
      <c r="AJ761" t="s">
        <v>40</v>
      </c>
      <c r="AK761" t="s">
        <v>49</v>
      </c>
      <c r="AO761" s="1">
        <v>45953</v>
      </c>
      <c r="AP761" s="5">
        <v>0.58333333333333337</v>
      </c>
      <c r="AS761">
        <v>1</v>
      </c>
    </row>
    <row r="762" spans="1:45" x14ac:dyDescent="0.2">
      <c r="A762">
        <f t="shared" si="46"/>
        <v>2025</v>
      </c>
      <c r="B762">
        <f t="shared" si="47"/>
        <v>10</v>
      </c>
      <c r="C762">
        <f t="shared" si="48"/>
        <v>43</v>
      </c>
      <c r="D762" s="2">
        <f t="shared" si="49"/>
        <v>45953</v>
      </c>
      <c r="E762" s="1">
        <v>45953.625</v>
      </c>
      <c r="F762" t="s">
        <v>2524</v>
      </c>
      <c r="G762" t="s">
        <v>36</v>
      </c>
      <c r="H762" t="s">
        <v>340</v>
      </c>
      <c r="I762" t="s">
        <v>38</v>
      </c>
      <c r="J762" t="s">
        <v>341</v>
      </c>
      <c r="M762" t="s">
        <v>40</v>
      </c>
      <c r="N762" t="s">
        <v>41</v>
      </c>
      <c r="O762" t="s">
        <v>42</v>
      </c>
      <c r="P762">
        <v>20</v>
      </c>
      <c r="Q762">
        <v>0</v>
      </c>
      <c r="R762">
        <v>0</v>
      </c>
      <c r="S762">
        <v>0</v>
      </c>
      <c r="T762" t="s">
        <v>2525</v>
      </c>
      <c r="U762" t="s">
        <v>55</v>
      </c>
      <c r="W762" t="s">
        <v>2475</v>
      </c>
      <c r="Y762">
        <v>0</v>
      </c>
      <c r="AA762" t="s">
        <v>40</v>
      </c>
      <c r="AB762" t="s">
        <v>46</v>
      </c>
      <c r="AC762" t="s">
        <v>47</v>
      </c>
      <c r="AF762" t="s">
        <v>342</v>
      </c>
      <c r="AJ762" t="s">
        <v>40</v>
      </c>
      <c r="AK762" t="s">
        <v>49</v>
      </c>
      <c r="AO762" s="1">
        <v>45953</v>
      </c>
      <c r="AP762" s="5">
        <v>0.625</v>
      </c>
      <c r="AS762">
        <v>1</v>
      </c>
    </row>
    <row r="763" spans="1:45" x14ac:dyDescent="0.2">
      <c r="A763">
        <f t="shared" si="46"/>
        <v>2025</v>
      </c>
      <c r="B763">
        <f t="shared" si="47"/>
        <v>10</v>
      </c>
      <c r="C763">
        <f t="shared" si="48"/>
        <v>43</v>
      </c>
      <c r="D763" s="2">
        <f t="shared" si="49"/>
        <v>45953</v>
      </c>
      <c r="E763" s="1">
        <v>45953.625</v>
      </c>
      <c r="F763" t="s">
        <v>2526</v>
      </c>
      <c r="G763" t="s">
        <v>36</v>
      </c>
      <c r="H763" t="s">
        <v>1167</v>
      </c>
      <c r="I763" t="s">
        <v>38</v>
      </c>
      <c r="J763" t="s">
        <v>1168</v>
      </c>
      <c r="M763" t="s">
        <v>40</v>
      </c>
      <c r="N763" t="s">
        <v>41</v>
      </c>
      <c r="O763" t="s">
        <v>42</v>
      </c>
      <c r="P763">
        <v>1</v>
      </c>
      <c r="Q763">
        <v>0</v>
      </c>
      <c r="R763">
        <v>0</v>
      </c>
      <c r="S763">
        <v>0</v>
      </c>
      <c r="T763">
        <v>5019202841</v>
      </c>
      <c r="U763" t="s">
        <v>101</v>
      </c>
      <c r="W763" t="s">
        <v>2475</v>
      </c>
      <c r="Y763">
        <v>0</v>
      </c>
      <c r="AA763" t="s">
        <v>40</v>
      </c>
      <c r="AB763" t="s">
        <v>46</v>
      </c>
      <c r="AC763" t="s">
        <v>47</v>
      </c>
      <c r="AF763" t="s">
        <v>1169</v>
      </c>
      <c r="AJ763" t="s">
        <v>40</v>
      </c>
      <c r="AK763" t="s">
        <v>49</v>
      </c>
      <c r="AO763" s="1">
        <v>45953</v>
      </c>
      <c r="AP763" s="5">
        <v>0.625</v>
      </c>
      <c r="AS763">
        <v>1</v>
      </c>
    </row>
    <row r="764" spans="1:45" x14ac:dyDescent="0.2">
      <c r="A764">
        <f t="shared" si="46"/>
        <v>2025</v>
      </c>
      <c r="B764">
        <f t="shared" si="47"/>
        <v>10</v>
      </c>
      <c r="C764">
        <f t="shared" si="48"/>
        <v>43</v>
      </c>
      <c r="D764" s="2">
        <f t="shared" si="49"/>
        <v>45953</v>
      </c>
      <c r="E764" s="1">
        <v>45953.625</v>
      </c>
      <c r="F764" t="s">
        <v>2527</v>
      </c>
      <c r="G764" t="s">
        <v>36</v>
      </c>
      <c r="H764" t="s">
        <v>320</v>
      </c>
      <c r="I764" t="s">
        <v>38</v>
      </c>
      <c r="J764" t="s">
        <v>321</v>
      </c>
      <c r="M764" t="s">
        <v>40</v>
      </c>
      <c r="N764" t="s">
        <v>41</v>
      </c>
      <c r="O764" t="s">
        <v>42</v>
      </c>
      <c r="P764">
        <v>33</v>
      </c>
      <c r="Q764">
        <v>0</v>
      </c>
      <c r="R764">
        <v>0</v>
      </c>
      <c r="S764">
        <v>0</v>
      </c>
      <c r="T764">
        <v>5019229646</v>
      </c>
      <c r="U764" t="s">
        <v>44</v>
      </c>
      <c r="W764" t="s">
        <v>2475</v>
      </c>
      <c r="Y764">
        <v>0</v>
      </c>
      <c r="AA764" t="s">
        <v>40</v>
      </c>
      <c r="AB764" t="s">
        <v>46</v>
      </c>
      <c r="AC764" t="s">
        <v>47</v>
      </c>
      <c r="AF764" t="s">
        <v>322</v>
      </c>
      <c r="AJ764" t="s">
        <v>40</v>
      </c>
      <c r="AK764" t="s">
        <v>49</v>
      </c>
      <c r="AO764" s="1">
        <v>45953</v>
      </c>
      <c r="AP764" s="5">
        <v>0.625</v>
      </c>
      <c r="AS764">
        <v>1</v>
      </c>
    </row>
    <row r="765" spans="1:45" x14ac:dyDescent="0.2">
      <c r="A765">
        <f t="shared" si="46"/>
        <v>2025</v>
      </c>
      <c r="B765">
        <f t="shared" si="47"/>
        <v>10</v>
      </c>
      <c r="C765">
        <f t="shared" si="48"/>
        <v>43</v>
      </c>
      <c r="D765" s="2">
        <f t="shared" si="49"/>
        <v>45953</v>
      </c>
      <c r="E765" s="1">
        <v>45953.625</v>
      </c>
      <c r="F765" t="s">
        <v>2528</v>
      </c>
      <c r="G765" t="s">
        <v>36</v>
      </c>
      <c r="H765" t="s">
        <v>2529</v>
      </c>
      <c r="I765" t="s">
        <v>38</v>
      </c>
      <c r="J765" t="s">
        <v>2530</v>
      </c>
      <c r="M765" t="s">
        <v>40</v>
      </c>
      <c r="N765" t="s">
        <v>41</v>
      </c>
      <c r="O765" t="s">
        <v>42</v>
      </c>
      <c r="P765">
        <v>20</v>
      </c>
      <c r="Q765">
        <v>0</v>
      </c>
      <c r="R765">
        <v>0</v>
      </c>
      <c r="S765">
        <v>0</v>
      </c>
      <c r="U765" t="s">
        <v>392</v>
      </c>
      <c r="W765" t="s">
        <v>1980</v>
      </c>
      <c r="Y765">
        <v>0</v>
      </c>
      <c r="AA765" t="s">
        <v>40</v>
      </c>
      <c r="AB765" t="s">
        <v>46</v>
      </c>
      <c r="AC765" t="s">
        <v>47</v>
      </c>
      <c r="AF765" t="s">
        <v>393</v>
      </c>
      <c r="AJ765" t="s">
        <v>40</v>
      </c>
      <c r="AK765" t="s">
        <v>49</v>
      </c>
      <c r="AO765" s="1">
        <v>45953</v>
      </c>
      <c r="AP765" s="5">
        <v>0.625</v>
      </c>
      <c r="AS765">
        <v>1</v>
      </c>
    </row>
    <row r="766" spans="1:45" x14ac:dyDescent="0.2">
      <c r="A766">
        <f t="shared" si="46"/>
        <v>2025</v>
      </c>
      <c r="B766">
        <f t="shared" si="47"/>
        <v>10</v>
      </c>
      <c r="C766">
        <f t="shared" si="48"/>
        <v>43</v>
      </c>
      <c r="D766" s="2">
        <f t="shared" si="49"/>
        <v>45953</v>
      </c>
      <c r="E766" s="1">
        <v>45953.625</v>
      </c>
      <c r="F766" t="s">
        <v>2531</v>
      </c>
      <c r="G766" t="s">
        <v>36</v>
      </c>
      <c r="H766" t="s">
        <v>1167</v>
      </c>
      <c r="I766" t="s">
        <v>38</v>
      </c>
      <c r="J766" t="s">
        <v>1168</v>
      </c>
      <c r="M766" t="s">
        <v>40</v>
      </c>
      <c r="N766" t="s">
        <v>41</v>
      </c>
      <c r="O766" t="s">
        <v>42</v>
      </c>
      <c r="P766">
        <v>30</v>
      </c>
      <c r="Q766">
        <v>0</v>
      </c>
      <c r="R766">
        <v>0</v>
      </c>
      <c r="S766">
        <v>0</v>
      </c>
      <c r="T766">
        <v>5019183057</v>
      </c>
      <c r="U766" t="s">
        <v>44</v>
      </c>
      <c r="W766" t="s">
        <v>2475</v>
      </c>
      <c r="Y766">
        <v>0</v>
      </c>
      <c r="AA766" t="s">
        <v>40</v>
      </c>
      <c r="AB766" t="s">
        <v>46</v>
      </c>
      <c r="AC766" t="s">
        <v>47</v>
      </c>
      <c r="AF766" t="s">
        <v>1169</v>
      </c>
      <c r="AJ766" t="s">
        <v>40</v>
      </c>
      <c r="AK766" t="s">
        <v>49</v>
      </c>
      <c r="AO766" s="1">
        <v>45953</v>
      </c>
      <c r="AP766" s="5">
        <v>0.625</v>
      </c>
      <c r="AS766">
        <v>1</v>
      </c>
    </row>
    <row r="767" spans="1:45" x14ac:dyDescent="0.2">
      <c r="A767">
        <f t="shared" si="46"/>
        <v>2025</v>
      </c>
      <c r="B767">
        <f t="shared" si="47"/>
        <v>10</v>
      </c>
      <c r="C767">
        <f t="shared" si="48"/>
        <v>43</v>
      </c>
      <c r="D767" s="2">
        <f t="shared" si="49"/>
        <v>45953</v>
      </c>
      <c r="E767" s="1">
        <v>45953.666666666664</v>
      </c>
      <c r="F767" t="s">
        <v>2532</v>
      </c>
      <c r="G767" t="s">
        <v>36</v>
      </c>
      <c r="H767" t="s">
        <v>37</v>
      </c>
      <c r="I767" t="s">
        <v>38</v>
      </c>
      <c r="J767" t="s">
        <v>112</v>
      </c>
      <c r="M767" t="s">
        <v>40</v>
      </c>
      <c r="N767" t="s">
        <v>41</v>
      </c>
      <c r="O767" t="s">
        <v>42</v>
      </c>
      <c r="P767">
        <v>16</v>
      </c>
      <c r="Q767">
        <v>0</v>
      </c>
      <c r="R767">
        <v>0</v>
      </c>
      <c r="S767">
        <v>0</v>
      </c>
      <c r="T767" t="s">
        <v>2533</v>
      </c>
      <c r="U767" t="s">
        <v>44</v>
      </c>
      <c r="W767" t="s">
        <v>2451</v>
      </c>
      <c r="Y767">
        <v>0</v>
      </c>
      <c r="AA767" t="s">
        <v>40</v>
      </c>
      <c r="AB767" t="s">
        <v>46</v>
      </c>
      <c r="AC767" t="s">
        <v>47</v>
      </c>
      <c r="AF767" t="s">
        <v>48</v>
      </c>
      <c r="AJ767" t="s">
        <v>40</v>
      </c>
      <c r="AK767" t="s">
        <v>49</v>
      </c>
      <c r="AO767" s="1">
        <v>45953</v>
      </c>
      <c r="AP767" s="5">
        <v>0.66666666666666663</v>
      </c>
      <c r="AS767">
        <v>1</v>
      </c>
    </row>
    <row r="768" spans="1:45" x14ac:dyDescent="0.2">
      <c r="A768">
        <f t="shared" si="46"/>
        <v>2025</v>
      </c>
      <c r="B768">
        <f t="shared" si="47"/>
        <v>10</v>
      </c>
      <c r="C768">
        <f t="shared" si="48"/>
        <v>43</v>
      </c>
      <c r="D768" s="2">
        <f t="shared" si="49"/>
        <v>45953</v>
      </c>
      <c r="E768" s="1">
        <v>45953.666666666664</v>
      </c>
      <c r="F768" t="s">
        <v>2534</v>
      </c>
      <c r="G768" t="s">
        <v>36</v>
      </c>
      <c r="H768" t="s">
        <v>2535</v>
      </c>
      <c r="I768" t="s">
        <v>78</v>
      </c>
      <c r="J768" t="s">
        <v>118</v>
      </c>
      <c r="M768" t="s">
        <v>40</v>
      </c>
      <c r="N768" t="s">
        <v>41</v>
      </c>
      <c r="O768" t="s">
        <v>1596</v>
      </c>
      <c r="P768">
        <v>66</v>
      </c>
      <c r="Q768">
        <v>0</v>
      </c>
      <c r="R768">
        <v>0</v>
      </c>
      <c r="S768">
        <v>0</v>
      </c>
      <c r="T768" t="s">
        <v>54</v>
      </c>
      <c r="U768" t="s">
        <v>55</v>
      </c>
      <c r="W768" t="s">
        <v>2427</v>
      </c>
      <c r="Y768">
        <v>0</v>
      </c>
      <c r="AA768" t="s">
        <v>40</v>
      </c>
      <c r="AB768" t="s">
        <v>46</v>
      </c>
      <c r="AC768" t="s">
        <v>47</v>
      </c>
      <c r="AD768" t="s">
        <v>81</v>
      </c>
      <c r="AE768" t="s">
        <v>81</v>
      </c>
      <c r="AG768" t="s">
        <v>2536</v>
      </c>
      <c r="AJ768" t="s">
        <v>40</v>
      </c>
      <c r="AK768" t="s">
        <v>2537</v>
      </c>
      <c r="AO768" s="1">
        <v>45953</v>
      </c>
      <c r="AP768" s="5">
        <v>0.66666666666666663</v>
      </c>
      <c r="AS768">
        <v>1</v>
      </c>
    </row>
    <row r="769" spans="1:45" x14ac:dyDescent="0.2">
      <c r="A769">
        <f t="shared" si="46"/>
        <v>2025</v>
      </c>
      <c r="B769">
        <f t="shared" si="47"/>
        <v>10</v>
      </c>
      <c r="C769">
        <f t="shared" si="48"/>
        <v>43</v>
      </c>
      <c r="D769" s="2">
        <f t="shared" si="49"/>
        <v>45953</v>
      </c>
      <c r="E769" s="1">
        <v>45953.666666666664</v>
      </c>
      <c r="F769" t="s">
        <v>2538</v>
      </c>
      <c r="G769" t="s">
        <v>36</v>
      </c>
      <c r="H769">
        <v>457429</v>
      </c>
      <c r="I769" t="s">
        <v>51</v>
      </c>
      <c r="J769" t="s">
        <v>154</v>
      </c>
      <c r="M769" t="s">
        <v>40</v>
      </c>
      <c r="N769" t="s">
        <v>41</v>
      </c>
      <c r="O769" t="s">
        <v>155</v>
      </c>
      <c r="P769">
        <v>33</v>
      </c>
      <c r="Q769">
        <v>0</v>
      </c>
      <c r="R769">
        <v>0</v>
      </c>
      <c r="S769">
        <v>0</v>
      </c>
      <c r="T769" t="s">
        <v>54</v>
      </c>
      <c r="U769" t="s">
        <v>55</v>
      </c>
      <c r="W769" t="s">
        <v>2269</v>
      </c>
      <c r="Y769">
        <v>0</v>
      </c>
      <c r="AA769" t="s">
        <v>40</v>
      </c>
      <c r="AB769" t="s">
        <v>46</v>
      </c>
      <c r="AC769" t="s">
        <v>47</v>
      </c>
      <c r="AG769" t="s">
        <v>2539</v>
      </c>
      <c r="AJ769" t="s">
        <v>40</v>
      </c>
      <c r="AK769">
        <v>5019220915</v>
      </c>
      <c r="AO769" s="1">
        <v>45953</v>
      </c>
      <c r="AP769" s="5">
        <v>0.66666666666666663</v>
      </c>
      <c r="AS769">
        <v>1</v>
      </c>
    </row>
    <row r="770" spans="1:45" x14ac:dyDescent="0.2">
      <c r="A770">
        <f t="shared" ref="A770:A833" si="50">YEAR(D770)</f>
        <v>2025</v>
      </c>
      <c r="B770">
        <f t="shared" ref="B770:B833" si="51">MONTH(D770)</f>
        <v>10</v>
      </c>
      <c r="C770">
        <f t="shared" ref="C770:C833" si="52">WEEKNUM(D770)</f>
        <v>43</v>
      </c>
      <c r="D770" s="2">
        <f t="shared" ref="D770:D833" si="53">INT(E770)</f>
        <v>45953</v>
      </c>
      <c r="E770" s="1">
        <v>45953.708333333336</v>
      </c>
      <c r="F770" t="s">
        <v>2540</v>
      </c>
      <c r="G770" t="s">
        <v>36</v>
      </c>
      <c r="H770" t="s">
        <v>2541</v>
      </c>
      <c r="I770" t="s">
        <v>218</v>
      </c>
      <c r="J770" t="s">
        <v>144</v>
      </c>
      <c r="M770" t="s">
        <v>40</v>
      </c>
      <c r="N770" t="s">
        <v>41</v>
      </c>
      <c r="O770" t="s">
        <v>2123</v>
      </c>
      <c r="P770">
        <v>99</v>
      </c>
      <c r="Q770">
        <v>0</v>
      </c>
      <c r="R770">
        <v>0</v>
      </c>
      <c r="S770">
        <v>0</v>
      </c>
      <c r="T770" t="s">
        <v>54</v>
      </c>
      <c r="U770" t="s">
        <v>55</v>
      </c>
      <c r="W770" t="s">
        <v>2542</v>
      </c>
      <c r="X770" t="s">
        <v>2543</v>
      </c>
      <c r="Y770">
        <v>0</v>
      </c>
      <c r="AA770" t="s">
        <v>40</v>
      </c>
      <c r="AB770" t="s">
        <v>46</v>
      </c>
      <c r="AC770" t="s">
        <v>47</v>
      </c>
      <c r="AD770" t="s">
        <v>223</v>
      </c>
      <c r="AE770" t="s">
        <v>223</v>
      </c>
      <c r="AG770" t="s">
        <v>2544</v>
      </c>
      <c r="AJ770" t="s">
        <v>40</v>
      </c>
      <c r="AK770" t="s">
        <v>2545</v>
      </c>
      <c r="AL770" t="s">
        <v>2546</v>
      </c>
      <c r="AM770" t="s">
        <v>2547</v>
      </c>
      <c r="AO770" s="1">
        <v>45953</v>
      </c>
      <c r="AP770" s="5">
        <v>0.70833333333333337</v>
      </c>
      <c r="AS770">
        <v>1</v>
      </c>
    </row>
    <row r="771" spans="1:45" x14ac:dyDescent="0.2">
      <c r="A771">
        <f t="shared" si="50"/>
        <v>2025</v>
      </c>
      <c r="B771">
        <f t="shared" si="51"/>
        <v>10</v>
      </c>
      <c r="C771">
        <f t="shared" si="52"/>
        <v>43</v>
      </c>
      <c r="D771" s="2">
        <f t="shared" si="53"/>
        <v>45953</v>
      </c>
      <c r="E771" s="1">
        <v>45953.708333333336</v>
      </c>
      <c r="F771" t="s">
        <v>2548</v>
      </c>
      <c r="G771" t="s">
        <v>36</v>
      </c>
      <c r="H771" t="s">
        <v>2379</v>
      </c>
      <c r="I771" t="s">
        <v>38</v>
      </c>
      <c r="J771" t="s">
        <v>2380</v>
      </c>
      <c r="M771" t="s">
        <v>40</v>
      </c>
      <c r="N771" t="s">
        <v>41</v>
      </c>
      <c r="O771" t="s">
        <v>42</v>
      </c>
      <c r="P771">
        <v>6</v>
      </c>
      <c r="Q771">
        <v>0</v>
      </c>
      <c r="R771">
        <v>0</v>
      </c>
      <c r="S771">
        <v>0</v>
      </c>
      <c r="T771">
        <v>90030613</v>
      </c>
      <c r="U771" t="s">
        <v>101</v>
      </c>
      <c r="W771" t="s">
        <v>2475</v>
      </c>
      <c r="Y771">
        <v>0</v>
      </c>
      <c r="AA771" t="s">
        <v>40</v>
      </c>
      <c r="AB771" t="s">
        <v>46</v>
      </c>
      <c r="AC771" t="s">
        <v>47</v>
      </c>
      <c r="AF771" t="s">
        <v>2381</v>
      </c>
      <c r="AJ771" t="s">
        <v>40</v>
      </c>
      <c r="AK771" t="s">
        <v>49</v>
      </c>
      <c r="AO771" s="1">
        <v>45953</v>
      </c>
      <c r="AP771" s="5">
        <v>0.70833333333333337</v>
      </c>
      <c r="AS771">
        <v>1</v>
      </c>
    </row>
    <row r="772" spans="1:45" x14ac:dyDescent="0.2">
      <c r="A772">
        <f t="shared" si="50"/>
        <v>2025</v>
      </c>
      <c r="B772">
        <f t="shared" si="51"/>
        <v>10</v>
      </c>
      <c r="C772">
        <f t="shared" si="52"/>
        <v>43</v>
      </c>
      <c r="D772" s="2">
        <f t="shared" si="53"/>
        <v>45953</v>
      </c>
      <c r="E772" s="1">
        <v>45953.708333333336</v>
      </c>
      <c r="F772" t="s">
        <v>2549</v>
      </c>
      <c r="G772" t="s">
        <v>36</v>
      </c>
      <c r="H772">
        <v>457431</v>
      </c>
      <c r="I772" t="s">
        <v>51</v>
      </c>
      <c r="J772" t="s">
        <v>154</v>
      </c>
      <c r="M772" t="s">
        <v>40</v>
      </c>
      <c r="N772" t="s">
        <v>41</v>
      </c>
      <c r="O772" t="s">
        <v>155</v>
      </c>
      <c r="P772">
        <v>33</v>
      </c>
      <c r="Q772">
        <v>0</v>
      </c>
      <c r="R772">
        <v>0</v>
      </c>
      <c r="S772">
        <v>0</v>
      </c>
      <c r="T772" t="s">
        <v>54</v>
      </c>
      <c r="U772" t="s">
        <v>55</v>
      </c>
      <c r="W772" t="s">
        <v>2451</v>
      </c>
      <c r="Y772">
        <v>0</v>
      </c>
      <c r="AA772" t="s">
        <v>40</v>
      </c>
      <c r="AB772" t="s">
        <v>46</v>
      </c>
      <c r="AC772" t="s">
        <v>47</v>
      </c>
      <c r="AG772" t="s">
        <v>2550</v>
      </c>
      <c r="AJ772" t="s">
        <v>40</v>
      </c>
      <c r="AK772">
        <v>5019239030</v>
      </c>
      <c r="AO772" s="1">
        <v>45953</v>
      </c>
      <c r="AP772" s="5">
        <v>0.70833333333333337</v>
      </c>
      <c r="AS772">
        <v>1</v>
      </c>
    </row>
    <row r="773" spans="1:45" x14ac:dyDescent="0.2">
      <c r="A773">
        <f t="shared" si="50"/>
        <v>2025</v>
      </c>
      <c r="B773">
        <f t="shared" si="51"/>
        <v>10</v>
      </c>
      <c r="C773">
        <f t="shared" si="52"/>
        <v>43</v>
      </c>
      <c r="D773" s="2">
        <f t="shared" si="53"/>
        <v>45953</v>
      </c>
      <c r="E773" s="1">
        <v>45953.708333333336</v>
      </c>
      <c r="F773" t="s">
        <v>2551</v>
      </c>
      <c r="G773" t="s">
        <v>36</v>
      </c>
      <c r="H773" t="s">
        <v>2552</v>
      </c>
      <c r="I773" t="s">
        <v>218</v>
      </c>
      <c r="J773" t="s">
        <v>219</v>
      </c>
      <c r="M773" t="s">
        <v>40</v>
      </c>
      <c r="N773" t="s">
        <v>41</v>
      </c>
      <c r="O773" t="s">
        <v>220</v>
      </c>
      <c r="P773">
        <v>99</v>
      </c>
      <c r="Q773">
        <v>0</v>
      </c>
      <c r="R773">
        <v>0</v>
      </c>
      <c r="S773">
        <v>0</v>
      </c>
      <c r="T773" t="s">
        <v>54</v>
      </c>
      <c r="U773" t="s">
        <v>55</v>
      </c>
      <c r="W773" t="s">
        <v>2060</v>
      </c>
      <c r="X773" t="s">
        <v>2553</v>
      </c>
      <c r="Y773">
        <v>0</v>
      </c>
      <c r="AA773" t="s">
        <v>40</v>
      </c>
      <c r="AB773" t="s">
        <v>46</v>
      </c>
      <c r="AC773" t="s">
        <v>47</v>
      </c>
      <c r="AD773" t="s">
        <v>223</v>
      </c>
      <c r="AE773" t="s">
        <v>223</v>
      </c>
      <c r="AG773" t="s">
        <v>2554</v>
      </c>
      <c r="AJ773" t="s">
        <v>40</v>
      </c>
      <c r="AK773" t="s">
        <v>2555</v>
      </c>
      <c r="AL773" t="s">
        <v>2556</v>
      </c>
      <c r="AM773" t="s">
        <v>2557</v>
      </c>
      <c r="AO773" s="1">
        <v>45953</v>
      </c>
      <c r="AP773" s="5">
        <v>0.70833333333333337</v>
      </c>
      <c r="AS773">
        <v>1</v>
      </c>
    </row>
    <row r="774" spans="1:45" x14ac:dyDescent="0.2">
      <c r="A774">
        <f t="shared" si="50"/>
        <v>2025</v>
      </c>
      <c r="B774">
        <f t="shared" si="51"/>
        <v>10</v>
      </c>
      <c r="C774">
        <f t="shared" si="52"/>
        <v>43</v>
      </c>
      <c r="D774" s="2">
        <f t="shared" si="53"/>
        <v>45953</v>
      </c>
      <c r="E774" s="1">
        <v>45953.75</v>
      </c>
      <c r="F774" t="s">
        <v>2558</v>
      </c>
      <c r="G774" t="s">
        <v>36</v>
      </c>
      <c r="H774">
        <v>457448</v>
      </c>
      <c r="I774" t="s">
        <v>51</v>
      </c>
      <c r="J774" t="s">
        <v>154</v>
      </c>
      <c r="M774" t="s">
        <v>40</v>
      </c>
      <c r="N774" t="s">
        <v>41</v>
      </c>
      <c r="O774" t="s">
        <v>155</v>
      </c>
      <c r="P774">
        <v>33</v>
      </c>
      <c r="Q774">
        <v>0</v>
      </c>
      <c r="R774">
        <v>0</v>
      </c>
      <c r="S774">
        <v>0</v>
      </c>
      <c r="T774" t="s">
        <v>54</v>
      </c>
      <c r="U774" t="s">
        <v>55</v>
      </c>
      <c r="W774" t="s">
        <v>2451</v>
      </c>
      <c r="Y774">
        <v>0</v>
      </c>
      <c r="AA774" t="s">
        <v>40</v>
      </c>
      <c r="AB774" t="s">
        <v>46</v>
      </c>
      <c r="AC774" t="s">
        <v>47</v>
      </c>
      <c r="AG774" t="s">
        <v>2559</v>
      </c>
      <c r="AJ774" t="s">
        <v>40</v>
      </c>
      <c r="AK774">
        <v>5019243921</v>
      </c>
      <c r="AO774" s="1">
        <v>45953</v>
      </c>
      <c r="AP774" s="5">
        <v>0.75</v>
      </c>
      <c r="AS774">
        <v>1</v>
      </c>
    </row>
    <row r="775" spans="1:45" x14ac:dyDescent="0.2">
      <c r="A775">
        <f t="shared" si="50"/>
        <v>2025</v>
      </c>
      <c r="B775">
        <f t="shared" si="51"/>
        <v>10</v>
      </c>
      <c r="C775">
        <f t="shared" si="52"/>
        <v>43</v>
      </c>
      <c r="D775" s="2">
        <f t="shared" si="53"/>
        <v>45953</v>
      </c>
      <c r="E775" s="1">
        <v>45953.75</v>
      </c>
      <c r="F775" t="s">
        <v>2560</v>
      </c>
      <c r="G775" t="s">
        <v>36</v>
      </c>
      <c r="H775">
        <v>457451</v>
      </c>
      <c r="I775" t="s">
        <v>51</v>
      </c>
      <c r="J775" t="s">
        <v>194</v>
      </c>
      <c r="M775" t="s">
        <v>40</v>
      </c>
      <c r="N775" t="s">
        <v>41</v>
      </c>
      <c r="O775" t="s">
        <v>189</v>
      </c>
      <c r="P775">
        <v>33</v>
      </c>
      <c r="Q775">
        <v>0</v>
      </c>
      <c r="R775">
        <v>0</v>
      </c>
      <c r="S775">
        <v>0</v>
      </c>
      <c r="T775" t="s">
        <v>54</v>
      </c>
      <c r="U775" t="s">
        <v>55</v>
      </c>
      <c r="W775" t="s">
        <v>2263</v>
      </c>
      <c r="Y775">
        <v>0</v>
      </c>
      <c r="AA775" t="s">
        <v>40</v>
      </c>
      <c r="AB775" t="s">
        <v>46</v>
      </c>
      <c r="AC775" t="s">
        <v>47</v>
      </c>
      <c r="AG775" t="s">
        <v>2561</v>
      </c>
      <c r="AJ775" t="s">
        <v>40</v>
      </c>
      <c r="AK775">
        <v>5019221117</v>
      </c>
      <c r="AO775" s="1">
        <v>45953</v>
      </c>
      <c r="AP775" s="5">
        <v>0.75</v>
      </c>
      <c r="AS775">
        <v>1</v>
      </c>
    </row>
    <row r="776" spans="1:45" x14ac:dyDescent="0.2">
      <c r="A776">
        <f t="shared" si="50"/>
        <v>2025</v>
      </c>
      <c r="B776">
        <f t="shared" si="51"/>
        <v>10</v>
      </c>
      <c r="C776">
        <f t="shared" si="52"/>
        <v>43</v>
      </c>
      <c r="D776" s="2">
        <f t="shared" si="53"/>
        <v>45953</v>
      </c>
      <c r="E776" s="1">
        <v>45953.791666666664</v>
      </c>
      <c r="F776" t="s">
        <v>2562</v>
      </c>
      <c r="G776" t="s">
        <v>36</v>
      </c>
      <c r="H776" t="s">
        <v>2563</v>
      </c>
      <c r="I776" t="s">
        <v>78</v>
      </c>
      <c r="J776" t="s">
        <v>355</v>
      </c>
      <c r="M776" t="s">
        <v>40</v>
      </c>
      <c r="N776" t="s">
        <v>41</v>
      </c>
      <c r="O776" t="s">
        <v>356</v>
      </c>
      <c r="P776">
        <v>66</v>
      </c>
      <c r="Q776">
        <v>0</v>
      </c>
      <c r="R776">
        <v>0</v>
      </c>
      <c r="S776">
        <v>0</v>
      </c>
      <c r="T776" t="s">
        <v>54</v>
      </c>
      <c r="U776" t="s">
        <v>55</v>
      </c>
      <c r="W776" t="s">
        <v>2427</v>
      </c>
      <c r="Y776">
        <v>0</v>
      </c>
      <c r="AA776" t="s">
        <v>40</v>
      </c>
      <c r="AB776" t="s">
        <v>46</v>
      </c>
      <c r="AC776" t="s">
        <v>47</v>
      </c>
      <c r="AD776" t="s">
        <v>81</v>
      </c>
      <c r="AE776" t="s">
        <v>81</v>
      </c>
      <c r="AG776" t="s">
        <v>2564</v>
      </c>
      <c r="AJ776" t="s">
        <v>40</v>
      </c>
      <c r="AK776" t="s">
        <v>2565</v>
      </c>
      <c r="AO776" s="1">
        <v>45953</v>
      </c>
      <c r="AP776" s="5">
        <v>0.79166666666666663</v>
      </c>
      <c r="AS776">
        <v>1</v>
      </c>
    </row>
    <row r="777" spans="1:45" x14ac:dyDescent="0.2">
      <c r="A777">
        <f t="shared" si="50"/>
        <v>2025</v>
      </c>
      <c r="B777">
        <f t="shared" si="51"/>
        <v>10</v>
      </c>
      <c r="C777">
        <f t="shared" si="52"/>
        <v>43</v>
      </c>
      <c r="D777" s="2">
        <f t="shared" si="53"/>
        <v>45953</v>
      </c>
      <c r="E777" s="1">
        <v>45953.833333333336</v>
      </c>
      <c r="F777" t="s">
        <v>2566</v>
      </c>
      <c r="G777" t="s">
        <v>36</v>
      </c>
      <c r="H777">
        <v>457405</v>
      </c>
      <c r="I777" t="s">
        <v>51</v>
      </c>
      <c r="J777" t="s">
        <v>126</v>
      </c>
      <c r="M777" t="s">
        <v>40</v>
      </c>
      <c r="N777" t="s">
        <v>41</v>
      </c>
      <c r="O777" t="s">
        <v>90</v>
      </c>
      <c r="P777">
        <v>33</v>
      </c>
      <c r="Q777">
        <v>0</v>
      </c>
      <c r="R777">
        <v>0</v>
      </c>
      <c r="S777">
        <v>0</v>
      </c>
      <c r="T777" t="s">
        <v>54</v>
      </c>
      <c r="U777" t="s">
        <v>55</v>
      </c>
      <c r="W777" t="s">
        <v>2567</v>
      </c>
      <c r="Y777">
        <v>0</v>
      </c>
      <c r="AA777" t="s">
        <v>40</v>
      </c>
      <c r="AB777" t="s">
        <v>46</v>
      </c>
      <c r="AC777" t="s">
        <v>47</v>
      </c>
      <c r="AG777" t="s">
        <v>2568</v>
      </c>
      <c r="AJ777" t="s">
        <v>40</v>
      </c>
      <c r="AK777">
        <v>5019229505</v>
      </c>
      <c r="AO777" s="1">
        <v>45953</v>
      </c>
      <c r="AP777" s="5">
        <v>0.83333333333333337</v>
      </c>
      <c r="AS777">
        <v>1</v>
      </c>
    </row>
    <row r="778" spans="1:45" x14ac:dyDescent="0.2">
      <c r="A778">
        <f t="shared" si="50"/>
        <v>2025</v>
      </c>
      <c r="B778">
        <f t="shared" si="51"/>
        <v>10</v>
      </c>
      <c r="C778">
        <f t="shared" si="52"/>
        <v>43</v>
      </c>
      <c r="D778" s="2">
        <f t="shared" si="53"/>
        <v>45954</v>
      </c>
      <c r="E778" s="1">
        <v>45954.25</v>
      </c>
      <c r="F778" t="s">
        <v>2569</v>
      </c>
      <c r="G778" t="s">
        <v>36</v>
      </c>
      <c r="H778">
        <v>462615</v>
      </c>
      <c r="I778" t="s">
        <v>51</v>
      </c>
      <c r="J778" t="s">
        <v>52</v>
      </c>
      <c r="M778" t="s">
        <v>40</v>
      </c>
      <c r="N778" t="s">
        <v>41</v>
      </c>
      <c r="O778" t="s">
        <v>476</v>
      </c>
      <c r="P778">
        <v>33</v>
      </c>
      <c r="Q778">
        <v>0</v>
      </c>
      <c r="R778">
        <v>0</v>
      </c>
      <c r="S778">
        <v>0</v>
      </c>
      <c r="T778" t="s">
        <v>54</v>
      </c>
      <c r="U778" t="s">
        <v>55</v>
      </c>
      <c r="W778" t="s">
        <v>2570</v>
      </c>
      <c r="Y778">
        <v>0</v>
      </c>
      <c r="AA778" t="s">
        <v>40</v>
      </c>
      <c r="AB778" t="s">
        <v>46</v>
      </c>
      <c r="AC778" t="s">
        <v>47</v>
      </c>
      <c r="AG778" t="s">
        <v>2571</v>
      </c>
      <c r="AJ778" t="s">
        <v>40</v>
      </c>
      <c r="AK778">
        <v>5019102545</v>
      </c>
      <c r="AO778" s="1">
        <v>45954</v>
      </c>
      <c r="AP778" s="5">
        <v>0.25</v>
      </c>
      <c r="AS778">
        <v>1</v>
      </c>
    </row>
    <row r="779" spans="1:45" x14ac:dyDescent="0.2">
      <c r="A779">
        <f t="shared" si="50"/>
        <v>2025</v>
      </c>
      <c r="B779">
        <f t="shared" si="51"/>
        <v>10</v>
      </c>
      <c r="C779">
        <f t="shared" si="52"/>
        <v>43</v>
      </c>
      <c r="D779" s="2">
        <f t="shared" si="53"/>
        <v>45954</v>
      </c>
      <c r="E779" s="1">
        <v>45954.25</v>
      </c>
      <c r="F779" t="s">
        <v>2572</v>
      </c>
      <c r="G779" t="s">
        <v>36</v>
      </c>
      <c r="H779" t="s">
        <v>2573</v>
      </c>
      <c r="I779" t="s">
        <v>38</v>
      </c>
      <c r="J779" t="s">
        <v>645</v>
      </c>
      <c r="M779" t="s">
        <v>40</v>
      </c>
      <c r="N779" t="s">
        <v>41</v>
      </c>
      <c r="O779" t="s">
        <v>42</v>
      </c>
      <c r="P779">
        <v>20</v>
      </c>
      <c r="Q779">
        <v>0</v>
      </c>
      <c r="R779">
        <v>0</v>
      </c>
      <c r="S779">
        <v>0</v>
      </c>
      <c r="T779" t="s">
        <v>2574</v>
      </c>
      <c r="U779" t="s">
        <v>44</v>
      </c>
      <c r="W779" t="s">
        <v>2575</v>
      </c>
      <c r="Y779">
        <v>0</v>
      </c>
      <c r="AA779" t="s">
        <v>40</v>
      </c>
      <c r="AB779" t="s">
        <v>46</v>
      </c>
      <c r="AC779" t="s">
        <v>47</v>
      </c>
      <c r="AF779" t="s">
        <v>62</v>
      </c>
      <c r="AJ779" t="s">
        <v>40</v>
      </c>
      <c r="AK779" t="s">
        <v>49</v>
      </c>
      <c r="AN779">
        <v>57127369</v>
      </c>
      <c r="AO779" s="1">
        <v>45954</v>
      </c>
      <c r="AP779" s="5">
        <v>0.25</v>
      </c>
      <c r="AS779">
        <v>1</v>
      </c>
    </row>
    <row r="780" spans="1:45" x14ac:dyDescent="0.2">
      <c r="A780">
        <f t="shared" si="50"/>
        <v>2025</v>
      </c>
      <c r="B780">
        <f t="shared" si="51"/>
        <v>10</v>
      </c>
      <c r="C780">
        <f t="shared" si="52"/>
        <v>43</v>
      </c>
      <c r="D780" s="2">
        <f t="shared" si="53"/>
        <v>45954</v>
      </c>
      <c r="E780" s="1">
        <v>45954.291666666664</v>
      </c>
      <c r="F780" t="s">
        <v>2576</v>
      </c>
      <c r="G780" t="s">
        <v>36</v>
      </c>
      <c r="H780" t="s">
        <v>253</v>
      </c>
      <c r="I780" t="s">
        <v>38</v>
      </c>
      <c r="J780" t="s">
        <v>254</v>
      </c>
      <c r="M780" t="s">
        <v>40</v>
      </c>
      <c r="N780" t="s">
        <v>41</v>
      </c>
      <c r="O780" t="s">
        <v>42</v>
      </c>
      <c r="P780">
        <v>1</v>
      </c>
      <c r="Q780">
        <v>0</v>
      </c>
      <c r="R780">
        <v>0</v>
      </c>
      <c r="S780">
        <v>0</v>
      </c>
      <c r="T780">
        <v>5019260974</v>
      </c>
      <c r="U780" t="s">
        <v>101</v>
      </c>
      <c r="W780" t="s">
        <v>2577</v>
      </c>
      <c r="Y780">
        <v>0</v>
      </c>
      <c r="AA780" t="s">
        <v>40</v>
      </c>
      <c r="AB780" t="s">
        <v>46</v>
      </c>
      <c r="AC780" t="s">
        <v>47</v>
      </c>
      <c r="AF780" t="s">
        <v>48</v>
      </c>
      <c r="AJ780" t="s">
        <v>40</v>
      </c>
      <c r="AK780" t="s">
        <v>49</v>
      </c>
      <c r="AO780" s="1">
        <v>45954</v>
      </c>
      <c r="AP780" s="5">
        <v>0.29166666666666669</v>
      </c>
      <c r="AS780">
        <v>1</v>
      </c>
    </row>
    <row r="781" spans="1:45" x14ac:dyDescent="0.2">
      <c r="A781">
        <f t="shared" si="50"/>
        <v>2025</v>
      </c>
      <c r="B781">
        <f t="shared" si="51"/>
        <v>10</v>
      </c>
      <c r="C781">
        <f t="shared" si="52"/>
        <v>43</v>
      </c>
      <c r="D781" s="2">
        <f t="shared" si="53"/>
        <v>45954</v>
      </c>
      <c r="E781" s="1">
        <v>45954.291666666664</v>
      </c>
      <c r="F781" t="s">
        <v>2578</v>
      </c>
      <c r="G781" t="s">
        <v>36</v>
      </c>
      <c r="H781" t="s">
        <v>2579</v>
      </c>
      <c r="I781" t="s">
        <v>78</v>
      </c>
      <c r="J781" t="s">
        <v>2580</v>
      </c>
      <c r="M781" t="s">
        <v>40</v>
      </c>
      <c r="N781" t="s">
        <v>41</v>
      </c>
      <c r="O781" t="s">
        <v>554</v>
      </c>
      <c r="P781">
        <v>66</v>
      </c>
      <c r="Q781">
        <v>0</v>
      </c>
      <c r="R781">
        <v>0</v>
      </c>
      <c r="S781">
        <v>0</v>
      </c>
      <c r="T781" t="s">
        <v>54</v>
      </c>
      <c r="U781" t="s">
        <v>233</v>
      </c>
      <c r="W781" t="s">
        <v>2581</v>
      </c>
      <c r="Y781">
        <v>0</v>
      </c>
      <c r="AA781" t="s">
        <v>40</v>
      </c>
      <c r="AB781" t="s">
        <v>46</v>
      </c>
      <c r="AC781" t="s">
        <v>47</v>
      </c>
      <c r="AD781" t="s">
        <v>81</v>
      </c>
      <c r="AE781" t="s">
        <v>81</v>
      </c>
      <c r="AG781" t="s">
        <v>2582</v>
      </c>
      <c r="AJ781" t="s">
        <v>40</v>
      </c>
      <c r="AK781" t="s">
        <v>2583</v>
      </c>
      <c r="AO781" s="1">
        <v>45954</v>
      </c>
      <c r="AP781" s="5">
        <v>0.29166666666666669</v>
      </c>
      <c r="AS781">
        <v>1</v>
      </c>
    </row>
    <row r="782" spans="1:45" x14ac:dyDescent="0.2">
      <c r="A782">
        <f t="shared" si="50"/>
        <v>2025</v>
      </c>
      <c r="B782">
        <f t="shared" si="51"/>
        <v>10</v>
      </c>
      <c r="C782">
        <f t="shared" si="52"/>
        <v>43</v>
      </c>
      <c r="D782" s="2">
        <f t="shared" si="53"/>
        <v>45954</v>
      </c>
      <c r="E782" s="1">
        <v>45954.291666666664</v>
      </c>
      <c r="F782" t="s">
        <v>2584</v>
      </c>
      <c r="G782" t="s">
        <v>36</v>
      </c>
      <c r="H782" t="s">
        <v>1808</v>
      </c>
      <c r="I782" t="s">
        <v>38</v>
      </c>
      <c r="J782" t="s">
        <v>99</v>
      </c>
      <c r="M782" t="s">
        <v>40</v>
      </c>
      <c r="N782" t="s">
        <v>41</v>
      </c>
      <c r="O782" t="s">
        <v>42</v>
      </c>
      <c r="P782">
        <v>23</v>
      </c>
      <c r="Q782">
        <v>0</v>
      </c>
      <c r="R782">
        <v>0</v>
      </c>
      <c r="S782">
        <v>0</v>
      </c>
      <c r="T782" t="s">
        <v>2585</v>
      </c>
      <c r="U782" t="s">
        <v>44</v>
      </c>
      <c r="W782" t="s">
        <v>2586</v>
      </c>
      <c r="Y782">
        <v>0</v>
      </c>
      <c r="AA782" t="s">
        <v>40</v>
      </c>
      <c r="AB782" t="s">
        <v>46</v>
      </c>
      <c r="AC782" t="s">
        <v>47</v>
      </c>
      <c r="AF782" t="s">
        <v>367</v>
      </c>
      <c r="AJ782" t="s">
        <v>40</v>
      </c>
      <c r="AK782" t="s">
        <v>49</v>
      </c>
      <c r="AM782" t="s">
        <v>2294</v>
      </c>
      <c r="AN782" t="s">
        <v>2362</v>
      </c>
      <c r="AO782" s="1">
        <v>45954</v>
      </c>
      <c r="AP782" s="5">
        <v>0.29166666666666669</v>
      </c>
      <c r="AS782">
        <v>1</v>
      </c>
    </row>
    <row r="783" spans="1:45" x14ac:dyDescent="0.2">
      <c r="A783">
        <f t="shared" si="50"/>
        <v>2025</v>
      </c>
      <c r="B783">
        <f t="shared" si="51"/>
        <v>10</v>
      </c>
      <c r="C783">
        <f t="shared" si="52"/>
        <v>43</v>
      </c>
      <c r="D783" s="2">
        <f t="shared" si="53"/>
        <v>45954</v>
      </c>
      <c r="E783" s="1">
        <v>45954.291666666664</v>
      </c>
      <c r="F783" t="s">
        <v>2587</v>
      </c>
      <c r="G783" t="s">
        <v>36</v>
      </c>
      <c r="H783" t="s">
        <v>264</v>
      </c>
      <c r="I783" t="s">
        <v>38</v>
      </c>
      <c r="J783" t="s">
        <v>265</v>
      </c>
      <c r="M783" t="s">
        <v>40</v>
      </c>
      <c r="N783" t="s">
        <v>41</v>
      </c>
      <c r="O783" t="s">
        <v>42</v>
      </c>
      <c r="P783">
        <v>23</v>
      </c>
      <c r="Q783">
        <v>0</v>
      </c>
      <c r="R783">
        <v>0</v>
      </c>
      <c r="S783">
        <v>0</v>
      </c>
      <c r="T783" t="s">
        <v>2588</v>
      </c>
      <c r="U783" t="s">
        <v>55</v>
      </c>
      <c r="W783" t="s">
        <v>2589</v>
      </c>
      <c r="Y783">
        <v>0</v>
      </c>
      <c r="AA783" t="s">
        <v>40</v>
      </c>
      <c r="AB783" t="s">
        <v>46</v>
      </c>
      <c r="AC783" t="s">
        <v>47</v>
      </c>
      <c r="AF783" t="s">
        <v>48</v>
      </c>
      <c r="AJ783" t="s">
        <v>40</v>
      </c>
      <c r="AK783" t="s">
        <v>49</v>
      </c>
      <c r="AO783" s="1">
        <v>45954</v>
      </c>
      <c r="AP783" s="5">
        <v>0.29166666666666669</v>
      </c>
      <c r="AS783">
        <v>1</v>
      </c>
    </row>
    <row r="784" spans="1:45" x14ac:dyDescent="0.2">
      <c r="A784">
        <f t="shared" si="50"/>
        <v>2025</v>
      </c>
      <c r="B784">
        <f t="shared" si="51"/>
        <v>10</v>
      </c>
      <c r="C784">
        <f t="shared" si="52"/>
        <v>43</v>
      </c>
      <c r="D784" s="2">
        <f t="shared" si="53"/>
        <v>45954</v>
      </c>
      <c r="E784" s="1">
        <v>45954.333333333336</v>
      </c>
      <c r="F784" t="s">
        <v>2590</v>
      </c>
      <c r="G784" t="s">
        <v>36</v>
      </c>
      <c r="H784" t="s">
        <v>2591</v>
      </c>
      <c r="I784" t="s">
        <v>38</v>
      </c>
      <c r="J784" t="s">
        <v>60</v>
      </c>
      <c r="M784" t="s">
        <v>40</v>
      </c>
      <c r="N784" t="s">
        <v>41</v>
      </c>
      <c r="O784" t="s">
        <v>42</v>
      </c>
      <c r="P784">
        <v>20</v>
      </c>
      <c r="Q784">
        <v>0</v>
      </c>
      <c r="R784">
        <v>0</v>
      </c>
      <c r="S784">
        <v>0</v>
      </c>
      <c r="T784">
        <v>5019191600</v>
      </c>
      <c r="U784" t="s">
        <v>44</v>
      </c>
      <c r="W784" t="s">
        <v>2592</v>
      </c>
      <c r="Y784">
        <v>0</v>
      </c>
      <c r="AA784" t="s">
        <v>40</v>
      </c>
      <c r="AB784" t="s">
        <v>46</v>
      </c>
      <c r="AC784" t="s">
        <v>47</v>
      </c>
      <c r="AF784" t="s">
        <v>62</v>
      </c>
      <c r="AJ784" t="s">
        <v>40</v>
      </c>
      <c r="AK784" t="s">
        <v>49</v>
      </c>
      <c r="AN784">
        <v>260110080</v>
      </c>
      <c r="AO784" s="1">
        <v>45954</v>
      </c>
      <c r="AP784" s="5">
        <v>0.33333333333333331</v>
      </c>
      <c r="AS784">
        <v>1</v>
      </c>
    </row>
    <row r="785" spans="1:45" x14ac:dyDescent="0.2">
      <c r="A785">
        <f t="shared" si="50"/>
        <v>2025</v>
      </c>
      <c r="B785">
        <f t="shared" si="51"/>
        <v>10</v>
      </c>
      <c r="C785">
        <f t="shared" si="52"/>
        <v>43</v>
      </c>
      <c r="D785" s="2">
        <f t="shared" si="53"/>
        <v>45954</v>
      </c>
      <c r="E785" s="1">
        <v>45954.333333333336</v>
      </c>
      <c r="F785" t="s">
        <v>2593</v>
      </c>
      <c r="G785" t="s">
        <v>36</v>
      </c>
      <c r="H785" t="s">
        <v>1808</v>
      </c>
      <c r="I785" t="s">
        <v>38</v>
      </c>
      <c r="J785" t="s">
        <v>99</v>
      </c>
      <c r="M785" t="s">
        <v>40</v>
      </c>
      <c r="N785" t="s">
        <v>41</v>
      </c>
      <c r="O785" t="s">
        <v>42</v>
      </c>
      <c r="P785">
        <v>23</v>
      </c>
      <c r="Q785">
        <v>0</v>
      </c>
      <c r="R785">
        <v>0</v>
      </c>
      <c r="S785">
        <v>0</v>
      </c>
      <c r="T785" t="s">
        <v>2594</v>
      </c>
      <c r="U785" t="s">
        <v>44</v>
      </c>
      <c r="W785" t="s">
        <v>2586</v>
      </c>
      <c r="Y785">
        <v>0</v>
      </c>
      <c r="AA785" t="s">
        <v>40</v>
      </c>
      <c r="AB785" t="s">
        <v>46</v>
      </c>
      <c r="AC785" t="s">
        <v>47</v>
      </c>
      <c r="AF785" t="s">
        <v>367</v>
      </c>
      <c r="AJ785" t="s">
        <v>40</v>
      </c>
      <c r="AK785" t="s">
        <v>49</v>
      </c>
      <c r="AM785" t="s">
        <v>2302</v>
      </c>
      <c r="AN785" t="s">
        <v>2362</v>
      </c>
      <c r="AO785" s="1">
        <v>45954</v>
      </c>
      <c r="AP785" s="5">
        <v>0.33333333333333331</v>
      </c>
      <c r="AS785">
        <v>1</v>
      </c>
    </row>
    <row r="786" spans="1:45" x14ac:dyDescent="0.2">
      <c r="A786">
        <f t="shared" si="50"/>
        <v>2025</v>
      </c>
      <c r="B786">
        <f t="shared" si="51"/>
        <v>10</v>
      </c>
      <c r="C786">
        <f t="shared" si="52"/>
        <v>43</v>
      </c>
      <c r="D786" s="2">
        <f t="shared" si="53"/>
        <v>45954</v>
      </c>
      <c r="E786" s="1">
        <v>45954.333333333336</v>
      </c>
      <c r="F786" t="s">
        <v>2595</v>
      </c>
      <c r="G786" t="s">
        <v>36</v>
      </c>
      <c r="H786">
        <v>461751</v>
      </c>
      <c r="I786" t="s">
        <v>51</v>
      </c>
      <c r="J786" t="s">
        <v>52</v>
      </c>
      <c r="M786" t="s">
        <v>40</v>
      </c>
      <c r="N786" t="s">
        <v>41</v>
      </c>
      <c r="O786" t="s">
        <v>433</v>
      </c>
      <c r="P786">
        <v>33</v>
      </c>
      <c r="Q786">
        <v>0</v>
      </c>
      <c r="R786">
        <v>0</v>
      </c>
      <c r="S786">
        <v>0</v>
      </c>
      <c r="T786" t="s">
        <v>54</v>
      </c>
      <c r="U786" t="s">
        <v>55</v>
      </c>
      <c r="W786" t="s">
        <v>2596</v>
      </c>
      <c r="Y786">
        <v>0</v>
      </c>
      <c r="AA786" t="s">
        <v>40</v>
      </c>
      <c r="AB786" t="s">
        <v>46</v>
      </c>
      <c r="AC786" t="s">
        <v>47</v>
      </c>
      <c r="AG786" t="s">
        <v>2597</v>
      </c>
      <c r="AJ786" t="s">
        <v>40</v>
      </c>
      <c r="AK786">
        <v>5019246916</v>
      </c>
      <c r="AO786" s="1">
        <v>45954</v>
      </c>
      <c r="AP786" s="5">
        <v>0.33333333333333331</v>
      </c>
      <c r="AS786">
        <v>1</v>
      </c>
    </row>
    <row r="787" spans="1:45" x14ac:dyDescent="0.2">
      <c r="A787">
        <f t="shared" si="50"/>
        <v>2025</v>
      </c>
      <c r="B787">
        <f t="shared" si="51"/>
        <v>10</v>
      </c>
      <c r="C787">
        <f t="shared" si="52"/>
        <v>43</v>
      </c>
      <c r="D787" s="2">
        <f t="shared" si="53"/>
        <v>45954</v>
      </c>
      <c r="E787" s="1">
        <v>45954.333333333336</v>
      </c>
      <c r="F787" t="s">
        <v>2598</v>
      </c>
      <c r="G787" t="s">
        <v>36</v>
      </c>
      <c r="H787">
        <v>462614</v>
      </c>
      <c r="I787" t="s">
        <v>51</v>
      </c>
      <c r="J787" t="s">
        <v>52</v>
      </c>
      <c r="M787" t="s">
        <v>40</v>
      </c>
      <c r="N787" t="s">
        <v>41</v>
      </c>
      <c r="O787" t="s">
        <v>476</v>
      </c>
      <c r="P787">
        <v>33</v>
      </c>
      <c r="Q787">
        <v>0</v>
      </c>
      <c r="R787">
        <v>0</v>
      </c>
      <c r="S787">
        <v>0</v>
      </c>
      <c r="T787" t="s">
        <v>54</v>
      </c>
      <c r="U787" t="s">
        <v>55</v>
      </c>
      <c r="W787" t="s">
        <v>2570</v>
      </c>
      <c r="Y787">
        <v>0</v>
      </c>
      <c r="AA787" t="s">
        <v>40</v>
      </c>
      <c r="AB787" t="s">
        <v>46</v>
      </c>
      <c r="AC787" t="s">
        <v>47</v>
      </c>
      <c r="AG787" t="s">
        <v>2599</v>
      </c>
      <c r="AJ787" t="s">
        <v>40</v>
      </c>
      <c r="AK787">
        <v>5019102546</v>
      </c>
      <c r="AO787" s="1">
        <v>45954</v>
      </c>
      <c r="AP787" s="5">
        <v>0.33333333333333331</v>
      </c>
      <c r="AS787">
        <v>1</v>
      </c>
    </row>
    <row r="788" spans="1:45" x14ac:dyDescent="0.2">
      <c r="A788">
        <f t="shared" si="50"/>
        <v>2025</v>
      </c>
      <c r="B788">
        <f t="shared" si="51"/>
        <v>10</v>
      </c>
      <c r="C788">
        <f t="shared" si="52"/>
        <v>43</v>
      </c>
      <c r="D788" s="2">
        <f t="shared" si="53"/>
        <v>45954</v>
      </c>
      <c r="E788" s="1">
        <v>45954.375</v>
      </c>
      <c r="F788" t="s">
        <v>2600</v>
      </c>
      <c r="G788" t="s">
        <v>36</v>
      </c>
      <c r="H788" t="s">
        <v>37</v>
      </c>
      <c r="I788" t="s">
        <v>38</v>
      </c>
      <c r="J788" t="s">
        <v>112</v>
      </c>
      <c r="M788" t="s">
        <v>40</v>
      </c>
      <c r="N788" t="s">
        <v>41</v>
      </c>
      <c r="O788" t="s">
        <v>42</v>
      </c>
      <c r="P788">
        <v>23</v>
      </c>
      <c r="Q788">
        <v>0</v>
      </c>
      <c r="R788">
        <v>0</v>
      </c>
      <c r="S788">
        <v>0</v>
      </c>
      <c r="T788" t="s">
        <v>2601</v>
      </c>
      <c r="U788" t="s">
        <v>44</v>
      </c>
      <c r="W788" t="s">
        <v>2589</v>
      </c>
      <c r="Y788">
        <v>0</v>
      </c>
      <c r="AA788" t="s">
        <v>40</v>
      </c>
      <c r="AB788" t="s">
        <v>46</v>
      </c>
      <c r="AC788" t="s">
        <v>47</v>
      </c>
      <c r="AF788" t="s">
        <v>48</v>
      </c>
      <c r="AJ788" t="s">
        <v>40</v>
      </c>
      <c r="AK788" t="s">
        <v>49</v>
      </c>
      <c r="AO788" s="1">
        <v>45954</v>
      </c>
      <c r="AP788" s="5">
        <v>0.375</v>
      </c>
      <c r="AS788">
        <v>1</v>
      </c>
    </row>
    <row r="789" spans="1:45" x14ac:dyDescent="0.2">
      <c r="A789">
        <f t="shared" si="50"/>
        <v>2025</v>
      </c>
      <c r="B789">
        <f t="shared" si="51"/>
        <v>10</v>
      </c>
      <c r="C789">
        <f t="shared" si="52"/>
        <v>43</v>
      </c>
      <c r="D789" s="2">
        <f t="shared" si="53"/>
        <v>45954</v>
      </c>
      <c r="E789" s="1">
        <v>45954.375</v>
      </c>
      <c r="F789" t="s">
        <v>2602</v>
      </c>
      <c r="G789" t="s">
        <v>36</v>
      </c>
      <c r="H789" t="s">
        <v>2603</v>
      </c>
      <c r="I789" t="s">
        <v>78</v>
      </c>
      <c r="J789" t="s">
        <v>52</v>
      </c>
      <c r="M789" t="s">
        <v>40</v>
      </c>
      <c r="N789" t="s">
        <v>41</v>
      </c>
      <c r="O789" t="s">
        <v>1288</v>
      </c>
      <c r="P789">
        <v>66</v>
      </c>
      <c r="Q789">
        <v>0</v>
      </c>
      <c r="R789">
        <v>0</v>
      </c>
      <c r="S789">
        <v>0</v>
      </c>
      <c r="T789" t="s">
        <v>54</v>
      </c>
      <c r="U789" t="s">
        <v>55</v>
      </c>
      <c r="W789" t="s">
        <v>2604</v>
      </c>
      <c r="Y789">
        <v>0</v>
      </c>
      <c r="AA789" t="s">
        <v>40</v>
      </c>
      <c r="AB789" t="s">
        <v>46</v>
      </c>
      <c r="AC789" t="s">
        <v>47</v>
      </c>
      <c r="AD789" t="s">
        <v>81</v>
      </c>
      <c r="AE789" t="s">
        <v>81</v>
      </c>
      <c r="AG789" t="s">
        <v>2605</v>
      </c>
      <c r="AJ789" t="s">
        <v>40</v>
      </c>
      <c r="AK789" t="s">
        <v>2606</v>
      </c>
      <c r="AO789" s="1">
        <v>45954</v>
      </c>
      <c r="AP789" s="5">
        <v>0.375</v>
      </c>
      <c r="AS789">
        <v>1</v>
      </c>
    </row>
    <row r="790" spans="1:45" x14ac:dyDescent="0.2">
      <c r="A790">
        <f t="shared" si="50"/>
        <v>2025</v>
      </c>
      <c r="B790">
        <f t="shared" si="51"/>
        <v>10</v>
      </c>
      <c r="C790">
        <f t="shared" si="52"/>
        <v>43</v>
      </c>
      <c r="D790" s="2">
        <f t="shared" si="53"/>
        <v>45954</v>
      </c>
      <c r="E790" s="1">
        <v>45954.375</v>
      </c>
      <c r="F790" t="s">
        <v>2607</v>
      </c>
      <c r="G790" t="s">
        <v>36</v>
      </c>
      <c r="H790" t="s">
        <v>1808</v>
      </c>
      <c r="I790" t="s">
        <v>38</v>
      </c>
      <c r="J790" t="s">
        <v>99</v>
      </c>
      <c r="M790" t="s">
        <v>40</v>
      </c>
      <c r="N790" t="s">
        <v>41</v>
      </c>
      <c r="O790" t="s">
        <v>42</v>
      </c>
      <c r="P790">
        <v>23</v>
      </c>
      <c r="Q790">
        <v>0</v>
      </c>
      <c r="R790">
        <v>0</v>
      </c>
      <c r="S790">
        <v>0</v>
      </c>
      <c r="T790" t="s">
        <v>2608</v>
      </c>
      <c r="U790" t="s">
        <v>44</v>
      </c>
      <c r="W790" t="s">
        <v>2586</v>
      </c>
      <c r="Y790">
        <v>0</v>
      </c>
      <c r="AA790" t="s">
        <v>40</v>
      </c>
      <c r="AB790" t="s">
        <v>46</v>
      </c>
      <c r="AC790" t="s">
        <v>47</v>
      </c>
      <c r="AF790" t="s">
        <v>367</v>
      </c>
      <c r="AJ790" t="s">
        <v>40</v>
      </c>
      <c r="AK790" t="s">
        <v>49</v>
      </c>
      <c r="AM790" t="s">
        <v>2328</v>
      </c>
      <c r="AN790" t="s">
        <v>2362</v>
      </c>
      <c r="AO790" s="1">
        <v>45954</v>
      </c>
      <c r="AP790" s="5">
        <v>0.375</v>
      </c>
      <c r="AS790">
        <v>1</v>
      </c>
    </row>
    <row r="791" spans="1:45" x14ac:dyDescent="0.2">
      <c r="A791">
        <f t="shared" si="50"/>
        <v>2025</v>
      </c>
      <c r="B791">
        <f t="shared" si="51"/>
        <v>10</v>
      </c>
      <c r="C791">
        <f t="shared" si="52"/>
        <v>43</v>
      </c>
      <c r="D791" s="2">
        <f t="shared" si="53"/>
        <v>45954</v>
      </c>
      <c r="E791" s="1">
        <v>45954.375</v>
      </c>
      <c r="F791" t="s">
        <v>2609</v>
      </c>
      <c r="G791" t="s">
        <v>36</v>
      </c>
      <c r="H791">
        <v>457415</v>
      </c>
      <c r="I791" t="s">
        <v>51</v>
      </c>
      <c r="J791" t="s">
        <v>144</v>
      </c>
      <c r="M791" t="s">
        <v>40</v>
      </c>
      <c r="N791" t="s">
        <v>41</v>
      </c>
      <c r="O791" t="s">
        <v>172</v>
      </c>
      <c r="P791">
        <v>33</v>
      </c>
      <c r="Q791">
        <v>0</v>
      </c>
      <c r="R791">
        <v>0</v>
      </c>
      <c r="S791">
        <v>0</v>
      </c>
      <c r="T791" t="s">
        <v>54</v>
      </c>
      <c r="U791" t="s">
        <v>55</v>
      </c>
      <c r="W791" t="s">
        <v>2610</v>
      </c>
      <c r="Y791">
        <v>0</v>
      </c>
      <c r="AA791" t="s">
        <v>40</v>
      </c>
      <c r="AB791" t="s">
        <v>46</v>
      </c>
      <c r="AC791" t="s">
        <v>47</v>
      </c>
      <c r="AG791" t="s">
        <v>2611</v>
      </c>
      <c r="AJ791" t="s">
        <v>40</v>
      </c>
      <c r="AK791">
        <v>5019243130</v>
      </c>
      <c r="AO791" s="1">
        <v>45954</v>
      </c>
      <c r="AP791" s="5">
        <v>0.375</v>
      </c>
      <c r="AS791">
        <v>1</v>
      </c>
    </row>
    <row r="792" spans="1:45" x14ac:dyDescent="0.2">
      <c r="A792">
        <f t="shared" si="50"/>
        <v>2025</v>
      </c>
      <c r="B792">
        <f t="shared" si="51"/>
        <v>10</v>
      </c>
      <c r="C792">
        <f t="shared" si="52"/>
        <v>43</v>
      </c>
      <c r="D792" s="2">
        <f t="shared" si="53"/>
        <v>45954</v>
      </c>
      <c r="E792" s="1">
        <v>45954.416666666664</v>
      </c>
      <c r="F792" t="s">
        <v>2612</v>
      </c>
      <c r="G792" t="s">
        <v>36</v>
      </c>
      <c r="H792" t="s">
        <v>1808</v>
      </c>
      <c r="I792" t="s">
        <v>38</v>
      </c>
      <c r="J792" t="s">
        <v>99</v>
      </c>
      <c r="M792" t="s">
        <v>40</v>
      </c>
      <c r="N792" t="s">
        <v>41</v>
      </c>
      <c r="O792" t="s">
        <v>42</v>
      </c>
      <c r="P792">
        <v>23</v>
      </c>
      <c r="Q792">
        <v>0</v>
      </c>
      <c r="R792">
        <v>0</v>
      </c>
      <c r="S792">
        <v>0</v>
      </c>
      <c r="T792" t="s">
        <v>2613</v>
      </c>
      <c r="U792" t="s">
        <v>44</v>
      </c>
      <c r="W792" t="s">
        <v>2586</v>
      </c>
      <c r="Y792">
        <v>0</v>
      </c>
      <c r="AA792" t="s">
        <v>40</v>
      </c>
      <c r="AB792" t="s">
        <v>46</v>
      </c>
      <c r="AC792" t="s">
        <v>47</v>
      </c>
      <c r="AF792" t="s">
        <v>367</v>
      </c>
      <c r="AJ792" t="s">
        <v>40</v>
      </c>
      <c r="AK792" t="s">
        <v>49</v>
      </c>
      <c r="AM792" t="s">
        <v>2354</v>
      </c>
      <c r="AN792" t="s">
        <v>2362</v>
      </c>
      <c r="AO792" s="1">
        <v>45954</v>
      </c>
      <c r="AP792" s="5">
        <v>0.41666666666666669</v>
      </c>
      <c r="AS792">
        <v>1</v>
      </c>
    </row>
    <row r="793" spans="1:45" x14ac:dyDescent="0.2">
      <c r="A793">
        <f t="shared" si="50"/>
        <v>2025</v>
      </c>
      <c r="B793">
        <f t="shared" si="51"/>
        <v>10</v>
      </c>
      <c r="C793">
        <f t="shared" si="52"/>
        <v>43</v>
      </c>
      <c r="D793" s="2">
        <f t="shared" si="53"/>
        <v>45954</v>
      </c>
      <c r="E793" s="1">
        <v>45954.416666666664</v>
      </c>
      <c r="F793" t="s">
        <v>2614</v>
      </c>
      <c r="G793" t="s">
        <v>36</v>
      </c>
      <c r="H793">
        <v>460057</v>
      </c>
      <c r="I793" t="s">
        <v>51</v>
      </c>
      <c r="J793" t="s">
        <v>52</v>
      </c>
      <c r="M793" t="s">
        <v>40</v>
      </c>
      <c r="N793" t="s">
        <v>41</v>
      </c>
      <c r="O793" t="s">
        <v>53</v>
      </c>
      <c r="P793">
        <v>33</v>
      </c>
      <c r="Q793">
        <v>0</v>
      </c>
      <c r="R793">
        <v>0</v>
      </c>
      <c r="S793">
        <v>0</v>
      </c>
      <c r="T793" t="s">
        <v>54</v>
      </c>
      <c r="U793" t="s">
        <v>55</v>
      </c>
      <c r="W793" t="s">
        <v>2615</v>
      </c>
      <c r="Y793">
        <v>0</v>
      </c>
      <c r="AA793" t="s">
        <v>40</v>
      </c>
      <c r="AB793" t="s">
        <v>46</v>
      </c>
      <c r="AC793" t="s">
        <v>47</v>
      </c>
      <c r="AG793" t="s">
        <v>2616</v>
      </c>
      <c r="AJ793" t="s">
        <v>40</v>
      </c>
      <c r="AK793">
        <v>5019224073</v>
      </c>
      <c r="AO793" s="1">
        <v>45954</v>
      </c>
      <c r="AP793" s="5">
        <v>0.41666666666666669</v>
      </c>
      <c r="AS793">
        <v>1</v>
      </c>
    </row>
    <row r="794" spans="1:45" x14ac:dyDescent="0.2">
      <c r="A794">
        <f t="shared" si="50"/>
        <v>2025</v>
      </c>
      <c r="B794">
        <f t="shared" si="51"/>
        <v>10</v>
      </c>
      <c r="C794">
        <f t="shared" si="52"/>
        <v>43</v>
      </c>
      <c r="D794" s="2">
        <f t="shared" si="53"/>
        <v>45954</v>
      </c>
      <c r="E794" s="1">
        <v>45954.416666666664</v>
      </c>
      <c r="F794" t="s">
        <v>2617</v>
      </c>
      <c r="G794" t="s">
        <v>36</v>
      </c>
      <c r="H794">
        <v>462613</v>
      </c>
      <c r="I794" t="s">
        <v>51</v>
      </c>
      <c r="J794" t="s">
        <v>52</v>
      </c>
      <c r="M794" t="s">
        <v>40</v>
      </c>
      <c r="N794" t="s">
        <v>41</v>
      </c>
      <c r="O794" t="s">
        <v>476</v>
      </c>
      <c r="P794">
        <v>33</v>
      </c>
      <c r="Q794">
        <v>0</v>
      </c>
      <c r="R794">
        <v>0</v>
      </c>
      <c r="S794">
        <v>0</v>
      </c>
      <c r="T794" t="s">
        <v>54</v>
      </c>
      <c r="U794" t="s">
        <v>55</v>
      </c>
      <c r="W794" t="s">
        <v>2570</v>
      </c>
      <c r="Y794">
        <v>0</v>
      </c>
      <c r="AA794" t="s">
        <v>40</v>
      </c>
      <c r="AB794" t="s">
        <v>46</v>
      </c>
      <c r="AC794" t="s">
        <v>47</v>
      </c>
      <c r="AG794" t="s">
        <v>2618</v>
      </c>
      <c r="AJ794" t="s">
        <v>40</v>
      </c>
      <c r="AK794">
        <v>5019123149</v>
      </c>
      <c r="AO794" s="1">
        <v>45954</v>
      </c>
      <c r="AP794" s="5">
        <v>0.41666666666666669</v>
      </c>
      <c r="AS794">
        <v>1</v>
      </c>
    </row>
    <row r="795" spans="1:45" x14ac:dyDescent="0.2">
      <c r="A795">
        <f t="shared" si="50"/>
        <v>2025</v>
      </c>
      <c r="B795">
        <f t="shared" si="51"/>
        <v>10</v>
      </c>
      <c r="C795">
        <f t="shared" si="52"/>
        <v>43</v>
      </c>
      <c r="D795" s="2">
        <f t="shared" si="53"/>
        <v>45954</v>
      </c>
      <c r="E795" s="1">
        <v>45954.416666666664</v>
      </c>
      <c r="F795" t="s">
        <v>2619</v>
      </c>
      <c r="G795" t="s">
        <v>36</v>
      </c>
      <c r="H795" t="s">
        <v>37</v>
      </c>
      <c r="I795" t="s">
        <v>38</v>
      </c>
      <c r="J795" t="s">
        <v>112</v>
      </c>
      <c r="M795" t="s">
        <v>40</v>
      </c>
      <c r="N795" t="s">
        <v>41</v>
      </c>
      <c r="O795" t="s">
        <v>42</v>
      </c>
      <c r="P795">
        <v>23</v>
      </c>
      <c r="Q795">
        <v>0</v>
      </c>
      <c r="R795">
        <v>0</v>
      </c>
      <c r="S795">
        <v>0</v>
      </c>
      <c r="T795" t="s">
        <v>2620</v>
      </c>
      <c r="U795" t="s">
        <v>44</v>
      </c>
      <c r="W795" t="s">
        <v>2589</v>
      </c>
      <c r="Y795">
        <v>0</v>
      </c>
      <c r="AA795" t="s">
        <v>40</v>
      </c>
      <c r="AB795" t="s">
        <v>46</v>
      </c>
      <c r="AC795" t="s">
        <v>47</v>
      </c>
      <c r="AF795" t="s">
        <v>48</v>
      </c>
      <c r="AJ795" t="s">
        <v>40</v>
      </c>
      <c r="AK795" t="s">
        <v>49</v>
      </c>
      <c r="AO795" s="1">
        <v>45954</v>
      </c>
      <c r="AP795" s="5">
        <v>0.41666666666666669</v>
      </c>
      <c r="AS795">
        <v>1</v>
      </c>
    </row>
    <row r="796" spans="1:45" x14ac:dyDescent="0.2">
      <c r="A796">
        <f t="shared" si="50"/>
        <v>2025</v>
      </c>
      <c r="B796">
        <f t="shared" si="51"/>
        <v>10</v>
      </c>
      <c r="C796">
        <f t="shared" si="52"/>
        <v>43</v>
      </c>
      <c r="D796" s="2">
        <f t="shared" si="53"/>
        <v>45954</v>
      </c>
      <c r="E796" s="1">
        <v>45954.458333333336</v>
      </c>
      <c r="F796" t="s">
        <v>2621</v>
      </c>
      <c r="G796" t="s">
        <v>36</v>
      </c>
      <c r="H796">
        <v>461775</v>
      </c>
      <c r="I796" t="s">
        <v>51</v>
      </c>
      <c r="J796" t="s">
        <v>1344</v>
      </c>
      <c r="M796" t="s">
        <v>40</v>
      </c>
      <c r="N796" t="s">
        <v>41</v>
      </c>
      <c r="O796" t="s">
        <v>127</v>
      </c>
      <c r="P796">
        <v>33</v>
      </c>
      <c r="Q796">
        <v>0</v>
      </c>
      <c r="R796">
        <v>0</v>
      </c>
      <c r="S796">
        <v>0</v>
      </c>
      <c r="T796" t="s">
        <v>54</v>
      </c>
      <c r="U796" t="s">
        <v>55</v>
      </c>
      <c r="W796" t="s">
        <v>2205</v>
      </c>
      <c r="X796" t="s">
        <v>2622</v>
      </c>
      <c r="Y796">
        <v>0</v>
      </c>
      <c r="AA796" t="s">
        <v>40</v>
      </c>
      <c r="AB796" t="s">
        <v>46</v>
      </c>
      <c r="AC796" t="s">
        <v>47</v>
      </c>
      <c r="AG796" t="s">
        <v>2623</v>
      </c>
      <c r="AJ796" t="s">
        <v>40</v>
      </c>
      <c r="AK796">
        <v>5019250529</v>
      </c>
      <c r="AL796" t="s">
        <v>2624</v>
      </c>
      <c r="AO796" s="1">
        <v>45954</v>
      </c>
      <c r="AP796" s="5">
        <v>0.45833333333333331</v>
      </c>
      <c r="AS796">
        <v>1</v>
      </c>
    </row>
    <row r="797" spans="1:45" x14ac:dyDescent="0.2">
      <c r="A797">
        <f t="shared" si="50"/>
        <v>2025</v>
      </c>
      <c r="B797">
        <f t="shared" si="51"/>
        <v>10</v>
      </c>
      <c r="C797">
        <f t="shared" si="52"/>
        <v>43</v>
      </c>
      <c r="D797" s="2">
        <f t="shared" si="53"/>
        <v>45954</v>
      </c>
      <c r="E797" s="1">
        <v>45954.458333333336</v>
      </c>
      <c r="F797" t="s">
        <v>2625</v>
      </c>
      <c r="G797" t="s">
        <v>36</v>
      </c>
      <c r="H797" t="s">
        <v>320</v>
      </c>
      <c r="I797" t="s">
        <v>38</v>
      </c>
      <c r="J797" t="s">
        <v>321</v>
      </c>
      <c r="M797" t="s">
        <v>40</v>
      </c>
      <c r="N797" t="s">
        <v>41</v>
      </c>
      <c r="O797" t="s">
        <v>42</v>
      </c>
      <c r="P797">
        <v>33</v>
      </c>
      <c r="Q797">
        <v>0</v>
      </c>
      <c r="R797">
        <v>0</v>
      </c>
      <c r="S797">
        <v>0</v>
      </c>
      <c r="T797" t="s">
        <v>2626</v>
      </c>
      <c r="U797" t="s">
        <v>44</v>
      </c>
      <c r="W797" t="s">
        <v>2433</v>
      </c>
      <c r="Y797">
        <v>0</v>
      </c>
      <c r="AA797" t="s">
        <v>40</v>
      </c>
      <c r="AB797" t="s">
        <v>46</v>
      </c>
      <c r="AC797" t="s">
        <v>47</v>
      </c>
      <c r="AF797" t="s">
        <v>322</v>
      </c>
      <c r="AJ797" t="s">
        <v>40</v>
      </c>
      <c r="AK797" t="s">
        <v>49</v>
      </c>
      <c r="AO797" s="1">
        <v>45954</v>
      </c>
      <c r="AP797" s="5">
        <v>0.45833333333333331</v>
      </c>
      <c r="AS797">
        <v>1</v>
      </c>
    </row>
    <row r="798" spans="1:45" x14ac:dyDescent="0.2">
      <c r="A798">
        <f t="shared" si="50"/>
        <v>2025</v>
      </c>
      <c r="B798">
        <f t="shared" si="51"/>
        <v>10</v>
      </c>
      <c r="C798">
        <f t="shared" si="52"/>
        <v>43</v>
      </c>
      <c r="D798" s="2">
        <f t="shared" si="53"/>
        <v>45954</v>
      </c>
      <c r="E798" s="1">
        <v>45954.458333333336</v>
      </c>
      <c r="F798" t="s">
        <v>2627</v>
      </c>
      <c r="G798" t="s">
        <v>36</v>
      </c>
      <c r="H798" t="s">
        <v>37</v>
      </c>
      <c r="I798" t="s">
        <v>38</v>
      </c>
      <c r="J798" t="s">
        <v>112</v>
      </c>
      <c r="M798" t="s">
        <v>40</v>
      </c>
      <c r="N798" t="s">
        <v>41</v>
      </c>
      <c r="O798" t="s">
        <v>42</v>
      </c>
      <c r="P798">
        <v>23</v>
      </c>
      <c r="Q798">
        <v>0</v>
      </c>
      <c r="R798">
        <v>0</v>
      </c>
      <c r="S798">
        <v>0</v>
      </c>
      <c r="T798" t="s">
        <v>2628</v>
      </c>
      <c r="U798" t="s">
        <v>44</v>
      </c>
      <c r="W798" t="s">
        <v>2589</v>
      </c>
      <c r="Y798">
        <v>0</v>
      </c>
      <c r="AA798" t="s">
        <v>40</v>
      </c>
      <c r="AB798" t="s">
        <v>46</v>
      </c>
      <c r="AC798" t="s">
        <v>47</v>
      </c>
      <c r="AF798" t="s">
        <v>48</v>
      </c>
      <c r="AJ798" t="s">
        <v>40</v>
      </c>
      <c r="AK798" t="s">
        <v>49</v>
      </c>
      <c r="AO798" s="1">
        <v>45954</v>
      </c>
      <c r="AP798" s="5">
        <v>0.45833333333333331</v>
      </c>
      <c r="AS798">
        <v>1</v>
      </c>
    </row>
    <row r="799" spans="1:45" x14ac:dyDescent="0.2">
      <c r="A799">
        <f t="shared" si="50"/>
        <v>2025</v>
      </c>
      <c r="B799">
        <f t="shared" si="51"/>
        <v>10</v>
      </c>
      <c r="C799">
        <f t="shared" si="52"/>
        <v>43</v>
      </c>
      <c r="D799" s="2">
        <f t="shared" si="53"/>
        <v>45954</v>
      </c>
      <c r="E799" s="1">
        <v>45954.458333333336</v>
      </c>
      <c r="F799" t="s">
        <v>2629</v>
      </c>
      <c r="G799" t="s">
        <v>36</v>
      </c>
      <c r="H799" t="s">
        <v>2630</v>
      </c>
      <c r="I799" t="s">
        <v>38</v>
      </c>
      <c r="J799" t="s">
        <v>254</v>
      </c>
      <c r="N799" t="s">
        <v>41</v>
      </c>
      <c r="O799" t="s">
        <v>42</v>
      </c>
      <c r="P799">
        <v>6</v>
      </c>
      <c r="Q799">
        <v>0</v>
      </c>
      <c r="R799">
        <v>0</v>
      </c>
      <c r="S799">
        <v>0</v>
      </c>
      <c r="T799" t="s">
        <v>2631</v>
      </c>
      <c r="U799" t="s">
        <v>294</v>
      </c>
      <c r="W799" t="s">
        <v>2575</v>
      </c>
      <c r="Y799">
        <v>0</v>
      </c>
      <c r="AA799" t="s">
        <v>40</v>
      </c>
      <c r="AC799" t="s">
        <v>47</v>
      </c>
      <c r="AF799" t="s">
        <v>295</v>
      </c>
      <c r="AJ799" t="s">
        <v>40</v>
      </c>
      <c r="AK799" t="s">
        <v>49</v>
      </c>
      <c r="AO799" s="1">
        <v>45954</v>
      </c>
      <c r="AP799" s="5">
        <v>0.45833333333333331</v>
      </c>
      <c r="AS799">
        <v>1</v>
      </c>
    </row>
    <row r="800" spans="1:45" x14ac:dyDescent="0.2">
      <c r="A800">
        <f t="shared" si="50"/>
        <v>2025</v>
      </c>
      <c r="B800">
        <f t="shared" si="51"/>
        <v>10</v>
      </c>
      <c r="C800">
        <f t="shared" si="52"/>
        <v>43</v>
      </c>
      <c r="D800" s="2">
        <f t="shared" si="53"/>
        <v>45954</v>
      </c>
      <c r="E800" s="1">
        <v>45954.458333333336</v>
      </c>
      <c r="F800" t="s">
        <v>2632</v>
      </c>
      <c r="G800" t="s">
        <v>36</v>
      </c>
      <c r="H800" t="s">
        <v>2633</v>
      </c>
      <c r="I800" t="s">
        <v>78</v>
      </c>
      <c r="J800" t="s">
        <v>355</v>
      </c>
      <c r="M800" t="s">
        <v>40</v>
      </c>
      <c r="N800" t="s">
        <v>41</v>
      </c>
      <c r="O800" t="s">
        <v>356</v>
      </c>
      <c r="P800">
        <v>66</v>
      </c>
      <c r="Q800">
        <v>0</v>
      </c>
      <c r="R800">
        <v>0</v>
      </c>
      <c r="S800">
        <v>0</v>
      </c>
      <c r="T800" t="s">
        <v>54</v>
      </c>
      <c r="U800" t="s">
        <v>55</v>
      </c>
      <c r="W800" t="s">
        <v>2634</v>
      </c>
      <c r="Y800">
        <v>0</v>
      </c>
      <c r="AA800" t="s">
        <v>40</v>
      </c>
      <c r="AB800" t="s">
        <v>46</v>
      </c>
      <c r="AC800" t="s">
        <v>47</v>
      </c>
      <c r="AD800" t="s">
        <v>81</v>
      </c>
      <c r="AE800" t="s">
        <v>81</v>
      </c>
      <c r="AG800" t="s">
        <v>2635</v>
      </c>
      <c r="AJ800" t="s">
        <v>40</v>
      </c>
      <c r="AK800" t="s">
        <v>2636</v>
      </c>
      <c r="AO800" s="1">
        <v>45954</v>
      </c>
      <c r="AP800" s="5">
        <v>0.45833333333333331</v>
      </c>
      <c r="AS800">
        <v>1</v>
      </c>
    </row>
    <row r="801" spans="1:45" x14ac:dyDescent="0.2">
      <c r="A801">
        <f t="shared" si="50"/>
        <v>2025</v>
      </c>
      <c r="B801">
        <f t="shared" si="51"/>
        <v>10</v>
      </c>
      <c r="C801">
        <f t="shared" si="52"/>
        <v>43</v>
      </c>
      <c r="D801" s="2">
        <f t="shared" si="53"/>
        <v>45954</v>
      </c>
      <c r="E801" s="1">
        <v>45954.5</v>
      </c>
      <c r="F801" t="s">
        <v>2637</v>
      </c>
      <c r="G801" t="s">
        <v>36</v>
      </c>
      <c r="H801" t="s">
        <v>2638</v>
      </c>
      <c r="I801" t="s">
        <v>38</v>
      </c>
      <c r="J801" t="s">
        <v>645</v>
      </c>
      <c r="M801" t="s">
        <v>40</v>
      </c>
      <c r="N801" t="s">
        <v>41</v>
      </c>
      <c r="O801" t="s">
        <v>42</v>
      </c>
      <c r="P801">
        <v>20</v>
      </c>
      <c r="Q801">
        <v>0</v>
      </c>
      <c r="R801">
        <v>0</v>
      </c>
      <c r="S801">
        <v>0</v>
      </c>
      <c r="T801">
        <v>5019178548</v>
      </c>
      <c r="U801" t="s">
        <v>44</v>
      </c>
      <c r="W801" t="s">
        <v>2639</v>
      </c>
      <c r="Y801">
        <v>0</v>
      </c>
      <c r="AA801" t="s">
        <v>40</v>
      </c>
      <c r="AB801" t="s">
        <v>46</v>
      </c>
      <c r="AC801" t="s">
        <v>47</v>
      </c>
      <c r="AF801" t="s">
        <v>62</v>
      </c>
      <c r="AJ801" t="s">
        <v>40</v>
      </c>
      <c r="AK801" t="s">
        <v>49</v>
      </c>
      <c r="AN801">
        <v>59815273</v>
      </c>
      <c r="AO801" s="1">
        <v>45954</v>
      </c>
      <c r="AP801" s="5">
        <v>0.5</v>
      </c>
      <c r="AS801">
        <v>1</v>
      </c>
    </row>
    <row r="802" spans="1:45" x14ac:dyDescent="0.2">
      <c r="A802">
        <f t="shared" si="50"/>
        <v>2025</v>
      </c>
      <c r="B802">
        <f t="shared" si="51"/>
        <v>10</v>
      </c>
      <c r="C802">
        <f t="shared" si="52"/>
        <v>43</v>
      </c>
      <c r="D802" s="2">
        <f t="shared" si="53"/>
        <v>45954</v>
      </c>
      <c r="E802" s="1">
        <v>45954.5</v>
      </c>
      <c r="F802" t="s">
        <v>2640</v>
      </c>
      <c r="G802" t="s">
        <v>36</v>
      </c>
      <c r="H802">
        <v>460052</v>
      </c>
      <c r="I802" t="s">
        <v>51</v>
      </c>
      <c r="J802" t="s">
        <v>144</v>
      </c>
      <c r="M802" t="s">
        <v>40</v>
      </c>
      <c r="N802" t="s">
        <v>41</v>
      </c>
      <c r="O802" t="s">
        <v>53</v>
      </c>
      <c r="P802">
        <v>33</v>
      </c>
      <c r="Q802">
        <v>0</v>
      </c>
      <c r="R802">
        <v>0</v>
      </c>
      <c r="S802">
        <v>0</v>
      </c>
      <c r="T802" t="s">
        <v>54</v>
      </c>
      <c r="U802" t="s">
        <v>55</v>
      </c>
      <c r="W802" t="s">
        <v>2496</v>
      </c>
      <c r="X802" t="s">
        <v>2641</v>
      </c>
      <c r="Y802">
        <v>0</v>
      </c>
      <c r="AA802" t="s">
        <v>40</v>
      </c>
      <c r="AB802" t="s">
        <v>46</v>
      </c>
      <c r="AC802" t="s">
        <v>47</v>
      </c>
      <c r="AG802" t="s">
        <v>2642</v>
      </c>
      <c r="AJ802" t="s">
        <v>40</v>
      </c>
      <c r="AK802">
        <v>5019243716</v>
      </c>
      <c r="AL802" t="s">
        <v>2643</v>
      </c>
      <c r="AM802" t="s">
        <v>2644</v>
      </c>
      <c r="AO802" s="1">
        <v>45954</v>
      </c>
      <c r="AP802" s="5">
        <v>0.5</v>
      </c>
      <c r="AS802">
        <v>1</v>
      </c>
    </row>
    <row r="803" spans="1:45" x14ac:dyDescent="0.2">
      <c r="A803">
        <f t="shared" si="50"/>
        <v>2025</v>
      </c>
      <c r="B803">
        <f t="shared" si="51"/>
        <v>10</v>
      </c>
      <c r="C803">
        <f t="shared" si="52"/>
        <v>43</v>
      </c>
      <c r="D803" s="2">
        <f t="shared" si="53"/>
        <v>45954</v>
      </c>
      <c r="E803" s="1">
        <v>45954.5</v>
      </c>
      <c r="F803" t="s">
        <v>2645</v>
      </c>
      <c r="G803" t="s">
        <v>36</v>
      </c>
      <c r="H803" t="s">
        <v>320</v>
      </c>
      <c r="I803" t="s">
        <v>38</v>
      </c>
      <c r="J803" t="s">
        <v>321</v>
      </c>
      <c r="M803" t="s">
        <v>40</v>
      </c>
      <c r="N803" t="s">
        <v>41</v>
      </c>
      <c r="O803" t="s">
        <v>42</v>
      </c>
      <c r="P803">
        <v>33</v>
      </c>
      <c r="Q803">
        <v>0</v>
      </c>
      <c r="R803">
        <v>0</v>
      </c>
      <c r="S803">
        <v>0</v>
      </c>
      <c r="T803">
        <v>5019229647</v>
      </c>
      <c r="U803" t="s">
        <v>44</v>
      </c>
      <c r="W803" t="s">
        <v>2433</v>
      </c>
      <c r="Y803">
        <v>0</v>
      </c>
      <c r="AA803" t="s">
        <v>40</v>
      </c>
      <c r="AB803" t="s">
        <v>46</v>
      </c>
      <c r="AC803" t="s">
        <v>47</v>
      </c>
      <c r="AF803" t="s">
        <v>322</v>
      </c>
      <c r="AJ803" t="s">
        <v>40</v>
      </c>
      <c r="AK803" t="s">
        <v>49</v>
      </c>
      <c r="AO803" s="1">
        <v>45954</v>
      </c>
      <c r="AP803" s="5">
        <v>0.5</v>
      </c>
      <c r="AS803">
        <v>1</v>
      </c>
    </row>
    <row r="804" spans="1:45" x14ac:dyDescent="0.2">
      <c r="A804">
        <f t="shared" si="50"/>
        <v>2025</v>
      </c>
      <c r="B804">
        <f t="shared" si="51"/>
        <v>10</v>
      </c>
      <c r="C804">
        <f t="shared" si="52"/>
        <v>43</v>
      </c>
      <c r="D804" s="2">
        <f t="shared" si="53"/>
        <v>45954</v>
      </c>
      <c r="E804" s="1">
        <v>45954.5</v>
      </c>
      <c r="F804" t="s">
        <v>2646</v>
      </c>
      <c r="G804" t="s">
        <v>36</v>
      </c>
      <c r="H804">
        <v>462617</v>
      </c>
      <c r="I804" t="s">
        <v>51</v>
      </c>
      <c r="J804" t="s">
        <v>52</v>
      </c>
      <c r="M804" t="s">
        <v>40</v>
      </c>
      <c r="N804" t="s">
        <v>41</v>
      </c>
      <c r="O804" t="s">
        <v>476</v>
      </c>
      <c r="P804">
        <v>33</v>
      </c>
      <c r="Q804">
        <v>0</v>
      </c>
      <c r="R804">
        <v>0</v>
      </c>
      <c r="S804">
        <v>0</v>
      </c>
      <c r="T804" t="s">
        <v>54</v>
      </c>
      <c r="U804" t="s">
        <v>55</v>
      </c>
      <c r="W804" t="s">
        <v>2570</v>
      </c>
      <c r="Y804">
        <v>0</v>
      </c>
      <c r="AA804" t="s">
        <v>40</v>
      </c>
      <c r="AB804" t="s">
        <v>46</v>
      </c>
      <c r="AC804" t="s">
        <v>47</v>
      </c>
      <c r="AG804" t="s">
        <v>2647</v>
      </c>
      <c r="AJ804" t="s">
        <v>40</v>
      </c>
      <c r="AK804">
        <v>5019112541</v>
      </c>
      <c r="AO804" s="1">
        <v>45954</v>
      </c>
      <c r="AP804" s="5">
        <v>0.5</v>
      </c>
      <c r="AS804">
        <v>1</v>
      </c>
    </row>
    <row r="805" spans="1:45" x14ac:dyDescent="0.2">
      <c r="A805">
        <f t="shared" si="50"/>
        <v>2025</v>
      </c>
      <c r="B805">
        <f t="shared" si="51"/>
        <v>10</v>
      </c>
      <c r="C805">
        <f t="shared" si="52"/>
        <v>43</v>
      </c>
      <c r="D805" s="2">
        <f t="shared" si="53"/>
        <v>45954</v>
      </c>
      <c r="E805" s="1">
        <v>45954.541666666664</v>
      </c>
      <c r="F805" t="s">
        <v>2648</v>
      </c>
      <c r="G805" t="s">
        <v>36</v>
      </c>
      <c r="H805" t="s">
        <v>106</v>
      </c>
      <c r="I805" t="s">
        <v>38</v>
      </c>
      <c r="J805" t="s">
        <v>107</v>
      </c>
      <c r="M805" t="s">
        <v>40</v>
      </c>
      <c r="N805" t="s">
        <v>41</v>
      </c>
      <c r="O805" t="s">
        <v>42</v>
      </c>
      <c r="P805">
        <v>33</v>
      </c>
      <c r="Q805">
        <v>0</v>
      </c>
      <c r="R805">
        <v>0</v>
      </c>
      <c r="S805">
        <v>0</v>
      </c>
      <c r="T805">
        <v>5019228015</v>
      </c>
      <c r="U805" t="s">
        <v>44</v>
      </c>
      <c r="W805" t="s">
        <v>2433</v>
      </c>
      <c r="Y805">
        <v>0</v>
      </c>
      <c r="AA805" t="s">
        <v>40</v>
      </c>
      <c r="AB805" t="s">
        <v>46</v>
      </c>
      <c r="AC805" t="s">
        <v>47</v>
      </c>
      <c r="AF805" t="s">
        <v>109</v>
      </c>
      <c r="AJ805" t="s">
        <v>40</v>
      </c>
      <c r="AK805" t="s">
        <v>49</v>
      </c>
      <c r="AO805" s="1">
        <v>45954</v>
      </c>
      <c r="AP805" s="5">
        <v>0.54166666666666663</v>
      </c>
      <c r="AS805">
        <v>1</v>
      </c>
    </row>
    <row r="806" spans="1:45" x14ac:dyDescent="0.2">
      <c r="A806">
        <f t="shared" si="50"/>
        <v>2025</v>
      </c>
      <c r="B806">
        <f t="shared" si="51"/>
        <v>10</v>
      </c>
      <c r="C806">
        <f t="shared" si="52"/>
        <v>43</v>
      </c>
      <c r="D806" s="2">
        <f t="shared" si="53"/>
        <v>45954</v>
      </c>
      <c r="E806" s="1">
        <v>45954.541666666664</v>
      </c>
      <c r="F806" t="s">
        <v>2649</v>
      </c>
      <c r="G806" t="s">
        <v>36</v>
      </c>
      <c r="H806">
        <v>457416</v>
      </c>
      <c r="I806" t="s">
        <v>51</v>
      </c>
      <c r="J806" t="s">
        <v>144</v>
      </c>
      <c r="M806" t="s">
        <v>40</v>
      </c>
      <c r="N806" t="s">
        <v>41</v>
      </c>
      <c r="O806" t="s">
        <v>90</v>
      </c>
      <c r="P806">
        <v>33</v>
      </c>
      <c r="Q806">
        <v>0</v>
      </c>
      <c r="R806">
        <v>0</v>
      </c>
      <c r="S806">
        <v>0</v>
      </c>
      <c r="T806" t="s">
        <v>54</v>
      </c>
      <c r="U806" t="s">
        <v>55</v>
      </c>
      <c r="W806" t="s">
        <v>2496</v>
      </c>
      <c r="X806" t="s">
        <v>2650</v>
      </c>
      <c r="Y806">
        <v>0</v>
      </c>
      <c r="AA806" t="s">
        <v>40</v>
      </c>
      <c r="AB806" t="s">
        <v>46</v>
      </c>
      <c r="AC806" t="s">
        <v>47</v>
      </c>
      <c r="AG806" t="s">
        <v>2651</v>
      </c>
      <c r="AJ806" t="s">
        <v>40</v>
      </c>
      <c r="AK806">
        <v>5019245759</v>
      </c>
      <c r="AL806" t="s">
        <v>2652</v>
      </c>
      <c r="AM806" t="s">
        <v>2653</v>
      </c>
      <c r="AO806" s="1">
        <v>45954</v>
      </c>
      <c r="AP806" s="5">
        <v>0.54166666666666663</v>
      </c>
      <c r="AS806">
        <v>1</v>
      </c>
    </row>
    <row r="807" spans="1:45" x14ac:dyDescent="0.2">
      <c r="A807">
        <f t="shared" si="50"/>
        <v>2025</v>
      </c>
      <c r="B807">
        <f t="shared" si="51"/>
        <v>10</v>
      </c>
      <c r="C807">
        <f t="shared" si="52"/>
        <v>43</v>
      </c>
      <c r="D807" s="2">
        <f t="shared" si="53"/>
        <v>45954</v>
      </c>
      <c r="E807" s="1">
        <v>45954.541666666664</v>
      </c>
      <c r="F807" t="s">
        <v>2654</v>
      </c>
      <c r="G807" t="s">
        <v>36</v>
      </c>
      <c r="H807" t="s">
        <v>1586</v>
      </c>
      <c r="I807" t="s">
        <v>38</v>
      </c>
      <c r="J807" t="s">
        <v>451</v>
      </c>
      <c r="M807" t="s">
        <v>40</v>
      </c>
      <c r="N807" t="s">
        <v>41</v>
      </c>
      <c r="O807" t="s">
        <v>42</v>
      </c>
      <c r="P807">
        <v>14</v>
      </c>
      <c r="Q807">
        <v>0</v>
      </c>
      <c r="R807">
        <v>0</v>
      </c>
      <c r="S807">
        <v>0</v>
      </c>
      <c r="T807" t="s">
        <v>2655</v>
      </c>
      <c r="U807" t="s">
        <v>44</v>
      </c>
      <c r="W807" t="s">
        <v>2589</v>
      </c>
      <c r="Y807">
        <v>0</v>
      </c>
      <c r="AA807" t="s">
        <v>40</v>
      </c>
      <c r="AB807" t="s">
        <v>46</v>
      </c>
      <c r="AC807" t="s">
        <v>47</v>
      </c>
      <c r="AF807" t="s">
        <v>48</v>
      </c>
      <c r="AJ807" t="s">
        <v>40</v>
      </c>
      <c r="AK807" t="s">
        <v>49</v>
      </c>
      <c r="AO807" s="1">
        <v>45954</v>
      </c>
      <c r="AP807" s="5">
        <v>0.54166666666666663</v>
      </c>
      <c r="AS807">
        <v>1</v>
      </c>
    </row>
    <row r="808" spans="1:45" x14ac:dyDescent="0.2">
      <c r="A808">
        <f t="shared" si="50"/>
        <v>2025</v>
      </c>
      <c r="B808">
        <f t="shared" si="51"/>
        <v>10</v>
      </c>
      <c r="C808">
        <f t="shared" si="52"/>
        <v>43</v>
      </c>
      <c r="D808" s="2">
        <f t="shared" si="53"/>
        <v>45954</v>
      </c>
      <c r="E808" s="1">
        <v>45954.541666666664</v>
      </c>
      <c r="F808" t="s">
        <v>2656</v>
      </c>
      <c r="G808" t="s">
        <v>36</v>
      </c>
      <c r="H808" t="s">
        <v>320</v>
      </c>
      <c r="I808" t="s">
        <v>38</v>
      </c>
      <c r="J808" t="s">
        <v>321</v>
      </c>
      <c r="M808" t="s">
        <v>40</v>
      </c>
      <c r="N808" t="s">
        <v>41</v>
      </c>
      <c r="O808" t="s">
        <v>42</v>
      </c>
      <c r="P808">
        <v>33</v>
      </c>
      <c r="Q808">
        <v>0</v>
      </c>
      <c r="R808">
        <v>0</v>
      </c>
      <c r="S808">
        <v>0</v>
      </c>
      <c r="T808">
        <v>5019232247</v>
      </c>
      <c r="U808" t="s">
        <v>44</v>
      </c>
      <c r="W808" t="s">
        <v>2433</v>
      </c>
      <c r="Y808">
        <v>0</v>
      </c>
      <c r="AA808" t="s">
        <v>40</v>
      </c>
      <c r="AB808" t="s">
        <v>46</v>
      </c>
      <c r="AC808" t="s">
        <v>47</v>
      </c>
      <c r="AF808" t="s">
        <v>322</v>
      </c>
      <c r="AJ808" t="s">
        <v>40</v>
      </c>
      <c r="AK808" t="s">
        <v>49</v>
      </c>
      <c r="AO808" s="1">
        <v>45954</v>
      </c>
      <c r="AP808" s="5">
        <v>0.54166666666666663</v>
      </c>
      <c r="AS808">
        <v>1</v>
      </c>
    </row>
    <row r="809" spans="1:45" x14ac:dyDescent="0.2">
      <c r="A809">
        <f t="shared" si="50"/>
        <v>2025</v>
      </c>
      <c r="B809">
        <f t="shared" si="51"/>
        <v>10</v>
      </c>
      <c r="C809">
        <f t="shared" si="52"/>
        <v>43</v>
      </c>
      <c r="D809" s="2">
        <f t="shared" si="53"/>
        <v>45954</v>
      </c>
      <c r="E809" s="1">
        <v>45954.583333333336</v>
      </c>
      <c r="F809" t="s">
        <v>2657</v>
      </c>
      <c r="G809" t="s">
        <v>36</v>
      </c>
      <c r="H809" t="s">
        <v>320</v>
      </c>
      <c r="I809" t="s">
        <v>38</v>
      </c>
      <c r="J809" t="s">
        <v>321</v>
      </c>
      <c r="M809" t="s">
        <v>40</v>
      </c>
      <c r="N809" t="s">
        <v>41</v>
      </c>
      <c r="O809" t="s">
        <v>42</v>
      </c>
      <c r="P809">
        <v>33</v>
      </c>
      <c r="Q809">
        <v>0</v>
      </c>
      <c r="R809">
        <v>0</v>
      </c>
      <c r="S809">
        <v>0</v>
      </c>
      <c r="T809">
        <v>5019226578</v>
      </c>
      <c r="U809" t="s">
        <v>44</v>
      </c>
      <c r="W809" t="s">
        <v>2433</v>
      </c>
      <c r="Y809">
        <v>0</v>
      </c>
      <c r="AA809" t="s">
        <v>40</v>
      </c>
      <c r="AB809" t="s">
        <v>46</v>
      </c>
      <c r="AC809" t="s">
        <v>47</v>
      </c>
      <c r="AF809" t="s">
        <v>322</v>
      </c>
      <c r="AJ809" t="s">
        <v>40</v>
      </c>
      <c r="AK809" t="s">
        <v>49</v>
      </c>
      <c r="AO809" s="1">
        <v>45954</v>
      </c>
      <c r="AP809" s="5">
        <v>0.58333333333333337</v>
      </c>
      <c r="AS809">
        <v>1</v>
      </c>
    </row>
    <row r="810" spans="1:45" x14ac:dyDescent="0.2">
      <c r="A810">
        <f t="shared" si="50"/>
        <v>2025</v>
      </c>
      <c r="B810">
        <f t="shared" si="51"/>
        <v>10</v>
      </c>
      <c r="C810">
        <f t="shared" si="52"/>
        <v>43</v>
      </c>
      <c r="D810" s="2">
        <f t="shared" si="53"/>
        <v>45954</v>
      </c>
      <c r="E810" s="1">
        <v>45954.583333333336</v>
      </c>
      <c r="F810" t="s">
        <v>2658</v>
      </c>
      <c r="G810" t="s">
        <v>36</v>
      </c>
      <c r="H810">
        <v>457446</v>
      </c>
      <c r="I810" t="s">
        <v>51</v>
      </c>
      <c r="J810" t="s">
        <v>144</v>
      </c>
      <c r="M810" t="s">
        <v>40</v>
      </c>
      <c r="N810" t="s">
        <v>41</v>
      </c>
      <c r="O810" t="s">
        <v>90</v>
      </c>
      <c r="P810">
        <v>33</v>
      </c>
      <c r="Q810">
        <v>0</v>
      </c>
      <c r="R810">
        <v>0</v>
      </c>
      <c r="S810">
        <v>0</v>
      </c>
      <c r="T810" t="s">
        <v>54</v>
      </c>
      <c r="U810" t="s">
        <v>55</v>
      </c>
      <c r="W810" t="s">
        <v>2659</v>
      </c>
      <c r="X810" t="s">
        <v>2660</v>
      </c>
      <c r="Y810">
        <v>0</v>
      </c>
      <c r="AA810" t="s">
        <v>40</v>
      </c>
      <c r="AB810" t="s">
        <v>46</v>
      </c>
      <c r="AC810" t="s">
        <v>47</v>
      </c>
      <c r="AG810" t="s">
        <v>2661</v>
      </c>
      <c r="AJ810" t="s">
        <v>40</v>
      </c>
      <c r="AK810">
        <v>5019241555</v>
      </c>
      <c r="AL810" t="s">
        <v>2662</v>
      </c>
      <c r="AM810" t="s">
        <v>2663</v>
      </c>
      <c r="AO810" s="1">
        <v>45954</v>
      </c>
      <c r="AP810" s="5">
        <v>0.58333333333333337</v>
      </c>
      <c r="AS810">
        <v>1</v>
      </c>
    </row>
    <row r="811" spans="1:45" x14ac:dyDescent="0.2">
      <c r="A811">
        <f t="shared" si="50"/>
        <v>2025</v>
      </c>
      <c r="B811">
        <f t="shared" si="51"/>
        <v>10</v>
      </c>
      <c r="C811">
        <f t="shared" si="52"/>
        <v>43</v>
      </c>
      <c r="D811" s="2">
        <f t="shared" si="53"/>
        <v>45954</v>
      </c>
      <c r="E811" s="1">
        <v>45954.583333333336</v>
      </c>
      <c r="F811" t="s">
        <v>2664</v>
      </c>
      <c r="G811" t="s">
        <v>36</v>
      </c>
      <c r="H811" t="s">
        <v>2480</v>
      </c>
      <c r="I811" t="s">
        <v>38</v>
      </c>
      <c r="J811" t="s">
        <v>348</v>
      </c>
      <c r="M811" t="s">
        <v>40</v>
      </c>
      <c r="N811" t="s">
        <v>41</v>
      </c>
      <c r="O811" t="s">
        <v>42</v>
      </c>
      <c r="P811">
        <v>18</v>
      </c>
      <c r="Q811">
        <v>0</v>
      </c>
      <c r="R811">
        <v>0</v>
      </c>
      <c r="S811">
        <v>0</v>
      </c>
      <c r="T811" t="s">
        <v>2665</v>
      </c>
      <c r="U811" t="s">
        <v>44</v>
      </c>
      <c r="W811" t="s">
        <v>2666</v>
      </c>
      <c r="Y811">
        <v>0</v>
      </c>
      <c r="AA811" t="s">
        <v>40</v>
      </c>
      <c r="AB811" t="s">
        <v>46</v>
      </c>
      <c r="AC811" t="s">
        <v>47</v>
      </c>
      <c r="AF811" t="s">
        <v>350</v>
      </c>
      <c r="AJ811" t="s">
        <v>40</v>
      </c>
      <c r="AK811" t="s">
        <v>49</v>
      </c>
      <c r="AO811" s="1">
        <v>45954</v>
      </c>
      <c r="AP811" s="5">
        <v>0.58333333333333337</v>
      </c>
      <c r="AS811">
        <v>1</v>
      </c>
    </row>
    <row r="812" spans="1:45" x14ac:dyDescent="0.2">
      <c r="A812">
        <f t="shared" si="50"/>
        <v>2025</v>
      </c>
      <c r="B812">
        <f t="shared" si="51"/>
        <v>10</v>
      </c>
      <c r="C812">
        <f t="shared" si="52"/>
        <v>43</v>
      </c>
      <c r="D812" s="2">
        <f t="shared" si="53"/>
        <v>45954</v>
      </c>
      <c r="E812" s="1">
        <v>45954.583333333336</v>
      </c>
      <c r="F812" t="s">
        <v>2667</v>
      </c>
      <c r="G812" t="s">
        <v>36</v>
      </c>
      <c r="H812">
        <v>457403</v>
      </c>
      <c r="I812" t="s">
        <v>51</v>
      </c>
      <c r="J812" t="s">
        <v>154</v>
      </c>
      <c r="M812" t="s">
        <v>40</v>
      </c>
      <c r="N812" t="s">
        <v>41</v>
      </c>
      <c r="O812" t="s">
        <v>155</v>
      </c>
      <c r="P812">
        <v>33</v>
      </c>
      <c r="Q812">
        <v>0</v>
      </c>
      <c r="R812">
        <v>0</v>
      </c>
      <c r="S812">
        <v>0</v>
      </c>
      <c r="T812" t="s">
        <v>54</v>
      </c>
      <c r="U812" t="s">
        <v>55</v>
      </c>
      <c r="W812" t="s">
        <v>2275</v>
      </c>
      <c r="Y812">
        <v>0</v>
      </c>
      <c r="AA812" t="s">
        <v>40</v>
      </c>
      <c r="AB812" t="s">
        <v>46</v>
      </c>
      <c r="AC812" t="s">
        <v>47</v>
      </c>
      <c r="AG812" t="s">
        <v>2668</v>
      </c>
      <c r="AJ812" t="s">
        <v>40</v>
      </c>
      <c r="AK812">
        <v>5019242958</v>
      </c>
      <c r="AO812" s="1">
        <v>45954</v>
      </c>
      <c r="AP812" s="5">
        <v>0.58333333333333337</v>
      </c>
      <c r="AS812">
        <v>1</v>
      </c>
    </row>
    <row r="813" spans="1:45" x14ac:dyDescent="0.2">
      <c r="A813">
        <f t="shared" si="50"/>
        <v>2025</v>
      </c>
      <c r="B813">
        <f t="shared" si="51"/>
        <v>10</v>
      </c>
      <c r="C813">
        <f t="shared" si="52"/>
        <v>43</v>
      </c>
      <c r="D813" s="2">
        <f t="shared" si="53"/>
        <v>45954</v>
      </c>
      <c r="E813" s="1">
        <v>45954.625</v>
      </c>
      <c r="F813" t="s">
        <v>2669</v>
      </c>
      <c r="G813" t="s">
        <v>36</v>
      </c>
      <c r="H813" t="s">
        <v>320</v>
      </c>
      <c r="I813" t="s">
        <v>38</v>
      </c>
      <c r="J813" t="s">
        <v>321</v>
      </c>
      <c r="M813" t="s">
        <v>40</v>
      </c>
      <c r="N813" t="s">
        <v>41</v>
      </c>
      <c r="O813" t="s">
        <v>42</v>
      </c>
      <c r="P813">
        <v>33</v>
      </c>
      <c r="Q813">
        <v>0</v>
      </c>
      <c r="R813">
        <v>0</v>
      </c>
      <c r="S813">
        <v>0</v>
      </c>
      <c r="T813">
        <v>5019226579</v>
      </c>
      <c r="U813" t="s">
        <v>44</v>
      </c>
      <c r="W813" t="s">
        <v>2433</v>
      </c>
      <c r="Y813">
        <v>0</v>
      </c>
      <c r="AA813" t="s">
        <v>40</v>
      </c>
      <c r="AB813" t="s">
        <v>46</v>
      </c>
      <c r="AC813" t="s">
        <v>47</v>
      </c>
      <c r="AF813" t="s">
        <v>322</v>
      </c>
      <c r="AJ813" t="s">
        <v>40</v>
      </c>
      <c r="AK813" t="s">
        <v>49</v>
      </c>
      <c r="AO813" s="1">
        <v>45954</v>
      </c>
      <c r="AP813" s="5">
        <v>0.625</v>
      </c>
      <c r="AS813">
        <v>1</v>
      </c>
    </row>
    <row r="814" spans="1:45" x14ac:dyDescent="0.2">
      <c r="A814">
        <f t="shared" si="50"/>
        <v>2025</v>
      </c>
      <c r="B814">
        <f t="shared" si="51"/>
        <v>10</v>
      </c>
      <c r="C814">
        <f t="shared" si="52"/>
        <v>43</v>
      </c>
      <c r="D814" s="2">
        <f t="shared" si="53"/>
        <v>45954</v>
      </c>
      <c r="E814" s="1">
        <v>45954.625</v>
      </c>
      <c r="F814" t="s">
        <v>2670</v>
      </c>
      <c r="G814" t="s">
        <v>36</v>
      </c>
      <c r="H814">
        <v>457433</v>
      </c>
      <c r="I814" t="s">
        <v>51</v>
      </c>
      <c r="J814" t="s">
        <v>144</v>
      </c>
      <c r="M814" t="s">
        <v>40</v>
      </c>
      <c r="N814" t="s">
        <v>41</v>
      </c>
      <c r="O814" t="s">
        <v>90</v>
      </c>
      <c r="P814">
        <v>33</v>
      </c>
      <c r="Q814">
        <v>0</v>
      </c>
      <c r="R814">
        <v>0</v>
      </c>
      <c r="S814">
        <v>0</v>
      </c>
      <c r="T814" t="s">
        <v>54</v>
      </c>
      <c r="U814" t="s">
        <v>55</v>
      </c>
      <c r="W814" t="s">
        <v>2659</v>
      </c>
      <c r="X814" t="s">
        <v>2671</v>
      </c>
      <c r="Y814">
        <v>0</v>
      </c>
      <c r="AA814" t="s">
        <v>40</v>
      </c>
      <c r="AB814" t="s">
        <v>46</v>
      </c>
      <c r="AC814" t="s">
        <v>47</v>
      </c>
      <c r="AG814" t="s">
        <v>2672</v>
      </c>
      <c r="AJ814" t="s">
        <v>40</v>
      </c>
      <c r="AK814">
        <v>5019241554</v>
      </c>
      <c r="AL814" t="s">
        <v>2673</v>
      </c>
      <c r="AM814" t="s">
        <v>2674</v>
      </c>
      <c r="AO814" s="1">
        <v>45954</v>
      </c>
      <c r="AP814" s="5">
        <v>0.625</v>
      </c>
      <c r="AS814">
        <v>1</v>
      </c>
    </row>
    <row r="815" spans="1:45" x14ac:dyDescent="0.2">
      <c r="A815">
        <f t="shared" si="50"/>
        <v>2025</v>
      </c>
      <c r="B815">
        <f t="shared" si="51"/>
        <v>10</v>
      </c>
      <c r="C815">
        <f t="shared" si="52"/>
        <v>43</v>
      </c>
      <c r="D815" s="2">
        <f t="shared" si="53"/>
        <v>45954</v>
      </c>
      <c r="E815" s="1">
        <v>45954.625</v>
      </c>
      <c r="F815" t="s">
        <v>2675</v>
      </c>
      <c r="G815" t="s">
        <v>36</v>
      </c>
      <c r="H815" t="s">
        <v>2676</v>
      </c>
      <c r="I815" t="s">
        <v>1042</v>
      </c>
      <c r="J815" t="s">
        <v>99</v>
      </c>
      <c r="M815" t="s">
        <v>40</v>
      </c>
      <c r="N815" t="s">
        <v>41</v>
      </c>
      <c r="O815" t="s">
        <v>1043</v>
      </c>
      <c r="P815">
        <v>5</v>
      </c>
      <c r="Q815">
        <v>0</v>
      </c>
      <c r="R815">
        <v>0</v>
      </c>
      <c r="S815">
        <v>0</v>
      </c>
      <c r="T815" t="s">
        <v>2677</v>
      </c>
      <c r="U815" t="s">
        <v>101</v>
      </c>
      <c r="W815" t="s">
        <v>2589</v>
      </c>
      <c r="Y815">
        <v>0</v>
      </c>
      <c r="AA815" t="s">
        <v>40</v>
      </c>
      <c r="AB815" t="s">
        <v>46</v>
      </c>
      <c r="AC815" t="s">
        <v>47</v>
      </c>
      <c r="AD815" t="s">
        <v>81</v>
      </c>
      <c r="AE815" t="s">
        <v>81</v>
      </c>
      <c r="AF815" t="s">
        <v>48</v>
      </c>
      <c r="AG815" t="s">
        <v>81</v>
      </c>
      <c r="AJ815" t="s">
        <v>40</v>
      </c>
      <c r="AK815" t="s">
        <v>49</v>
      </c>
      <c r="AL815" t="s">
        <v>1045</v>
      </c>
      <c r="AO815" s="1">
        <v>45954</v>
      </c>
      <c r="AP815" s="5">
        <v>0.625</v>
      </c>
      <c r="AS815">
        <v>1</v>
      </c>
    </row>
    <row r="816" spans="1:45" x14ac:dyDescent="0.2">
      <c r="A816">
        <f t="shared" si="50"/>
        <v>2025</v>
      </c>
      <c r="B816">
        <f t="shared" si="51"/>
        <v>10</v>
      </c>
      <c r="C816">
        <f t="shared" si="52"/>
        <v>43</v>
      </c>
      <c r="D816" s="2">
        <f t="shared" si="53"/>
        <v>45954</v>
      </c>
      <c r="E816" s="1">
        <v>45954.625</v>
      </c>
      <c r="F816" t="s">
        <v>2678</v>
      </c>
      <c r="G816" t="s">
        <v>36</v>
      </c>
      <c r="H816">
        <v>457442</v>
      </c>
      <c r="I816" t="s">
        <v>51</v>
      </c>
      <c r="J816" t="s">
        <v>154</v>
      </c>
      <c r="M816" t="s">
        <v>40</v>
      </c>
      <c r="N816" t="s">
        <v>41</v>
      </c>
      <c r="O816" t="s">
        <v>155</v>
      </c>
      <c r="P816">
        <v>33</v>
      </c>
      <c r="Q816">
        <v>0</v>
      </c>
      <c r="R816">
        <v>0</v>
      </c>
      <c r="S816">
        <v>0</v>
      </c>
      <c r="T816" t="s">
        <v>54</v>
      </c>
      <c r="U816" t="s">
        <v>55</v>
      </c>
      <c r="W816" t="s">
        <v>2275</v>
      </c>
      <c r="Y816">
        <v>0</v>
      </c>
      <c r="AA816" t="s">
        <v>40</v>
      </c>
      <c r="AB816" t="s">
        <v>46</v>
      </c>
      <c r="AC816" t="s">
        <v>47</v>
      </c>
      <c r="AG816" t="s">
        <v>2679</v>
      </c>
      <c r="AJ816" t="s">
        <v>40</v>
      </c>
      <c r="AK816">
        <v>5019252372</v>
      </c>
      <c r="AO816" s="1">
        <v>45954</v>
      </c>
      <c r="AP816" s="5">
        <v>0.625</v>
      </c>
      <c r="AS816">
        <v>1</v>
      </c>
    </row>
    <row r="817" spans="1:45" x14ac:dyDescent="0.2">
      <c r="A817">
        <f t="shared" si="50"/>
        <v>2025</v>
      </c>
      <c r="B817">
        <f t="shared" si="51"/>
        <v>10</v>
      </c>
      <c r="C817">
        <f t="shared" si="52"/>
        <v>43</v>
      </c>
      <c r="D817" s="2">
        <f t="shared" si="53"/>
        <v>45954</v>
      </c>
      <c r="E817" s="1">
        <v>45954.625</v>
      </c>
      <c r="F817" t="s">
        <v>2680</v>
      </c>
      <c r="G817" t="s">
        <v>36</v>
      </c>
      <c r="H817" t="s">
        <v>2681</v>
      </c>
      <c r="I817" t="s">
        <v>78</v>
      </c>
      <c r="J817" t="s">
        <v>200</v>
      </c>
      <c r="M817" t="s">
        <v>40</v>
      </c>
      <c r="N817" t="s">
        <v>41</v>
      </c>
      <c r="O817" t="s">
        <v>554</v>
      </c>
      <c r="P817">
        <v>66</v>
      </c>
      <c r="Q817">
        <v>0</v>
      </c>
      <c r="R817">
        <v>0</v>
      </c>
      <c r="S817">
        <v>0</v>
      </c>
      <c r="T817" t="s">
        <v>54</v>
      </c>
      <c r="U817" t="s">
        <v>55</v>
      </c>
      <c r="W817" t="s">
        <v>2682</v>
      </c>
      <c r="Y817">
        <v>0</v>
      </c>
      <c r="AA817" t="s">
        <v>40</v>
      </c>
      <c r="AB817" t="s">
        <v>46</v>
      </c>
      <c r="AC817" t="s">
        <v>47</v>
      </c>
      <c r="AD817" t="s">
        <v>81</v>
      </c>
      <c r="AE817" t="s">
        <v>81</v>
      </c>
      <c r="AG817" t="s">
        <v>2683</v>
      </c>
      <c r="AJ817" t="s">
        <v>40</v>
      </c>
      <c r="AK817" t="s">
        <v>2684</v>
      </c>
      <c r="AO817" s="1">
        <v>45954</v>
      </c>
      <c r="AP817" s="5">
        <v>0.625</v>
      </c>
      <c r="AS817">
        <v>1</v>
      </c>
    </row>
    <row r="818" spans="1:45" x14ac:dyDescent="0.2">
      <c r="A818">
        <f t="shared" si="50"/>
        <v>2025</v>
      </c>
      <c r="B818">
        <f t="shared" si="51"/>
        <v>10</v>
      </c>
      <c r="C818">
        <f t="shared" si="52"/>
        <v>43</v>
      </c>
      <c r="D818" s="2">
        <f t="shared" si="53"/>
        <v>45954</v>
      </c>
      <c r="E818" s="1">
        <v>45954.666666666664</v>
      </c>
      <c r="F818" t="s">
        <v>2685</v>
      </c>
      <c r="G818" t="s">
        <v>36</v>
      </c>
      <c r="H818">
        <v>461758</v>
      </c>
      <c r="I818" t="s">
        <v>51</v>
      </c>
      <c r="J818" t="s">
        <v>1059</v>
      </c>
      <c r="M818" t="s">
        <v>40</v>
      </c>
      <c r="N818" t="s">
        <v>41</v>
      </c>
      <c r="O818" t="s">
        <v>1060</v>
      </c>
      <c r="P818">
        <v>33</v>
      </c>
      <c r="Q818">
        <v>0</v>
      </c>
      <c r="R818">
        <v>0</v>
      </c>
      <c r="S818">
        <v>0</v>
      </c>
      <c r="T818" t="s">
        <v>54</v>
      </c>
      <c r="U818" t="s">
        <v>55</v>
      </c>
      <c r="W818" t="s">
        <v>2205</v>
      </c>
      <c r="X818" t="s">
        <v>1356</v>
      </c>
      <c r="Y818">
        <v>0</v>
      </c>
      <c r="AA818" t="s">
        <v>40</v>
      </c>
      <c r="AB818" t="s">
        <v>46</v>
      </c>
      <c r="AC818" t="s">
        <v>47</v>
      </c>
      <c r="AG818" t="s">
        <v>2686</v>
      </c>
      <c r="AJ818" t="s">
        <v>40</v>
      </c>
      <c r="AK818">
        <v>5019253008</v>
      </c>
      <c r="AL818" t="s">
        <v>1359</v>
      </c>
      <c r="AM818" t="s">
        <v>2687</v>
      </c>
      <c r="AO818" s="1">
        <v>45954</v>
      </c>
      <c r="AP818" s="5">
        <v>0.66666666666666663</v>
      </c>
      <c r="AS818">
        <v>1</v>
      </c>
    </row>
    <row r="819" spans="1:45" x14ac:dyDescent="0.2">
      <c r="A819">
        <f t="shared" si="50"/>
        <v>2025</v>
      </c>
      <c r="B819">
        <f t="shared" si="51"/>
        <v>10</v>
      </c>
      <c r="C819">
        <f t="shared" si="52"/>
        <v>43</v>
      </c>
      <c r="D819" s="2">
        <f t="shared" si="53"/>
        <v>45954</v>
      </c>
      <c r="E819" s="1">
        <v>45954.666666666664</v>
      </c>
      <c r="F819" t="s">
        <v>2688</v>
      </c>
      <c r="G819" t="s">
        <v>36</v>
      </c>
      <c r="H819">
        <v>457430</v>
      </c>
      <c r="I819" t="s">
        <v>51</v>
      </c>
      <c r="J819" t="s">
        <v>154</v>
      </c>
      <c r="M819" t="s">
        <v>40</v>
      </c>
      <c r="N819" t="s">
        <v>41</v>
      </c>
      <c r="O819" t="s">
        <v>155</v>
      </c>
      <c r="P819">
        <v>33</v>
      </c>
      <c r="Q819">
        <v>0</v>
      </c>
      <c r="R819">
        <v>0</v>
      </c>
      <c r="S819">
        <v>0</v>
      </c>
      <c r="T819" t="s">
        <v>54</v>
      </c>
      <c r="U819" t="s">
        <v>55</v>
      </c>
      <c r="W819" t="s">
        <v>2275</v>
      </c>
      <c r="Y819">
        <v>0</v>
      </c>
      <c r="AA819" t="s">
        <v>40</v>
      </c>
      <c r="AB819" t="s">
        <v>46</v>
      </c>
      <c r="AC819" t="s">
        <v>47</v>
      </c>
      <c r="AG819" t="s">
        <v>2689</v>
      </c>
      <c r="AJ819" t="s">
        <v>40</v>
      </c>
      <c r="AK819">
        <v>5019252975</v>
      </c>
      <c r="AO819" s="1">
        <v>45954</v>
      </c>
      <c r="AP819" s="5">
        <v>0.66666666666666663</v>
      </c>
      <c r="AS819">
        <v>1</v>
      </c>
    </row>
    <row r="820" spans="1:45" x14ac:dyDescent="0.2">
      <c r="A820">
        <f t="shared" si="50"/>
        <v>2025</v>
      </c>
      <c r="B820">
        <f t="shared" si="51"/>
        <v>10</v>
      </c>
      <c r="C820">
        <f t="shared" si="52"/>
        <v>43</v>
      </c>
      <c r="D820" s="2">
        <f t="shared" si="53"/>
        <v>45954</v>
      </c>
      <c r="E820" s="1">
        <v>45954.666666666664</v>
      </c>
      <c r="F820" t="s">
        <v>2690</v>
      </c>
      <c r="G820" t="s">
        <v>36</v>
      </c>
      <c r="H820" t="s">
        <v>2691</v>
      </c>
      <c r="I820" t="s">
        <v>78</v>
      </c>
      <c r="J820" t="s">
        <v>355</v>
      </c>
      <c r="M820" t="s">
        <v>40</v>
      </c>
      <c r="N820" t="s">
        <v>41</v>
      </c>
      <c r="O820" t="s">
        <v>356</v>
      </c>
      <c r="P820">
        <v>66</v>
      </c>
      <c r="Q820">
        <v>0</v>
      </c>
      <c r="R820">
        <v>0</v>
      </c>
      <c r="S820">
        <v>0</v>
      </c>
      <c r="T820" t="s">
        <v>54</v>
      </c>
      <c r="U820" t="s">
        <v>55</v>
      </c>
      <c r="W820" t="s">
        <v>2692</v>
      </c>
      <c r="Y820">
        <v>0</v>
      </c>
      <c r="AA820" t="s">
        <v>40</v>
      </c>
      <c r="AB820" t="s">
        <v>46</v>
      </c>
      <c r="AC820" t="s">
        <v>47</v>
      </c>
      <c r="AD820" t="s">
        <v>81</v>
      </c>
      <c r="AE820" t="s">
        <v>81</v>
      </c>
      <c r="AG820" t="s">
        <v>2693</v>
      </c>
      <c r="AJ820" t="s">
        <v>40</v>
      </c>
      <c r="AK820" t="s">
        <v>2694</v>
      </c>
      <c r="AO820" s="1">
        <v>45954</v>
      </c>
      <c r="AP820" s="5">
        <v>0.66666666666666663</v>
      </c>
      <c r="AS820">
        <v>1</v>
      </c>
    </row>
    <row r="821" spans="1:45" x14ac:dyDescent="0.2">
      <c r="A821">
        <f t="shared" si="50"/>
        <v>2025</v>
      </c>
      <c r="B821">
        <f t="shared" si="51"/>
        <v>10</v>
      </c>
      <c r="C821">
        <f t="shared" si="52"/>
        <v>43</v>
      </c>
      <c r="D821" s="2">
        <f t="shared" si="53"/>
        <v>45954</v>
      </c>
      <c r="E821" s="1">
        <v>45954.666666666664</v>
      </c>
      <c r="F821" t="s">
        <v>2695</v>
      </c>
      <c r="G821" t="s">
        <v>36</v>
      </c>
      <c r="H821" t="s">
        <v>320</v>
      </c>
      <c r="I821" t="s">
        <v>38</v>
      </c>
      <c r="J821" t="s">
        <v>321</v>
      </c>
      <c r="M821" t="s">
        <v>40</v>
      </c>
      <c r="N821" t="s">
        <v>41</v>
      </c>
      <c r="O821" t="s">
        <v>42</v>
      </c>
      <c r="P821">
        <v>33</v>
      </c>
      <c r="Q821">
        <v>0</v>
      </c>
      <c r="R821">
        <v>0</v>
      </c>
      <c r="S821">
        <v>0</v>
      </c>
      <c r="T821">
        <v>5019221376</v>
      </c>
      <c r="U821" t="s">
        <v>44</v>
      </c>
      <c r="W821" t="s">
        <v>2433</v>
      </c>
      <c r="Y821">
        <v>0</v>
      </c>
      <c r="AA821" t="s">
        <v>40</v>
      </c>
      <c r="AB821" t="s">
        <v>46</v>
      </c>
      <c r="AC821" t="s">
        <v>47</v>
      </c>
      <c r="AF821" t="s">
        <v>322</v>
      </c>
      <c r="AJ821" t="s">
        <v>40</v>
      </c>
      <c r="AK821" t="s">
        <v>49</v>
      </c>
      <c r="AO821" s="1">
        <v>45954</v>
      </c>
      <c r="AP821" s="5">
        <v>0.66666666666666663</v>
      </c>
      <c r="AS821">
        <v>1</v>
      </c>
    </row>
    <row r="822" spans="1:45" x14ac:dyDescent="0.2">
      <c r="A822">
        <f t="shared" si="50"/>
        <v>2025</v>
      </c>
      <c r="B822">
        <f t="shared" si="51"/>
        <v>10</v>
      </c>
      <c r="C822">
        <f t="shared" si="52"/>
        <v>43</v>
      </c>
      <c r="D822" s="2">
        <f t="shared" si="53"/>
        <v>45954</v>
      </c>
      <c r="E822" s="1">
        <v>45954.708333333336</v>
      </c>
      <c r="F822" t="s">
        <v>2696</v>
      </c>
      <c r="G822" t="s">
        <v>36</v>
      </c>
      <c r="H822">
        <v>457404</v>
      </c>
      <c r="I822" t="s">
        <v>51</v>
      </c>
      <c r="J822" t="s">
        <v>188</v>
      </c>
      <c r="M822" t="s">
        <v>40</v>
      </c>
      <c r="N822" t="s">
        <v>41</v>
      </c>
      <c r="O822" t="s">
        <v>172</v>
      </c>
      <c r="P822">
        <v>33</v>
      </c>
      <c r="Q822">
        <v>0</v>
      </c>
      <c r="R822">
        <v>0</v>
      </c>
      <c r="S822">
        <v>0</v>
      </c>
      <c r="T822" t="s">
        <v>54</v>
      </c>
      <c r="U822" t="s">
        <v>55</v>
      </c>
      <c r="W822" t="s">
        <v>2427</v>
      </c>
      <c r="Y822">
        <v>0</v>
      </c>
      <c r="AA822" t="s">
        <v>40</v>
      </c>
      <c r="AB822" t="s">
        <v>46</v>
      </c>
      <c r="AC822" t="s">
        <v>47</v>
      </c>
      <c r="AG822" t="s">
        <v>2697</v>
      </c>
      <c r="AJ822" t="s">
        <v>40</v>
      </c>
      <c r="AK822">
        <v>5019243735</v>
      </c>
      <c r="AO822" s="1">
        <v>45954</v>
      </c>
      <c r="AP822" s="5">
        <v>0.70833333333333337</v>
      </c>
      <c r="AS822">
        <v>1</v>
      </c>
    </row>
    <row r="823" spans="1:45" x14ac:dyDescent="0.2">
      <c r="A823">
        <f t="shared" si="50"/>
        <v>2025</v>
      </c>
      <c r="B823">
        <f t="shared" si="51"/>
        <v>10</v>
      </c>
      <c r="C823">
        <f t="shared" si="52"/>
        <v>43</v>
      </c>
      <c r="D823" s="2">
        <f t="shared" si="53"/>
        <v>45954</v>
      </c>
      <c r="E823" s="1">
        <v>45954.708333333336</v>
      </c>
      <c r="F823" t="s">
        <v>2698</v>
      </c>
      <c r="G823" t="s">
        <v>36</v>
      </c>
      <c r="H823">
        <v>463807</v>
      </c>
      <c r="I823" t="s">
        <v>51</v>
      </c>
      <c r="J823" t="s">
        <v>163</v>
      </c>
      <c r="M823" t="s">
        <v>40</v>
      </c>
      <c r="N823" t="s">
        <v>41</v>
      </c>
      <c r="O823" t="s">
        <v>2699</v>
      </c>
      <c r="P823">
        <v>33</v>
      </c>
      <c r="Q823">
        <v>0</v>
      </c>
      <c r="R823">
        <v>0</v>
      </c>
      <c r="S823">
        <v>0</v>
      </c>
      <c r="T823" t="s">
        <v>54</v>
      </c>
      <c r="U823" t="s">
        <v>55</v>
      </c>
      <c r="W823" t="s">
        <v>2205</v>
      </c>
      <c r="Y823">
        <v>0</v>
      </c>
      <c r="AA823" t="s">
        <v>40</v>
      </c>
      <c r="AB823" t="s">
        <v>46</v>
      </c>
      <c r="AC823" t="s">
        <v>47</v>
      </c>
      <c r="AG823" t="s">
        <v>2700</v>
      </c>
      <c r="AJ823" t="s">
        <v>40</v>
      </c>
      <c r="AK823">
        <v>5019230317</v>
      </c>
      <c r="AO823" s="1">
        <v>45954</v>
      </c>
      <c r="AP823" s="5">
        <v>0.70833333333333337</v>
      </c>
      <c r="AS823">
        <v>1</v>
      </c>
    </row>
    <row r="824" spans="1:45" x14ac:dyDescent="0.2">
      <c r="A824">
        <f t="shared" si="50"/>
        <v>2025</v>
      </c>
      <c r="B824">
        <f t="shared" si="51"/>
        <v>10</v>
      </c>
      <c r="C824">
        <f t="shared" si="52"/>
        <v>44</v>
      </c>
      <c r="D824" s="2">
        <f t="shared" si="53"/>
        <v>45957</v>
      </c>
      <c r="E824" s="1">
        <v>45957.25</v>
      </c>
      <c r="F824" t="s">
        <v>2701</v>
      </c>
      <c r="G824" t="s">
        <v>36</v>
      </c>
      <c r="H824">
        <v>464640</v>
      </c>
      <c r="I824" t="s">
        <v>51</v>
      </c>
      <c r="J824" t="s">
        <v>52</v>
      </c>
      <c r="M824" t="s">
        <v>40</v>
      </c>
      <c r="N824" t="s">
        <v>41</v>
      </c>
      <c r="O824" t="s">
        <v>53</v>
      </c>
      <c r="P824">
        <v>33</v>
      </c>
      <c r="Q824">
        <v>0</v>
      </c>
      <c r="R824">
        <v>0</v>
      </c>
      <c r="S824">
        <v>0</v>
      </c>
      <c r="T824" t="s">
        <v>54</v>
      </c>
      <c r="U824" t="s">
        <v>55</v>
      </c>
      <c r="W824" t="s">
        <v>2702</v>
      </c>
      <c r="Y824">
        <v>0</v>
      </c>
      <c r="AA824" t="s">
        <v>40</v>
      </c>
      <c r="AB824" t="s">
        <v>46</v>
      </c>
      <c r="AC824" t="s">
        <v>47</v>
      </c>
      <c r="AG824" t="s">
        <v>2703</v>
      </c>
      <c r="AJ824" t="s">
        <v>40</v>
      </c>
      <c r="AK824">
        <v>5019263482</v>
      </c>
      <c r="AO824" s="1">
        <v>45957</v>
      </c>
      <c r="AP824" s="5">
        <v>0.25</v>
      </c>
      <c r="AS824">
        <v>1</v>
      </c>
    </row>
    <row r="825" spans="1:45" x14ac:dyDescent="0.2">
      <c r="A825">
        <f t="shared" si="50"/>
        <v>2025</v>
      </c>
      <c r="B825">
        <f t="shared" si="51"/>
        <v>10</v>
      </c>
      <c r="C825">
        <f t="shared" si="52"/>
        <v>44</v>
      </c>
      <c r="D825" s="2">
        <f t="shared" si="53"/>
        <v>45957</v>
      </c>
      <c r="E825" s="1">
        <v>45957.291666666664</v>
      </c>
      <c r="F825" t="s">
        <v>2704</v>
      </c>
      <c r="G825" t="s">
        <v>36</v>
      </c>
      <c r="H825" t="s">
        <v>2705</v>
      </c>
      <c r="I825" t="s">
        <v>2706</v>
      </c>
      <c r="J825" t="s">
        <v>99</v>
      </c>
      <c r="M825" t="s">
        <v>40</v>
      </c>
      <c r="N825" t="s">
        <v>41</v>
      </c>
      <c r="O825" t="s">
        <v>2707</v>
      </c>
      <c r="P825">
        <v>24</v>
      </c>
      <c r="Q825">
        <v>0</v>
      </c>
      <c r="R825">
        <v>0</v>
      </c>
      <c r="S825">
        <v>0</v>
      </c>
      <c r="T825" t="s">
        <v>2708</v>
      </c>
      <c r="U825" t="s">
        <v>44</v>
      </c>
      <c r="W825" t="s">
        <v>2709</v>
      </c>
      <c r="Y825">
        <v>0</v>
      </c>
      <c r="AA825" t="s">
        <v>40</v>
      </c>
      <c r="AB825" t="s">
        <v>46</v>
      </c>
      <c r="AC825" t="s">
        <v>47</v>
      </c>
      <c r="AD825" t="s">
        <v>166</v>
      </c>
      <c r="AE825" t="s">
        <v>166</v>
      </c>
      <c r="AF825" t="s">
        <v>367</v>
      </c>
      <c r="AG825" t="s">
        <v>166</v>
      </c>
      <c r="AJ825" t="s">
        <v>40</v>
      </c>
      <c r="AK825" t="s">
        <v>49</v>
      </c>
      <c r="AL825" t="s">
        <v>1045</v>
      </c>
      <c r="AM825" t="s">
        <v>1045</v>
      </c>
      <c r="AN825" t="s">
        <v>1045</v>
      </c>
      <c r="AO825" s="1">
        <v>45957</v>
      </c>
      <c r="AP825" s="5">
        <v>0.29166666666666669</v>
      </c>
      <c r="AS825">
        <v>1</v>
      </c>
    </row>
    <row r="826" spans="1:45" x14ac:dyDescent="0.2">
      <c r="A826">
        <f t="shared" si="50"/>
        <v>2025</v>
      </c>
      <c r="B826">
        <f t="shared" si="51"/>
        <v>10</v>
      </c>
      <c r="C826">
        <f t="shared" si="52"/>
        <v>44</v>
      </c>
      <c r="D826" s="2">
        <f t="shared" si="53"/>
        <v>45957</v>
      </c>
      <c r="E826" s="1">
        <v>45957.291666666664</v>
      </c>
      <c r="F826" t="s">
        <v>2710</v>
      </c>
      <c r="G826" t="s">
        <v>36</v>
      </c>
      <c r="H826" t="s">
        <v>253</v>
      </c>
      <c r="I826" t="s">
        <v>38</v>
      </c>
      <c r="J826" t="s">
        <v>254</v>
      </c>
      <c r="M826" t="s">
        <v>40</v>
      </c>
      <c r="N826" t="s">
        <v>41</v>
      </c>
      <c r="O826" t="s">
        <v>42</v>
      </c>
      <c r="P826">
        <v>1</v>
      </c>
      <c r="Q826">
        <v>0</v>
      </c>
      <c r="R826">
        <v>0</v>
      </c>
      <c r="S826">
        <v>0</v>
      </c>
      <c r="T826" t="s">
        <v>2711</v>
      </c>
      <c r="U826" t="s">
        <v>101</v>
      </c>
      <c r="W826" t="s">
        <v>2712</v>
      </c>
      <c r="Y826">
        <v>0</v>
      </c>
      <c r="AA826" t="s">
        <v>40</v>
      </c>
      <c r="AB826" t="s">
        <v>46</v>
      </c>
      <c r="AC826" t="s">
        <v>47</v>
      </c>
      <c r="AF826" t="s">
        <v>48</v>
      </c>
      <c r="AJ826" t="s">
        <v>40</v>
      </c>
      <c r="AK826" t="s">
        <v>49</v>
      </c>
      <c r="AO826" s="1">
        <v>45957</v>
      </c>
      <c r="AP826" s="5">
        <v>0.29166666666666669</v>
      </c>
      <c r="AS826">
        <v>1</v>
      </c>
    </row>
    <row r="827" spans="1:45" x14ac:dyDescent="0.2">
      <c r="A827">
        <f t="shared" si="50"/>
        <v>2025</v>
      </c>
      <c r="B827">
        <f t="shared" si="51"/>
        <v>10</v>
      </c>
      <c r="C827">
        <f t="shared" si="52"/>
        <v>44</v>
      </c>
      <c r="D827" s="2">
        <f t="shared" si="53"/>
        <v>45957</v>
      </c>
      <c r="E827" s="1">
        <v>45957.291666666664</v>
      </c>
      <c r="F827" t="s">
        <v>2713</v>
      </c>
      <c r="G827" t="s">
        <v>36</v>
      </c>
      <c r="H827">
        <v>464668</v>
      </c>
      <c r="I827" t="s">
        <v>51</v>
      </c>
      <c r="J827" t="s">
        <v>52</v>
      </c>
      <c r="M827" t="s">
        <v>40</v>
      </c>
      <c r="N827" t="s">
        <v>41</v>
      </c>
      <c r="O827" t="s">
        <v>53</v>
      </c>
      <c r="P827">
        <v>33</v>
      </c>
      <c r="Q827">
        <v>0</v>
      </c>
      <c r="R827">
        <v>0</v>
      </c>
      <c r="S827">
        <v>0</v>
      </c>
      <c r="T827" t="s">
        <v>54</v>
      </c>
      <c r="U827" t="s">
        <v>55</v>
      </c>
      <c r="W827" t="s">
        <v>2702</v>
      </c>
      <c r="Y827">
        <v>0</v>
      </c>
      <c r="AA827" t="s">
        <v>40</v>
      </c>
      <c r="AB827" t="s">
        <v>46</v>
      </c>
      <c r="AC827" t="s">
        <v>47</v>
      </c>
      <c r="AG827" t="s">
        <v>2714</v>
      </c>
      <c r="AJ827" t="s">
        <v>40</v>
      </c>
      <c r="AK827">
        <v>5019261564</v>
      </c>
      <c r="AO827" s="1">
        <v>45957</v>
      </c>
      <c r="AP827" s="5">
        <v>0.29166666666666669</v>
      </c>
      <c r="AS827">
        <v>1</v>
      </c>
    </row>
    <row r="828" spans="1:45" x14ac:dyDescent="0.2">
      <c r="A828">
        <f t="shared" si="50"/>
        <v>2025</v>
      </c>
      <c r="B828">
        <f t="shared" si="51"/>
        <v>10</v>
      </c>
      <c r="C828">
        <f t="shared" si="52"/>
        <v>44</v>
      </c>
      <c r="D828" s="2">
        <f t="shared" si="53"/>
        <v>45957</v>
      </c>
      <c r="E828" s="1">
        <v>45957.333333333336</v>
      </c>
      <c r="F828" t="s">
        <v>2715</v>
      </c>
      <c r="G828" t="s">
        <v>36</v>
      </c>
      <c r="H828" t="s">
        <v>2716</v>
      </c>
      <c r="I828" t="s">
        <v>78</v>
      </c>
      <c r="J828" t="s">
        <v>144</v>
      </c>
      <c r="M828" t="s">
        <v>40</v>
      </c>
      <c r="N828" t="s">
        <v>41</v>
      </c>
      <c r="O828" t="s">
        <v>145</v>
      </c>
      <c r="P828">
        <v>66</v>
      </c>
      <c r="Q828">
        <v>0</v>
      </c>
      <c r="R828">
        <v>0</v>
      </c>
      <c r="S828">
        <v>0</v>
      </c>
      <c r="T828" t="s">
        <v>54</v>
      </c>
      <c r="U828" t="s">
        <v>55</v>
      </c>
      <c r="W828" t="s">
        <v>2717</v>
      </c>
      <c r="Y828">
        <v>0</v>
      </c>
      <c r="AA828" t="s">
        <v>40</v>
      </c>
      <c r="AB828" t="s">
        <v>46</v>
      </c>
      <c r="AC828" t="s">
        <v>47</v>
      </c>
      <c r="AD828" t="s">
        <v>81</v>
      </c>
      <c r="AE828" t="s">
        <v>81</v>
      </c>
      <c r="AG828" t="s">
        <v>2718</v>
      </c>
      <c r="AJ828" t="s">
        <v>40</v>
      </c>
      <c r="AK828" t="s">
        <v>2719</v>
      </c>
      <c r="AO828" s="1">
        <v>45957</v>
      </c>
      <c r="AP828" s="5">
        <v>0.33333333333333331</v>
      </c>
      <c r="AS828">
        <v>1</v>
      </c>
    </row>
    <row r="829" spans="1:45" x14ac:dyDescent="0.2">
      <c r="A829">
        <f t="shared" si="50"/>
        <v>2025</v>
      </c>
      <c r="B829">
        <f t="shared" si="51"/>
        <v>10</v>
      </c>
      <c r="C829">
        <f t="shared" si="52"/>
        <v>44</v>
      </c>
      <c r="D829" s="2">
        <f t="shared" si="53"/>
        <v>45957</v>
      </c>
      <c r="E829" s="1">
        <v>45957.333333333336</v>
      </c>
      <c r="F829" t="s">
        <v>2720</v>
      </c>
      <c r="G829" t="s">
        <v>36</v>
      </c>
      <c r="H829">
        <v>463917</v>
      </c>
      <c r="I829" t="s">
        <v>51</v>
      </c>
      <c r="J829" t="s">
        <v>52</v>
      </c>
      <c r="M829" t="s">
        <v>40</v>
      </c>
      <c r="N829" t="s">
        <v>41</v>
      </c>
      <c r="O829" t="s">
        <v>433</v>
      </c>
      <c r="P829">
        <v>33</v>
      </c>
      <c r="Q829">
        <v>0</v>
      </c>
      <c r="R829">
        <v>0</v>
      </c>
      <c r="S829">
        <v>0</v>
      </c>
      <c r="T829" t="s">
        <v>54</v>
      </c>
      <c r="U829" t="s">
        <v>55</v>
      </c>
      <c r="W829" t="s">
        <v>2721</v>
      </c>
      <c r="Y829">
        <v>0</v>
      </c>
      <c r="AA829" t="s">
        <v>40</v>
      </c>
      <c r="AB829" t="s">
        <v>46</v>
      </c>
      <c r="AC829" t="s">
        <v>47</v>
      </c>
      <c r="AG829" t="s">
        <v>2722</v>
      </c>
      <c r="AJ829" t="s">
        <v>40</v>
      </c>
      <c r="AK829">
        <v>5019244238</v>
      </c>
      <c r="AO829" s="1">
        <v>45957</v>
      </c>
      <c r="AP829" s="5">
        <v>0.33333333333333331</v>
      </c>
      <c r="AS829">
        <v>1</v>
      </c>
    </row>
    <row r="830" spans="1:45" x14ac:dyDescent="0.2">
      <c r="A830">
        <f t="shared" si="50"/>
        <v>2025</v>
      </c>
      <c r="B830">
        <f t="shared" si="51"/>
        <v>10</v>
      </c>
      <c r="C830">
        <f t="shared" si="52"/>
        <v>44</v>
      </c>
      <c r="D830" s="2">
        <f t="shared" si="53"/>
        <v>45957</v>
      </c>
      <c r="E830" s="1">
        <v>45957.375</v>
      </c>
      <c r="F830" t="s">
        <v>2723</v>
      </c>
      <c r="G830" t="s">
        <v>36</v>
      </c>
      <c r="H830" t="s">
        <v>1167</v>
      </c>
      <c r="I830" t="s">
        <v>38</v>
      </c>
      <c r="J830" t="s">
        <v>2724</v>
      </c>
      <c r="M830" t="s">
        <v>40</v>
      </c>
      <c r="N830" t="s">
        <v>41</v>
      </c>
      <c r="O830" t="s">
        <v>42</v>
      </c>
      <c r="P830">
        <v>1</v>
      </c>
      <c r="Q830">
        <v>0</v>
      </c>
      <c r="R830">
        <v>0</v>
      </c>
      <c r="S830">
        <v>0</v>
      </c>
      <c r="T830">
        <v>5019141795</v>
      </c>
      <c r="U830" t="s">
        <v>101</v>
      </c>
      <c r="W830" t="s">
        <v>2567</v>
      </c>
      <c r="Y830">
        <v>0</v>
      </c>
      <c r="AA830" t="s">
        <v>40</v>
      </c>
      <c r="AB830" t="s">
        <v>46</v>
      </c>
      <c r="AC830" t="s">
        <v>47</v>
      </c>
      <c r="AF830" t="s">
        <v>2725</v>
      </c>
      <c r="AJ830" t="s">
        <v>40</v>
      </c>
      <c r="AK830" t="s">
        <v>49</v>
      </c>
      <c r="AO830" s="1">
        <v>45957</v>
      </c>
      <c r="AP830" s="5">
        <v>0.375</v>
      </c>
      <c r="AS830">
        <v>1</v>
      </c>
    </row>
    <row r="831" spans="1:45" x14ac:dyDescent="0.2">
      <c r="A831">
        <f t="shared" si="50"/>
        <v>2025</v>
      </c>
      <c r="B831">
        <f t="shared" si="51"/>
        <v>10</v>
      </c>
      <c r="C831">
        <f t="shared" si="52"/>
        <v>44</v>
      </c>
      <c r="D831" s="2">
        <f t="shared" si="53"/>
        <v>45957</v>
      </c>
      <c r="E831" s="1">
        <v>45957.375</v>
      </c>
      <c r="F831" t="s">
        <v>2726</v>
      </c>
      <c r="G831" t="s">
        <v>36</v>
      </c>
      <c r="H831" t="s">
        <v>2727</v>
      </c>
      <c r="I831" t="s">
        <v>38</v>
      </c>
      <c r="J831" t="s">
        <v>645</v>
      </c>
      <c r="M831" t="s">
        <v>40</v>
      </c>
      <c r="N831" t="s">
        <v>41</v>
      </c>
      <c r="O831" t="s">
        <v>42</v>
      </c>
      <c r="P831">
        <v>20</v>
      </c>
      <c r="Q831">
        <v>0</v>
      </c>
      <c r="R831">
        <v>0</v>
      </c>
      <c r="S831">
        <v>0</v>
      </c>
      <c r="T831">
        <v>5019244720</v>
      </c>
      <c r="U831" t="s">
        <v>44</v>
      </c>
      <c r="W831" t="s">
        <v>2728</v>
      </c>
      <c r="Y831">
        <v>0</v>
      </c>
      <c r="AA831" t="s">
        <v>40</v>
      </c>
      <c r="AB831" t="s">
        <v>46</v>
      </c>
      <c r="AC831" t="s">
        <v>47</v>
      </c>
      <c r="AF831" t="s">
        <v>62</v>
      </c>
      <c r="AJ831" t="s">
        <v>40</v>
      </c>
      <c r="AK831" t="s">
        <v>49</v>
      </c>
      <c r="AN831">
        <v>260357927</v>
      </c>
      <c r="AO831" s="1">
        <v>45957</v>
      </c>
      <c r="AP831" s="5">
        <v>0.375</v>
      </c>
      <c r="AS831">
        <v>1</v>
      </c>
    </row>
    <row r="832" spans="1:45" x14ac:dyDescent="0.2">
      <c r="A832">
        <f t="shared" si="50"/>
        <v>2025</v>
      </c>
      <c r="B832">
        <f t="shared" si="51"/>
        <v>10</v>
      </c>
      <c r="C832">
        <f t="shared" si="52"/>
        <v>44</v>
      </c>
      <c r="D832" s="2">
        <f t="shared" si="53"/>
        <v>45957</v>
      </c>
      <c r="E832" s="1">
        <v>45957.375</v>
      </c>
      <c r="F832" t="s">
        <v>2729</v>
      </c>
      <c r="G832" t="s">
        <v>36</v>
      </c>
      <c r="H832" t="s">
        <v>264</v>
      </c>
      <c r="I832" t="s">
        <v>38</v>
      </c>
      <c r="J832" t="s">
        <v>265</v>
      </c>
      <c r="M832" t="s">
        <v>40</v>
      </c>
      <c r="N832" t="s">
        <v>41</v>
      </c>
      <c r="O832" t="s">
        <v>42</v>
      </c>
      <c r="P832">
        <v>23</v>
      </c>
      <c r="Q832">
        <v>0</v>
      </c>
      <c r="R832">
        <v>0</v>
      </c>
      <c r="S832">
        <v>0</v>
      </c>
      <c r="T832" t="s">
        <v>2730</v>
      </c>
      <c r="U832" t="s">
        <v>55</v>
      </c>
      <c r="W832" t="s">
        <v>2731</v>
      </c>
      <c r="Y832">
        <v>0</v>
      </c>
      <c r="AA832" t="s">
        <v>40</v>
      </c>
      <c r="AB832" t="s">
        <v>46</v>
      </c>
      <c r="AC832" t="s">
        <v>47</v>
      </c>
      <c r="AF832" t="s">
        <v>48</v>
      </c>
      <c r="AJ832" t="s">
        <v>40</v>
      </c>
      <c r="AK832" t="s">
        <v>49</v>
      </c>
      <c r="AO832" s="1">
        <v>45957</v>
      </c>
      <c r="AP832" s="5">
        <v>0.375</v>
      </c>
      <c r="AS832">
        <v>1</v>
      </c>
    </row>
    <row r="833" spans="1:45" x14ac:dyDescent="0.2">
      <c r="A833">
        <f t="shared" si="50"/>
        <v>2025</v>
      </c>
      <c r="B833">
        <f t="shared" si="51"/>
        <v>10</v>
      </c>
      <c r="C833">
        <f t="shared" si="52"/>
        <v>44</v>
      </c>
      <c r="D833" s="2">
        <f t="shared" si="53"/>
        <v>45957</v>
      </c>
      <c r="E833" s="1">
        <v>45957.416666666664</v>
      </c>
      <c r="F833" t="s">
        <v>2732</v>
      </c>
      <c r="G833" t="s">
        <v>36</v>
      </c>
      <c r="H833" t="s">
        <v>2733</v>
      </c>
      <c r="I833" t="s">
        <v>78</v>
      </c>
      <c r="J833" t="s">
        <v>52</v>
      </c>
      <c r="M833" t="s">
        <v>40</v>
      </c>
      <c r="N833" t="s">
        <v>41</v>
      </c>
      <c r="O833" t="s">
        <v>145</v>
      </c>
      <c r="P833">
        <v>66</v>
      </c>
      <c r="Q833">
        <v>0</v>
      </c>
      <c r="R833">
        <v>0</v>
      </c>
      <c r="S833">
        <v>0</v>
      </c>
      <c r="T833" t="s">
        <v>54</v>
      </c>
      <c r="U833" t="s">
        <v>55</v>
      </c>
      <c r="W833" t="s">
        <v>2734</v>
      </c>
      <c r="Y833">
        <v>0</v>
      </c>
      <c r="AA833" t="s">
        <v>40</v>
      </c>
      <c r="AB833" t="s">
        <v>46</v>
      </c>
      <c r="AC833" t="s">
        <v>47</v>
      </c>
      <c r="AD833" t="s">
        <v>81</v>
      </c>
      <c r="AE833" t="s">
        <v>81</v>
      </c>
      <c r="AG833" t="s">
        <v>2735</v>
      </c>
      <c r="AJ833" t="s">
        <v>40</v>
      </c>
      <c r="AK833" t="s">
        <v>2736</v>
      </c>
      <c r="AO833" s="1">
        <v>45957</v>
      </c>
      <c r="AP833" s="5">
        <v>0.41666666666666669</v>
      </c>
      <c r="AS833">
        <v>1</v>
      </c>
    </row>
    <row r="834" spans="1:45" x14ac:dyDescent="0.2">
      <c r="A834">
        <f t="shared" ref="A834:A897" si="54">YEAR(D834)</f>
        <v>2025</v>
      </c>
      <c r="B834">
        <f t="shared" ref="B834:B897" si="55">MONTH(D834)</f>
        <v>10</v>
      </c>
      <c r="C834">
        <f t="shared" ref="C834:C897" si="56">WEEKNUM(D834)</f>
        <v>44</v>
      </c>
      <c r="D834" s="2">
        <f t="shared" ref="D834:D897" si="57">INT(E834)</f>
        <v>45957</v>
      </c>
      <c r="E834" s="1">
        <v>45957.416666666664</v>
      </c>
      <c r="F834" t="s">
        <v>2737</v>
      </c>
      <c r="G834" t="s">
        <v>36</v>
      </c>
      <c r="H834">
        <v>462527</v>
      </c>
      <c r="I834" t="s">
        <v>51</v>
      </c>
      <c r="J834" t="s">
        <v>200</v>
      </c>
      <c r="M834" t="s">
        <v>40</v>
      </c>
      <c r="N834" t="s">
        <v>41</v>
      </c>
      <c r="O834" t="s">
        <v>182</v>
      </c>
      <c r="P834">
        <v>33</v>
      </c>
      <c r="Q834">
        <v>0</v>
      </c>
      <c r="R834">
        <v>0</v>
      </c>
      <c r="S834">
        <v>0</v>
      </c>
      <c r="T834" t="s">
        <v>54</v>
      </c>
      <c r="U834" t="s">
        <v>55</v>
      </c>
      <c r="W834" t="s">
        <v>2738</v>
      </c>
      <c r="Y834">
        <v>0</v>
      </c>
      <c r="AA834" t="s">
        <v>40</v>
      </c>
      <c r="AB834" t="s">
        <v>46</v>
      </c>
      <c r="AC834" t="s">
        <v>47</v>
      </c>
      <c r="AG834" t="s">
        <v>2739</v>
      </c>
      <c r="AJ834" t="s">
        <v>40</v>
      </c>
      <c r="AK834">
        <v>5019250670</v>
      </c>
      <c r="AO834" s="1">
        <v>45957</v>
      </c>
      <c r="AP834" s="5">
        <v>0.41666666666666669</v>
      </c>
      <c r="AS834">
        <v>1</v>
      </c>
    </row>
    <row r="835" spans="1:45" x14ac:dyDescent="0.2">
      <c r="A835">
        <f t="shared" si="54"/>
        <v>2025</v>
      </c>
      <c r="B835">
        <f t="shared" si="55"/>
        <v>10</v>
      </c>
      <c r="C835">
        <f t="shared" si="56"/>
        <v>44</v>
      </c>
      <c r="D835" s="2">
        <f t="shared" si="57"/>
        <v>45957</v>
      </c>
      <c r="E835" s="1">
        <v>45957.416666666664</v>
      </c>
      <c r="F835" t="s">
        <v>2740</v>
      </c>
      <c r="G835" t="s">
        <v>36</v>
      </c>
      <c r="H835" t="s">
        <v>1586</v>
      </c>
      <c r="I835" t="s">
        <v>38</v>
      </c>
      <c r="J835" t="s">
        <v>451</v>
      </c>
      <c r="M835" t="s">
        <v>40</v>
      </c>
      <c r="N835" t="s">
        <v>41</v>
      </c>
      <c r="O835" t="s">
        <v>42</v>
      </c>
      <c r="P835">
        <v>17</v>
      </c>
      <c r="Q835">
        <v>0</v>
      </c>
      <c r="R835">
        <v>0</v>
      </c>
      <c r="S835">
        <v>0</v>
      </c>
      <c r="T835" t="s">
        <v>2741</v>
      </c>
      <c r="U835" t="s">
        <v>44</v>
      </c>
      <c r="W835" t="s">
        <v>2731</v>
      </c>
      <c r="Y835">
        <v>0</v>
      </c>
      <c r="AA835" t="s">
        <v>40</v>
      </c>
      <c r="AB835" t="s">
        <v>46</v>
      </c>
      <c r="AC835" t="s">
        <v>47</v>
      </c>
      <c r="AF835" t="s">
        <v>48</v>
      </c>
      <c r="AJ835" t="s">
        <v>40</v>
      </c>
      <c r="AK835" t="s">
        <v>49</v>
      </c>
      <c r="AO835" s="1">
        <v>45957</v>
      </c>
      <c r="AP835" s="5">
        <v>0.41666666666666669</v>
      </c>
      <c r="AS835">
        <v>1</v>
      </c>
    </row>
    <row r="836" spans="1:45" x14ac:dyDescent="0.2">
      <c r="A836">
        <f t="shared" si="54"/>
        <v>2025</v>
      </c>
      <c r="B836">
        <f t="shared" si="55"/>
        <v>10</v>
      </c>
      <c r="C836">
        <f t="shared" si="56"/>
        <v>44</v>
      </c>
      <c r="D836" s="2">
        <f t="shared" si="57"/>
        <v>45957</v>
      </c>
      <c r="E836" s="1">
        <v>45957.416666666664</v>
      </c>
      <c r="F836" t="s">
        <v>2742</v>
      </c>
      <c r="G836" t="s">
        <v>36</v>
      </c>
      <c r="H836" t="s">
        <v>2743</v>
      </c>
      <c r="I836" t="s">
        <v>38</v>
      </c>
      <c r="J836" t="s">
        <v>2744</v>
      </c>
      <c r="M836" t="s">
        <v>40</v>
      </c>
      <c r="N836" t="s">
        <v>41</v>
      </c>
      <c r="O836" t="s">
        <v>42</v>
      </c>
      <c r="P836">
        <v>18</v>
      </c>
      <c r="Q836">
        <v>0</v>
      </c>
      <c r="R836">
        <v>0</v>
      </c>
      <c r="S836">
        <v>0</v>
      </c>
      <c r="T836" t="s">
        <v>2745</v>
      </c>
      <c r="U836" t="s">
        <v>44</v>
      </c>
      <c r="W836" t="s">
        <v>2567</v>
      </c>
      <c r="Y836">
        <v>0</v>
      </c>
      <c r="AA836" t="s">
        <v>40</v>
      </c>
      <c r="AB836" t="s">
        <v>46</v>
      </c>
      <c r="AC836" t="s">
        <v>47</v>
      </c>
      <c r="AF836" t="s">
        <v>2746</v>
      </c>
      <c r="AJ836" t="s">
        <v>40</v>
      </c>
      <c r="AK836" t="s">
        <v>49</v>
      </c>
      <c r="AO836" s="1">
        <v>45957</v>
      </c>
      <c r="AP836" s="5">
        <v>0.41666666666666669</v>
      </c>
      <c r="AS836">
        <v>1</v>
      </c>
    </row>
    <row r="837" spans="1:45" x14ac:dyDescent="0.2">
      <c r="A837">
        <f t="shared" si="54"/>
        <v>2025</v>
      </c>
      <c r="B837">
        <f t="shared" si="55"/>
        <v>10</v>
      </c>
      <c r="C837">
        <f t="shared" si="56"/>
        <v>44</v>
      </c>
      <c r="D837" s="2">
        <f t="shared" si="57"/>
        <v>45957</v>
      </c>
      <c r="E837" s="1">
        <v>45957.458333333336</v>
      </c>
      <c r="F837" t="s">
        <v>2747</v>
      </c>
      <c r="G837" t="s">
        <v>36</v>
      </c>
      <c r="H837" t="s">
        <v>2748</v>
      </c>
      <c r="I837" t="s">
        <v>38</v>
      </c>
      <c r="J837" t="s">
        <v>140</v>
      </c>
      <c r="M837" t="s">
        <v>40</v>
      </c>
      <c r="N837" t="s">
        <v>41</v>
      </c>
      <c r="O837" t="s">
        <v>42</v>
      </c>
      <c r="P837">
        <v>30</v>
      </c>
      <c r="Q837">
        <v>0</v>
      </c>
      <c r="R837">
        <v>0</v>
      </c>
      <c r="S837">
        <v>0</v>
      </c>
      <c r="T837" t="s">
        <v>2749</v>
      </c>
      <c r="U837" t="s">
        <v>44</v>
      </c>
      <c r="W837" t="s">
        <v>2567</v>
      </c>
      <c r="Y837">
        <v>0</v>
      </c>
      <c r="AA837" t="s">
        <v>40</v>
      </c>
      <c r="AB837" t="s">
        <v>46</v>
      </c>
      <c r="AC837" t="s">
        <v>47</v>
      </c>
      <c r="AF837" t="s">
        <v>2750</v>
      </c>
      <c r="AJ837" t="s">
        <v>40</v>
      </c>
      <c r="AK837" t="s">
        <v>49</v>
      </c>
      <c r="AO837" s="1">
        <v>45957</v>
      </c>
      <c r="AP837" s="5">
        <v>0.45833333333333331</v>
      </c>
      <c r="AS837">
        <v>1</v>
      </c>
    </row>
    <row r="838" spans="1:45" x14ac:dyDescent="0.2">
      <c r="A838">
        <f t="shared" si="54"/>
        <v>2025</v>
      </c>
      <c r="B838">
        <f t="shared" si="55"/>
        <v>10</v>
      </c>
      <c r="C838">
        <f t="shared" si="56"/>
        <v>44</v>
      </c>
      <c r="D838" s="2">
        <f t="shared" si="57"/>
        <v>45957</v>
      </c>
      <c r="E838" s="1">
        <v>45957.458333333336</v>
      </c>
      <c r="F838" t="s">
        <v>2751</v>
      </c>
      <c r="G838" t="s">
        <v>36</v>
      </c>
      <c r="H838">
        <v>464636</v>
      </c>
      <c r="I838" t="s">
        <v>51</v>
      </c>
      <c r="J838" t="s">
        <v>52</v>
      </c>
      <c r="M838" t="s">
        <v>40</v>
      </c>
      <c r="N838" t="s">
        <v>41</v>
      </c>
      <c r="O838" t="s">
        <v>53</v>
      </c>
      <c r="P838">
        <v>33</v>
      </c>
      <c r="Q838">
        <v>0</v>
      </c>
      <c r="R838">
        <v>0</v>
      </c>
      <c r="S838">
        <v>0</v>
      </c>
      <c r="T838" t="s">
        <v>54</v>
      </c>
      <c r="U838" t="s">
        <v>55</v>
      </c>
      <c r="W838" t="s">
        <v>2702</v>
      </c>
      <c r="Y838">
        <v>0</v>
      </c>
      <c r="AA838" t="s">
        <v>40</v>
      </c>
      <c r="AB838" t="s">
        <v>46</v>
      </c>
      <c r="AC838" t="s">
        <v>47</v>
      </c>
      <c r="AG838" t="s">
        <v>2752</v>
      </c>
      <c r="AJ838" t="s">
        <v>40</v>
      </c>
      <c r="AK838">
        <v>5019262803</v>
      </c>
      <c r="AO838" s="1">
        <v>45957</v>
      </c>
      <c r="AP838" s="5">
        <v>0.45833333333333331</v>
      </c>
      <c r="AS838">
        <v>1</v>
      </c>
    </row>
    <row r="839" spans="1:45" x14ac:dyDescent="0.2">
      <c r="A839">
        <f t="shared" si="54"/>
        <v>2025</v>
      </c>
      <c r="B839">
        <f t="shared" si="55"/>
        <v>10</v>
      </c>
      <c r="C839">
        <f t="shared" si="56"/>
        <v>44</v>
      </c>
      <c r="D839" s="2">
        <f t="shared" si="57"/>
        <v>45957</v>
      </c>
      <c r="E839" s="1">
        <v>45957.458333333336</v>
      </c>
      <c r="F839" t="s">
        <v>2753</v>
      </c>
      <c r="G839" t="s">
        <v>36</v>
      </c>
      <c r="H839">
        <v>462525</v>
      </c>
      <c r="I839" t="s">
        <v>51</v>
      </c>
      <c r="J839" t="s">
        <v>52</v>
      </c>
      <c r="M839" t="s">
        <v>40</v>
      </c>
      <c r="N839" t="s">
        <v>41</v>
      </c>
      <c r="O839" t="s">
        <v>433</v>
      </c>
      <c r="P839">
        <v>33</v>
      </c>
      <c r="Q839">
        <v>0</v>
      </c>
      <c r="R839">
        <v>0</v>
      </c>
      <c r="S839">
        <v>0</v>
      </c>
      <c r="T839" t="s">
        <v>54</v>
      </c>
      <c r="U839" t="s">
        <v>55</v>
      </c>
      <c r="W839" t="s">
        <v>2754</v>
      </c>
      <c r="Y839">
        <v>0</v>
      </c>
      <c r="AA839" t="s">
        <v>40</v>
      </c>
      <c r="AB839" t="s">
        <v>46</v>
      </c>
      <c r="AC839" t="s">
        <v>47</v>
      </c>
      <c r="AG839" t="s">
        <v>2755</v>
      </c>
      <c r="AJ839" t="s">
        <v>40</v>
      </c>
      <c r="AK839">
        <v>5019257934</v>
      </c>
      <c r="AO839" s="1">
        <v>45957</v>
      </c>
      <c r="AP839" s="5">
        <v>0.45833333333333331</v>
      </c>
      <c r="AS839">
        <v>1</v>
      </c>
    </row>
    <row r="840" spans="1:45" x14ac:dyDescent="0.2">
      <c r="A840">
        <f t="shared" si="54"/>
        <v>2025</v>
      </c>
      <c r="B840">
        <f t="shared" si="55"/>
        <v>10</v>
      </c>
      <c r="C840">
        <f t="shared" si="56"/>
        <v>44</v>
      </c>
      <c r="D840" s="2">
        <f t="shared" si="57"/>
        <v>45957</v>
      </c>
      <c r="E840" s="1">
        <v>45957.5</v>
      </c>
      <c r="F840" t="s">
        <v>2756</v>
      </c>
      <c r="G840" t="s">
        <v>36</v>
      </c>
      <c r="H840" t="s">
        <v>2757</v>
      </c>
      <c r="I840" t="s">
        <v>78</v>
      </c>
      <c r="J840" t="s">
        <v>52</v>
      </c>
      <c r="M840" t="s">
        <v>40</v>
      </c>
      <c r="N840" t="s">
        <v>41</v>
      </c>
      <c r="O840" t="s">
        <v>145</v>
      </c>
      <c r="P840">
        <v>66</v>
      </c>
      <c r="Q840">
        <v>0</v>
      </c>
      <c r="R840">
        <v>0</v>
      </c>
      <c r="S840">
        <v>0</v>
      </c>
      <c r="T840" t="s">
        <v>54</v>
      </c>
      <c r="U840" t="s">
        <v>55</v>
      </c>
      <c r="W840" t="s">
        <v>2702</v>
      </c>
      <c r="Y840">
        <v>0</v>
      </c>
      <c r="AA840" t="s">
        <v>40</v>
      </c>
      <c r="AB840" t="s">
        <v>46</v>
      </c>
      <c r="AC840" t="s">
        <v>47</v>
      </c>
      <c r="AD840" t="s">
        <v>81</v>
      </c>
      <c r="AE840" t="s">
        <v>81</v>
      </c>
      <c r="AG840" t="s">
        <v>2758</v>
      </c>
      <c r="AJ840" t="s">
        <v>40</v>
      </c>
      <c r="AK840" t="s">
        <v>2759</v>
      </c>
      <c r="AO840" s="1">
        <v>45957</v>
      </c>
      <c r="AP840" s="5">
        <v>0.5</v>
      </c>
      <c r="AS840">
        <v>1</v>
      </c>
    </row>
    <row r="841" spans="1:45" x14ac:dyDescent="0.2">
      <c r="A841">
        <f t="shared" si="54"/>
        <v>2025</v>
      </c>
      <c r="B841">
        <f t="shared" si="55"/>
        <v>10</v>
      </c>
      <c r="C841">
        <f t="shared" si="56"/>
        <v>44</v>
      </c>
      <c r="D841" s="2">
        <f t="shared" si="57"/>
        <v>45957</v>
      </c>
      <c r="E841" s="1">
        <v>45957.5</v>
      </c>
      <c r="F841" t="s">
        <v>2760</v>
      </c>
      <c r="G841" t="s">
        <v>36</v>
      </c>
      <c r="H841" t="s">
        <v>111</v>
      </c>
      <c r="I841" t="s">
        <v>38</v>
      </c>
      <c r="J841" t="s">
        <v>112</v>
      </c>
      <c r="M841" t="s">
        <v>40</v>
      </c>
      <c r="N841" t="s">
        <v>41</v>
      </c>
      <c r="O841" t="s">
        <v>42</v>
      </c>
      <c r="P841">
        <v>14</v>
      </c>
      <c r="Q841">
        <v>0</v>
      </c>
      <c r="R841">
        <v>0</v>
      </c>
      <c r="S841">
        <v>0</v>
      </c>
      <c r="T841" t="s">
        <v>2761</v>
      </c>
      <c r="U841" t="s">
        <v>44</v>
      </c>
      <c r="W841" t="s">
        <v>2731</v>
      </c>
      <c r="Y841">
        <v>0</v>
      </c>
      <c r="AA841" t="s">
        <v>40</v>
      </c>
      <c r="AB841" t="s">
        <v>46</v>
      </c>
      <c r="AC841" t="s">
        <v>47</v>
      </c>
      <c r="AF841" t="s">
        <v>48</v>
      </c>
      <c r="AJ841" t="s">
        <v>40</v>
      </c>
      <c r="AK841" t="s">
        <v>49</v>
      </c>
      <c r="AO841" s="1">
        <v>45957</v>
      </c>
      <c r="AP841" s="5">
        <v>0.5</v>
      </c>
      <c r="AS841">
        <v>1</v>
      </c>
    </row>
    <row r="842" spans="1:45" x14ac:dyDescent="0.2">
      <c r="A842">
        <f t="shared" si="54"/>
        <v>2025</v>
      </c>
      <c r="B842">
        <f t="shared" si="55"/>
        <v>10</v>
      </c>
      <c r="C842">
        <f t="shared" si="56"/>
        <v>44</v>
      </c>
      <c r="D842" s="2">
        <f t="shared" si="57"/>
        <v>45957</v>
      </c>
      <c r="E842" s="1">
        <v>45957.5</v>
      </c>
      <c r="F842" t="s">
        <v>2762</v>
      </c>
      <c r="G842" t="s">
        <v>36</v>
      </c>
      <c r="H842" t="s">
        <v>2763</v>
      </c>
      <c r="I842" t="s">
        <v>78</v>
      </c>
      <c r="J842" t="s">
        <v>126</v>
      </c>
      <c r="M842" t="s">
        <v>40</v>
      </c>
      <c r="N842" t="s">
        <v>41</v>
      </c>
      <c r="O842" t="s">
        <v>417</v>
      </c>
      <c r="P842">
        <v>66</v>
      </c>
      <c r="Q842">
        <v>0</v>
      </c>
      <c r="R842">
        <v>0</v>
      </c>
      <c r="S842">
        <v>0</v>
      </c>
      <c r="T842" t="s">
        <v>54</v>
      </c>
      <c r="U842" t="s">
        <v>55</v>
      </c>
      <c r="W842" t="s">
        <v>2764</v>
      </c>
      <c r="X842" t="s">
        <v>2765</v>
      </c>
      <c r="Y842">
        <v>0</v>
      </c>
      <c r="AA842" t="s">
        <v>40</v>
      </c>
      <c r="AB842" t="s">
        <v>46</v>
      </c>
      <c r="AC842" t="s">
        <v>47</v>
      </c>
      <c r="AD842" t="s">
        <v>81</v>
      </c>
      <c r="AE842" t="s">
        <v>81</v>
      </c>
      <c r="AG842" t="s">
        <v>2766</v>
      </c>
      <c r="AJ842" t="s">
        <v>40</v>
      </c>
      <c r="AK842" t="s">
        <v>2767</v>
      </c>
      <c r="AL842" t="s">
        <v>2768</v>
      </c>
      <c r="AM842" t="s">
        <v>2769</v>
      </c>
      <c r="AO842" s="1">
        <v>45957</v>
      </c>
      <c r="AP842" s="5">
        <v>0.5</v>
      </c>
      <c r="AS842">
        <v>1</v>
      </c>
    </row>
    <row r="843" spans="1:45" x14ac:dyDescent="0.2">
      <c r="A843">
        <f t="shared" si="54"/>
        <v>2025</v>
      </c>
      <c r="B843">
        <f t="shared" si="55"/>
        <v>10</v>
      </c>
      <c r="C843">
        <f t="shared" si="56"/>
        <v>44</v>
      </c>
      <c r="D843" s="2">
        <f t="shared" si="57"/>
        <v>45957</v>
      </c>
      <c r="E843" s="1">
        <v>45957.541666666664</v>
      </c>
      <c r="F843" t="s">
        <v>2770</v>
      </c>
      <c r="G843" t="s">
        <v>36</v>
      </c>
      <c r="H843">
        <v>462514</v>
      </c>
      <c r="I843" t="s">
        <v>51</v>
      </c>
      <c r="J843" t="s">
        <v>144</v>
      </c>
      <c r="M843" t="s">
        <v>40</v>
      </c>
      <c r="N843" t="s">
        <v>41</v>
      </c>
      <c r="O843" t="s">
        <v>172</v>
      </c>
      <c r="P843">
        <v>33</v>
      </c>
      <c r="Q843">
        <v>0</v>
      </c>
      <c r="R843">
        <v>0</v>
      </c>
      <c r="S843">
        <v>0</v>
      </c>
      <c r="T843" t="s">
        <v>54</v>
      </c>
      <c r="U843" t="s">
        <v>55</v>
      </c>
      <c r="W843" t="s">
        <v>2308</v>
      </c>
      <c r="X843" t="s">
        <v>2771</v>
      </c>
      <c r="Y843">
        <v>0</v>
      </c>
      <c r="AA843" t="s">
        <v>40</v>
      </c>
      <c r="AB843" t="s">
        <v>46</v>
      </c>
      <c r="AC843" t="s">
        <v>47</v>
      </c>
      <c r="AG843" t="s">
        <v>2772</v>
      </c>
      <c r="AJ843" t="s">
        <v>40</v>
      </c>
      <c r="AK843">
        <v>5019240555</v>
      </c>
      <c r="AL843" t="s">
        <v>2773</v>
      </c>
      <c r="AM843" t="s">
        <v>2774</v>
      </c>
      <c r="AO843" s="1">
        <v>45957</v>
      </c>
      <c r="AP843" s="5">
        <v>0.54166666666666663</v>
      </c>
      <c r="AS843">
        <v>1</v>
      </c>
    </row>
    <row r="844" spans="1:45" x14ac:dyDescent="0.2">
      <c r="A844">
        <f t="shared" si="54"/>
        <v>2025</v>
      </c>
      <c r="B844">
        <f t="shared" si="55"/>
        <v>10</v>
      </c>
      <c r="C844">
        <f t="shared" si="56"/>
        <v>44</v>
      </c>
      <c r="D844" s="2">
        <f t="shared" si="57"/>
        <v>45957</v>
      </c>
      <c r="E844" s="1">
        <v>45957.541666666664</v>
      </c>
      <c r="F844" t="s">
        <v>2775</v>
      </c>
      <c r="G844" t="s">
        <v>36</v>
      </c>
      <c r="H844" t="s">
        <v>2776</v>
      </c>
      <c r="I844" t="s">
        <v>38</v>
      </c>
      <c r="J844" t="s">
        <v>39</v>
      </c>
      <c r="M844" t="s">
        <v>40</v>
      </c>
      <c r="N844" t="s">
        <v>41</v>
      </c>
      <c r="O844" t="s">
        <v>42</v>
      </c>
      <c r="P844">
        <v>16</v>
      </c>
      <c r="Q844">
        <v>0</v>
      </c>
      <c r="R844">
        <v>0</v>
      </c>
      <c r="S844">
        <v>0</v>
      </c>
      <c r="T844" t="s">
        <v>2777</v>
      </c>
      <c r="U844" t="s">
        <v>44</v>
      </c>
      <c r="W844" t="s">
        <v>2731</v>
      </c>
      <c r="Y844">
        <v>0</v>
      </c>
      <c r="AA844" t="s">
        <v>40</v>
      </c>
      <c r="AB844" t="s">
        <v>46</v>
      </c>
      <c r="AC844" t="s">
        <v>47</v>
      </c>
      <c r="AF844" t="s">
        <v>48</v>
      </c>
      <c r="AJ844" t="s">
        <v>40</v>
      </c>
      <c r="AK844" t="s">
        <v>49</v>
      </c>
      <c r="AO844" s="1">
        <v>45957</v>
      </c>
      <c r="AP844" s="5">
        <v>0.54166666666666663</v>
      </c>
      <c r="AS844">
        <v>1</v>
      </c>
    </row>
    <row r="845" spans="1:45" x14ac:dyDescent="0.2">
      <c r="A845">
        <f t="shared" si="54"/>
        <v>2025</v>
      </c>
      <c r="B845">
        <f t="shared" si="55"/>
        <v>10</v>
      </c>
      <c r="C845">
        <f t="shared" si="56"/>
        <v>44</v>
      </c>
      <c r="D845" s="2">
        <f t="shared" si="57"/>
        <v>45957</v>
      </c>
      <c r="E845" s="1">
        <v>45957.541666666664</v>
      </c>
      <c r="F845" t="s">
        <v>2778</v>
      </c>
      <c r="G845" t="s">
        <v>36</v>
      </c>
      <c r="H845" t="s">
        <v>239</v>
      </c>
      <c r="I845" t="s">
        <v>38</v>
      </c>
      <c r="J845" t="s">
        <v>240</v>
      </c>
      <c r="M845" t="s">
        <v>40</v>
      </c>
      <c r="N845" t="s">
        <v>41</v>
      </c>
      <c r="O845" t="s">
        <v>42</v>
      </c>
      <c r="P845">
        <v>26</v>
      </c>
      <c r="Q845">
        <v>0</v>
      </c>
      <c r="R845">
        <v>0</v>
      </c>
      <c r="S845">
        <v>0</v>
      </c>
      <c r="T845" t="s">
        <v>2779</v>
      </c>
      <c r="U845" t="s">
        <v>44</v>
      </c>
      <c r="W845" t="s">
        <v>2567</v>
      </c>
      <c r="Y845">
        <v>0</v>
      </c>
      <c r="AA845" t="s">
        <v>40</v>
      </c>
      <c r="AB845" t="s">
        <v>46</v>
      </c>
      <c r="AC845" t="s">
        <v>47</v>
      </c>
      <c r="AF845" t="s">
        <v>242</v>
      </c>
      <c r="AJ845" t="s">
        <v>40</v>
      </c>
      <c r="AK845" t="s">
        <v>49</v>
      </c>
      <c r="AO845" s="1">
        <v>45957</v>
      </c>
      <c r="AP845" s="5">
        <v>0.54166666666666663</v>
      </c>
      <c r="AS845">
        <v>1</v>
      </c>
    </row>
    <row r="846" spans="1:45" x14ac:dyDescent="0.2">
      <c r="A846">
        <f t="shared" si="54"/>
        <v>2025</v>
      </c>
      <c r="B846">
        <f t="shared" si="55"/>
        <v>10</v>
      </c>
      <c r="C846">
        <f t="shared" si="56"/>
        <v>44</v>
      </c>
      <c r="D846" s="2">
        <f t="shared" si="57"/>
        <v>45957</v>
      </c>
      <c r="E846" s="1">
        <v>45957.583333333336</v>
      </c>
      <c r="F846" t="s">
        <v>2780</v>
      </c>
      <c r="G846" t="s">
        <v>36</v>
      </c>
      <c r="H846">
        <v>463793</v>
      </c>
      <c r="I846" t="s">
        <v>51</v>
      </c>
      <c r="J846" t="s">
        <v>144</v>
      </c>
      <c r="M846" t="s">
        <v>40</v>
      </c>
      <c r="N846" t="s">
        <v>41</v>
      </c>
      <c r="O846" t="s">
        <v>155</v>
      </c>
      <c r="P846">
        <v>33</v>
      </c>
      <c r="Q846">
        <v>0</v>
      </c>
      <c r="R846">
        <v>0</v>
      </c>
      <c r="S846">
        <v>0</v>
      </c>
      <c r="T846" t="s">
        <v>54</v>
      </c>
      <c r="U846" t="s">
        <v>55</v>
      </c>
      <c r="W846" t="s">
        <v>2781</v>
      </c>
      <c r="Y846">
        <v>0</v>
      </c>
      <c r="AA846" t="s">
        <v>40</v>
      </c>
      <c r="AB846" t="s">
        <v>46</v>
      </c>
      <c r="AC846" t="s">
        <v>47</v>
      </c>
      <c r="AG846" t="s">
        <v>2782</v>
      </c>
      <c r="AJ846" t="s">
        <v>40</v>
      </c>
      <c r="AK846">
        <v>5019260893</v>
      </c>
      <c r="AO846" s="1">
        <v>45957</v>
      </c>
      <c r="AP846" s="5">
        <v>0.58333333333333337</v>
      </c>
      <c r="AS846">
        <v>1</v>
      </c>
    </row>
    <row r="847" spans="1:45" x14ac:dyDescent="0.2">
      <c r="A847">
        <f t="shared" si="54"/>
        <v>2025</v>
      </c>
      <c r="B847">
        <f t="shared" si="55"/>
        <v>10</v>
      </c>
      <c r="C847">
        <f t="shared" si="56"/>
        <v>44</v>
      </c>
      <c r="D847" s="2">
        <f t="shared" si="57"/>
        <v>45957</v>
      </c>
      <c r="E847" s="1">
        <v>45957.583333333336</v>
      </c>
      <c r="F847" t="s">
        <v>2783</v>
      </c>
      <c r="G847" t="s">
        <v>36</v>
      </c>
      <c r="H847" t="s">
        <v>2748</v>
      </c>
      <c r="I847" t="s">
        <v>38</v>
      </c>
      <c r="J847" t="s">
        <v>140</v>
      </c>
      <c r="M847" t="s">
        <v>40</v>
      </c>
      <c r="N847" t="s">
        <v>41</v>
      </c>
      <c r="O847" t="s">
        <v>42</v>
      </c>
      <c r="P847">
        <v>24</v>
      </c>
      <c r="Q847">
        <v>0</v>
      </c>
      <c r="R847">
        <v>0</v>
      </c>
      <c r="S847">
        <v>0</v>
      </c>
      <c r="T847">
        <v>5019257936</v>
      </c>
      <c r="U847" t="s">
        <v>44</v>
      </c>
      <c r="W847" t="s">
        <v>2567</v>
      </c>
      <c r="Y847">
        <v>0</v>
      </c>
      <c r="AA847" t="s">
        <v>40</v>
      </c>
      <c r="AB847" t="s">
        <v>46</v>
      </c>
      <c r="AC847" t="s">
        <v>47</v>
      </c>
      <c r="AF847" t="s">
        <v>2750</v>
      </c>
      <c r="AJ847" t="s">
        <v>40</v>
      </c>
      <c r="AK847" t="s">
        <v>49</v>
      </c>
      <c r="AO847" s="1">
        <v>45957</v>
      </c>
      <c r="AP847" s="5">
        <v>0.58333333333333337</v>
      </c>
      <c r="AS847">
        <v>1</v>
      </c>
    </row>
    <row r="848" spans="1:45" x14ac:dyDescent="0.2">
      <c r="A848">
        <f t="shared" si="54"/>
        <v>2025</v>
      </c>
      <c r="B848">
        <f t="shared" si="55"/>
        <v>10</v>
      </c>
      <c r="C848">
        <f t="shared" si="56"/>
        <v>44</v>
      </c>
      <c r="D848" s="2">
        <f t="shared" si="57"/>
        <v>45957</v>
      </c>
      <c r="E848" s="1">
        <v>45957.625</v>
      </c>
      <c r="F848" t="s">
        <v>2784</v>
      </c>
      <c r="G848" t="s">
        <v>36</v>
      </c>
      <c r="H848">
        <v>462537</v>
      </c>
      <c r="I848" t="s">
        <v>51</v>
      </c>
      <c r="J848" t="s">
        <v>194</v>
      </c>
      <c r="M848" t="s">
        <v>40</v>
      </c>
      <c r="N848" t="s">
        <v>41</v>
      </c>
      <c r="O848" t="s">
        <v>189</v>
      </c>
      <c r="P848">
        <v>33</v>
      </c>
      <c r="Q848">
        <v>0</v>
      </c>
      <c r="R848">
        <v>0</v>
      </c>
      <c r="S848">
        <v>0</v>
      </c>
      <c r="T848" t="s">
        <v>54</v>
      </c>
      <c r="U848" t="s">
        <v>55</v>
      </c>
      <c r="W848" t="s">
        <v>2785</v>
      </c>
      <c r="Y848">
        <v>0</v>
      </c>
      <c r="AA848" t="s">
        <v>40</v>
      </c>
      <c r="AB848" t="s">
        <v>46</v>
      </c>
      <c r="AC848" t="s">
        <v>47</v>
      </c>
      <c r="AG848" t="s">
        <v>2786</v>
      </c>
      <c r="AJ848" t="s">
        <v>40</v>
      </c>
      <c r="AK848">
        <v>5019253862</v>
      </c>
      <c r="AO848" s="1">
        <v>45957</v>
      </c>
      <c r="AP848" s="5">
        <v>0.625</v>
      </c>
      <c r="AS848">
        <v>1</v>
      </c>
    </row>
    <row r="849" spans="1:45" x14ac:dyDescent="0.2">
      <c r="A849">
        <f t="shared" si="54"/>
        <v>2025</v>
      </c>
      <c r="B849">
        <f t="shared" si="55"/>
        <v>10</v>
      </c>
      <c r="C849">
        <f t="shared" si="56"/>
        <v>44</v>
      </c>
      <c r="D849" s="2">
        <f t="shared" si="57"/>
        <v>45957</v>
      </c>
      <c r="E849" s="1">
        <v>45957.666666666664</v>
      </c>
      <c r="F849" t="s">
        <v>2787</v>
      </c>
      <c r="G849" t="s">
        <v>36</v>
      </c>
      <c r="H849">
        <v>462540</v>
      </c>
      <c r="I849" t="s">
        <v>51</v>
      </c>
      <c r="J849" t="s">
        <v>194</v>
      </c>
      <c r="M849" t="s">
        <v>40</v>
      </c>
      <c r="N849" t="s">
        <v>41</v>
      </c>
      <c r="O849" t="s">
        <v>189</v>
      </c>
      <c r="P849">
        <v>33</v>
      </c>
      <c r="Q849">
        <v>0</v>
      </c>
      <c r="R849">
        <v>0</v>
      </c>
      <c r="S849">
        <v>0</v>
      </c>
      <c r="T849" t="s">
        <v>54</v>
      </c>
      <c r="U849" t="s">
        <v>55</v>
      </c>
      <c r="W849" t="s">
        <v>2731</v>
      </c>
      <c r="Y849">
        <v>0</v>
      </c>
      <c r="AA849" t="s">
        <v>40</v>
      </c>
      <c r="AB849" t="s">
        <v>46</v>
      </c>
      <c r="AC849" t="s">
        <v>47</v>
      </c>
      <c r="AG849" t="s">
        <v>2788</v>
      </c>
      <c r="AJ849" t="s">
        <v>40</v>
      </c>
      <c r="AK849">
        <v>5019257368</v>
      </c>
      <c r="AO849" s="1">
        <v>45957</v>
      </c>
      <c r="AP849" s="5">
        <v>0.66666666666666663</v>
      </c>
      <c r="AS849">
        <v>1</v>
      </c>
    </row>
    <row r="850" spans="1:45" x14ac:dyDescent="0.2">
      <c r="A850">
        <f t="shared" si="54"/>
        <v>2025</v>
      </c>
      <c r="B850">
        <f t="shared" si="55"/>
        <v>10</v>
      </c>
      <c r="C850">
        <f t="shared" si="56"/>
        <v>44</v>
      </c>
      <c r="D850" s="2">
        <f t="shared" si="57"/>
        <v>45957</v>
      </c>
      <c r="E850" s="1">
        <v>45957.666666666664</v>
      </c>
      <c r="F850" t="s">
        <v>2789</v>
      </c>
      <c r="G850" t="s">
        <v>36</v>
      </c>
      <c r="H850">
        <v>462534</v>
      </c>
      <c r="I850" t="s">
        <v>51</v>
      </c>
      <c r="J850" t="s">
        <v>154</v>
      </c>
      <c r="M850" t="s">
        <v>40</v>
      </c>
      <c r="N850" t="s">
        <v>41</v>
      </c>
      <c r="O850" t="s">
        <v>155</v>
      </c>
      <c r="P850">
        <v>33</v>
      </c>
      <c r="Q850">
        <v>0</v>
      </c>
      <c r="R850">
        <v>0</v>
      </c>
      <c r="S850">
        <v>0</v>
      </c>
      <c r="T850" t="s">
        <v>54</v>
      </c>
      <c r="U850" t="s">
        <v>55</v>
      </c>
      <c r="W850" t="s">
        <v>2790</v>
      </c>
      <c r="Y850">
        <v>0</v>
      </c>
      <c r="AA850" t="s">
        <v>40</v>
      </c>
      <c r="AB850" t="s">
        <v>46</v>
      </c>
      <c r="AC850" t="s">
        <v>47</v>
      </c>
      <c r="AG850" t="s">
        <v>2791</v>
      </c>
      <c r="AJ850" t="s">
        <v>40</v>
      </c>
      <c r="AK850">
        <v>5019247111</v>
      </c>
      <c r="AO850" s="1">
        <v>45957</v>
      </c>
      <c r="AP850" s="5">
        <v>0.66666666666666663</v>
      </c>
      <c r="AS850">
        <v>1</v>
      </c>
    </row>
    <row r="851" spans="1:45" x14ac:dyDescent="0.2">
      <c r="A851">
        <f t="shared" si="54"/>
        <v>2025</v>
      </c>
      <c r="B851">
        <f t="shared" si="55"/>
        <v>10</v>
      </c>
      <c r="C851">
        <f t="shared" si="56"/>
        <v>44</v>
      </c>
      <c r="D851" s="2">
        <f t="shared" si="57"/>
        <v>45957</v>
      </c>
      <c r="E851" s="1">
        <v>45957.666666666664</v>
      </c>
      <c r="F851" t="s">
        <v>2792</v>
      </c>
      <c r="G851" t="s">
        <v>36</v>
      </c>
      <c r="H851" t="s">
        <v>2793</v>
      </c>
      <c r="I851" t="s">
        <v>1776</v>
      </c>
      <c r="J851" t="s">
        <v>99</v>
      </c>
      <c r="M851" t="s">
        <v>40</v>
      </c>
      <c r="N851" t="s">
        <v>41</v>
      </c>
      <c r="O851" t="s">
        <v>1777</v>
      </c>
      <c r="P851">
        <v>22</v>
      </c>
      <c r="Q851">
        <v>0</v>
      </c>
      <c r="R851">
        <v>0</v>
      </c>
      <c r="S851">
        <v>0</v>
      </c>
      <c r="T851" t="s">
        <v>2794</v>
      </c>
      <c r="U851" t="s">
        <v>44</v>
      </c>
      <c r="W851" t="s">
        <v>2712</v>
      </c>
      <c r="Y851">
        <v>0</v>
      </c>
      <c r="AA851" t="s">
        <v>40</v>
      </c>
      <c r="AB851" t="s">
        <v>46</v>
      </c>
      <c r="AC851" t="s">
        <v>47</v>
      </c>
      <c r="AD851" t="s">
        <v>223</v>
      </c>
      <c r="AE851" t="s">
        <v>223</v>
      </c>
      <c r="AF851" t="s">
        <v>367</v>
      </c>
      <c r="AG851" t="s">
        <v>223</v>
      </c>
      <c r="AJ851" t="s">
        <v>40</v>
      </c>
      <c r="AK851" t="s">
        <v>49</v>
      </c>
      <c r="AL851" t="s">
        <v>1045</v>
      </c>
      <c r="AM851" t="s">
        <v>1045</v>
      </c>
      <c r="AO851" s="1">
        <v>45957</v>
      </c>
      <c r="AP851" s="5">
        <v>0.66666666666666663</v>
      </c>
      <c r="AS851">
        <v>1</v>
      </c>
    </row>
    <row r="852" spans="1:45" x14ac:dyDescent="0.2">
      <c r="A852">
        <f t="shared" si="54"/>
        <v>2025</v>
      </c>
      <c r="B852">
        <f t="shared" si="55"/>
        <v>10</v>
      </c>
      <c r="C852">
        <f t="shared" si="56"/>
        <v>44</v>
      </c>
      <c r="D852" s="2">
        <f t="shared" si="57"/>
        <v>45957</v>
      </c>
      <c r="E852" s="1">
        <v>45957.708333333336</v>
      </c>
      <c r="F852" t="s">
        <v>2795</v>
      </c>
      <c r="G852" t="s">
        <v>36</v>
      </c>
      <c r="H852">
        <v>462542</v>
      </c>
      <c r="I852" t="s">
        <v>51</v>
      </c>
      <c r="J852" t="s">
        <v>154</v>
      </c>
      <c r="M852" t="s">
        <v>40</v>
      </c>
      <c r="N852" t="s">
        <v>41</v>
      </c>
      <c r="O852" t="s">
        <v>155</v>
      </c>
      <c r="P852">
        <v>33</v>
      </c>
      <c r="Q852">
        <v>0</v>
      </c>
      <c r="R852">
        <v>0</v>
      </c>
      <c r="S852">
        <v>0</v>
      </c>
      <c r="T852" t="s">
        <v>54</v>
      </c>
      <c r="U852" t="s">
        <v>55</v>
      </c>
      <c r="W852" t="s">
        <v>2790</v>
      </c>
      <c r="Y852">
        <v>0</v>
      </c>
      <c r="AA852" t="s">
        <v>40</v>
      </c>
      <c r="AB852" t="s">
        <v>46</v>
      </c>
      <c r="AC852" t="s">
        <v>47</v>
      </c>
      <c r="AG852" t="s">
        <v>2796</v>
      </c>
      <c r="AJ852" t="s">
        <v>40</v>
      </c>
      <c r="AK852">
        <v>5019261846</v>
      </c>
      <c r="AO852" s="1">
        <v>45957</v>
      </c>
      <c r="AP852" s="5">
        <v>0.70833333333333337</v>
      </c>
      <c r="AS852">
        <v>1</v>
      </c>
    </row>
    <row r="853" spans="1:45" x14ac:dyDescent="0.2">
      <c r="A853">
        <f t="shared" si="54"/>
        <v>2025</v>
      </c>
      <c r="B853">
        <f t="shared" si="55"/>
        <v>10</v>
      </c>
      <c r="C853">
        <f t="shared" si="56"/>
        <v>44</v>
      </c>
      <c r="D853" s="2">
        <f t="shared" si="57"/>
        <v>45957</v>
      </c>
      <c r="E853" s="1">
        <v>45957.708333333336</v>
      </c>
      <c r="F853" t="s">
        <v>2797</v>
      </c>
      <c r="G853" t="s">
        <v>36</v>
      </c>
      <c r="H853">
        <v>462518</v>
      </c>
      <c r="I853" t="s">
        <v>51</v>
      </c>
      <c r="J853" t="s">
        <v>188</v>
      </c>
      <c r="M853" t="s">
        <v>40</v>
      </c>
      <c r="N853" t="s">
        <v>41</v>
      </c>
      <c r="O853" t="s">
        <v>189</v>
      </c>
      <c r="P853">
        <v>33</v>
      </c>
      <c r="Q853">
        <v>0</v>
      </c>
      <c r="R853">
        <v>0</v>
      </c>
      <c r="S853">
        <v>0</v>
      </c>
      <c r="T853" t="s">
        <v>54</v>
      </c>
      <c r="U853" t="s">
        <v>55</v>
      </c>
      <c r="W853" t="s">
        <v>2798</v>
      </c>
      <c r="Y853">
        <v>0</v>
      </c>
      <c r="AA853" t="s">
        <v>40</v>
      </c>
      <c r="AB853" t="s">
        <v>46</v>
      </c>
      <c r="AC853" t="s">
        <v>47</v>
      </c>
      <c r="AG853" t="s">
        <v>2799</v>
      </c>
      <c r="AJ853" t="s">
        <v>40</v>
      </c>
      <c r="AK853">
        <v>5019254572</v>
      </c>
      <c r="AO853" s="1">
        <v>45957</v>
      </c>
      <c r="AP853" s="5">
        <v>0.70833333333333337</v>
      </c>
      <c r="AS853">
        <v>1</v>
      </c>
    </row>
    <row r="854" spans="1:45" x14ac:dyDescent="0.2">
      <c r="A854">
        <f t="shared" si="54"/>
        <v>2025</v>
      </c>
      <c r="B854">
        <f t="shared" si="55"/>
        <v>10</v>
      </c>
      <c r="C854">
        <f t="shared" si="56"/>
        <v>44</v>
      </c>
      <c r="D854" s="2">
        <f t="shared" si="57"/>
        <v>45957</v>
      </c>
      <c r="E854" s="1">
        <v>45957.708333333336</v>
      </c>
      <c r="F854" t="s">
        <v>2800</v>
      </c>
      <c r="G854" t="s">
        <v>36</v>
      </c>
      <c r="H854">
        <v>464593</v>
      </c>
      <c r="I854" t="s">
        <v>51</v>
      </c>
      <c r="J854" t="s">
        <v>144</v>
      </c>
      <c r="M854" t="s">
        <v>40</v>
      </c>
      <c r="N854" t="s">
        <v>41</v>
      </c>
      <c r="O854" t="s">
        <v>2801</v>
      </c>
      <c r="P854">
        <v>33</v>
      </c>
      <c r="Q854">
        <v>0</v>
      </c>
      <c r="R854">
        <v>0</v>
      </c>
      <c r="S854">
        <v>0</v>
      </c>
      <c r="T854" t="s">
        <v>54</v>
      </c>
      <c r="U854" t="s">
        <v>55</v>
      </c>
      <c r="W854" t="s">
        <v>2802</v>
      </c>
      <c r="X854" t="s">
        <v>2803</v>
      </c>
      <c r="Y854">
        <v>0</v>
      </c>
      <c r="AA854" t="s">
        <v>40</v>
      </c>
      <c r="AB854" t="s">
        <v>46</v>
      </c>
      <c r="AC854" t="s">
        <v>47</v>
      </c>
      <c r="AG854" t="s">
        <v>2804</v>
      </c>
      <c r="AJ854" t="s">
        <v>40</v>
      </c>
      <c r="AK854">
        <v>5019261609</v>
      </c>
      <c r="AL854" t="s">
        <v>562</v>
      </c>
      <c r="AM854" t="s">
        <v>563</v>
      </c>
      <c r="AO854" s="1">
        <v>45957</v>
      </c>
      <c r="AP854" s="5">
        <v>0.70833333333333337</v>
      </c>
      <c r="AS854">
        <v>1</v>
      </c>
    </row>
    <row r="855" spans="1:45" x14ac:dyDescent="0.2">
      <c r="A855">
        <f t="shared" si="54"/>
        <v>2025</v>
      </c>
      <c r="B855">
        <f t="shared" si="55"/>
        <v>10</v>
      </c>
      <c r="C855">
        <f t="shared" si="56"/>
        <v>44</v>
      </c>
      <c r="D855" s="2">
        <f t="shared" si="57"/>
        <v>45957</v>
      </c>
      <c r="E855" s="1">
        <v>45957.75</v>
      </c>
      <c r="F855" t="s">
        <v>2805</v>
      </c>
      <c r="G855" t="s">
        <v>36</v>
      </c>
      <c r="H855">
        <v>462533</v>
      </c>
      <c r="I855" t="s">
        <v>51</v>
      </c>
      <c r="J855" t="s">
        <v>163</v>
      </c>
      <c r="M855" t="s">
        <v>40</v>
      </c>
      <c r="N855" t="s">
        <v>41</v>
      </c>
      <c r="O855" t="s">
        <v>530</v>
      </c>
      <c r="P855">
        <v>33</v>
      </c>
      <c r="Q855">
        <v>0</v>
      </c>
      <c r="R855">
        <v>0</v>
      </c>
      <c r="S855">
        <v>0</v>
      </c>
      <c r="T855" t="s">
        <v>54</v>
      </c>
      <c r="U855" t="s">
        <v>55</v>
      </c>
      <c r="W855" t="s">
        <v>2806</v>
      </c>
      <c r="Y855">
        <v>0</v>
      </c>
      <c r="AA855" t="s">
        <v>40</v>
      </c>
      <c r="AB855" t="s">
        <v>46</v>
      </c>
      <c r="AC855" t="s">
        <v>47</v>
      </c>
      <c r="AG855" t="s">
        <v>2807</v>
      </c>
      <c r="AJ855" t="s">
        <v>40</v>
      </c>
      <c r="AK855">
        <v>5019258193</v>
      </c>
      <c r="AO855" s="1">
        <v>45957</v>
      </c>
      <c r="AP855" s="5">
        <v>0.75</v>
      </c>
      <c r="AS855">
        <v>1</v>
      </c>
    </row>
    <row r="856" spans="1:45" x14ac:dyDescent="0.2">
      <c r="A856">
        <f t="shared" si="54"/>
        <v>2025</v>
      </c>
      <c r="B856">
        <f t="shared" si="55"/>
        <v>10</v>
      </c>
      <c r="C856">
        <f t="shared" si="56"/>
        <v>44</v>
      </c>
      <c r="D856" s="2">
        <f t="shared" si="57"/>
        <v>45957</v>
      </c>
      <c r="E856" s="1">
        <v>45957.75</v>
      </c>
      <c r="F856" t="s">
        <v>2808</v>
      </c>
      <c r="G856" t="s">
        <v>36</v>
      </c>
      <c r="H856" t="s">
        <v>2809</v>
      </c>
      <c r="I856" t="s">
        <v>218</v>
      </c>
      <c r="J856" t="s">
        <v>219</v>
      </c>
      <c r="M856" t="s">
        <v>40</v>
      </c>
      <c r="N856" t="s">
        <v>41</v>
      </c>
      <c r="O856" t="s">
        <v>220</v>
      </c>
      <c r="P856">
        <v>99</v>
      </c>
      <c r="Q856">
        <v>0</v>
      </c>
      <c r="R856">
        <v>0</v>
      </c>
      <c r="S856">
        <v>0</v>
      </c>
      <c r="T856" t="s">
        <v>54</v>
      </c>
      <c r="U856" t="s">
        <v>55</v>
      </c>
      <c r="W856" t="s">
        <v>2810</v>
      </c>
      <c r="X856" t="s">
        <v>2811</v>
      </c>
      <c r="Y856">
        <v>0</v>
      </c>
      <c r="AA856" t="s">
        <v>40</v>
      </c>
      <c r="AB856" t="s">
        <v>46</v>
      </c>
      <c r="AC856" t="s">
        <v>47</v>
      </c>
      <c r="AD856" t="s">
        <v>223</v>
      </c>
      <c r="AE856" t="s">
        <v>223</v>
      </c>
      <c r="AG856" t="s">
        <v>2812</v>
      </c>
      <c r="AJ856" t="s">
        <v>40</v>
      </c>
      <c r="AK856" t="s">
        <v>2813</v>
      </c>
      <c r="AL856" t="s">
        <v>2814</v>
      </c>
      <c r="AM856" t="s">
        <v>2815</v>
      </c>
      <c r="AO856" s="1">
        <v>45957</v>
      </c>
      <c r="AP856" s="5">
        <v>0.75</v>
      </c>
      <c r="AS856">
        <v>1</v>
      </c>
    </row>
    <row r="857" spans="1:45" x14ac:dyDescent="0.2">
      <c r="A857">
        <f t="shared" si="54"/>
        <v>2025</v>
      </c>
      <c r="B857">
        <f t="shared" si="55"/>
        <v>10</v>
      </c>
      <c r="C857">
        <f t="shared" si="56"/>
        <v>44</v>
      </c>
      <c r="D857" s="2">
        <f t="shared" si="57"/>
        <v>45957</v>
      </c>
      <c r="E857" s="1">
        <v>45957.75</v>
      </c>
      <c r="F857" t="s">
        <v>2816</v>
      </c>
      <c r="G857" t="s">
        <v>36</v>
      </c>
      <c r="H857">
        <v>464592</v>
      </c>
      <c r="I857" t="s">
        <v>51</v>
      </c>
      <c r="J857" t="s">
        <v>144</v>
      </c>
      <c r="M857" t="s">
        <v>40</v>
      </c>
      <c r="N857" t="s">
        <v>41</v>
      </c>
      <c r="O857" t="s">
        <v>2801</v>
      </c>
      <c r="P857">
        <v>33</v>
      </c>
      <c r="Q857">
        <v>0</v>
      </c>
      <c r="R857">
        <v>0</v>
      </c>
      <c r="S857">
        <v>0</v>
      </c>
      <c r="T857" t="s">
        <v>54</v>
      </c>
      <c r="U857" t="s">
        <v>55</v>
      </c>
      <c r="W857" t="s">
        <v>2817</v>
      </c>
      <c r="X857" t="s">
        <v>2818</v>
      </c>
      <c r="Y857">
        <v>0</v>
      </c>
      <c r="AA857" t="s">
        <v>40</v>
      </c>
      <c r="AB857" t="s">
        <v>46</v>
      </c>
      <c r="AC857" t="s">
        <v>47</v>
      </c>
      <c r="AG857" t="s">
        <v>2819</v>
      </c>
      <c r="AJ857" t="s">
        <v>40</v>
      </c>
      <c r="AK857">
        <v>5019250415</v>
      </c>
      <c r="AL857" t="s">
        <v>2820</v>
      </c>
      <c r="AM857" t="s">
        <v>2821</v>
      </c>
      <c r="AO857" s="1">
        <v>45957</v>
      </c>
      <c r="AP857" s="5">
        <v>0.75</v>
      </c>
      <c r="AS857">
        <v>1</v>
      </c>
    </row>
    <row r="858" spans="1:45" x14ac:dyDescent="0.2">
      <c r="A858">
        <f t="shared" si="54"/>
        <v>2025</v>
      </c>
      <c r="B858">
        <f t="shared" si="55"/>
        <v>10</v>
      </c>
      <c r="C858">
        <f t="shared" si="56"/>
        <v>44</v>
      </c>
      <c r="D858" s="2">
        <f t="shared" si="57"/>
        <v>45957</v>
      </c>
      <c r="E858" s="1">
        <v>45957.791666666664</v>
      </c>
      <c r="F858" t="s">
        <v>2822</v>
      </c>
      <c r="G858" t="s">
        <v>36</v>
      </c>
      <c r="H858">
        <v>462498</v>
      </c>
      <c r="I858" t="s">
        <v>51</v>
      </c>
      <c r="J858" t="s">
        <v>219</v>
      </c>
      <c r="M858" t="s">
        <v>40</v>
      </c>
      <c r="N858" t="s">
        <v>41</v>
      </c>
      <c r="O858" t="s">
        <v>90</v>
      </c>
      <c r="P858">
        <v>33</v>
      </c>
      <c r="Q858">
        <v>0</v>
      </c>
      <c r="R858">
        <v>0</v>
      </c>
      <c r="S858">
        <v>0</v>
      </c>
      <c r="T858" t="s">
        <v>54</v>
      </c>
      <c r="U858" t="s">
        <v>55</v>
      </c>
      <c r="W858" t="s">
        <v>2810</v>
      </c>
      <c r="X858" t="s">
        <v>2823</v>
      </c>
      <c r="Y858">
        <v>0</v>
      </c>
      <c r="AA858" t="s">
        <v>40</v>
      </c>
      <c r="AB858" t="s">
        <v>46</v>
      </c>
      <c r="AC858" t="s">
        <v>47</v>
      </c>
      <c r="AG858" t="s">
        <v>2824</v>
      </c>
      <c r="AJ858" t="s">
        <v>40</v>
      </c>
      <c r="AK858">
        <v>5019262447</v>
      </c>
      <c r="AL858" t="s">
        <v>2825</v>
      </c>
      <c r="AM858" t="s">
        <v>2826</v>
      </c>
      <c r="AO858" s="1">
        <v>45957</v>
      </c>
      <c r="AP858" s="5">
        <v>0.79166666666666663</v>
      </c>
      <c r="AS858">
        <v>1</v>
      </c>
    </row>
    <row r="859" spans="1:45" x14ac:dyDescent="0.2">
      <c r="A859">
        <f t="shared" si="54"/>
        <v>2025</v>
      </c>
      <c r="B859">
        <f t="shared" si="55"/>
        <v>10</v>
      </c>
      <c r="C859">
        <f t="shared" si="56"/>
        <v>44</v>
      </c>
      <c r="D859" s="2">
        <f t="shared" si="57"/>
        <v>45957</v>
      </c>
      <c r="E859" s="1">
        <v>45957.791666666664</v>
      </c>
      <c r="F859" t="s">
        <v>2827</v>
      </c>
      <c r="G859" t="s">
        <v>36</v>
      </c>
      <c r="H859">
        <v>457455</v>
      </c>
      <c r="I859" t="s">
        <v>51</v>
      </c>
      <c r="J859" t="s">
        <v>188</v>
      </c>
      <c r="M859" t="s">
        <v>40</v>
      </c>
      <c r="N859" t="s">
        <v>41</v>
      </c>
      <c r="O859" t="s">
        <v>172</v>
      </c>
      <c r="P859">
        <v>33</v>
      </c>
      <c r="Q859">
        <v>0</v>
      </c>
      <c r="R859">
        <v>0</v>
      </c>
      <c r="S859">
        <v>0</v>
      </c>
      <c r="T859" t="s">
        <v>54</v>
      </c>
      <c r="U859" t="s">
        <v>233</v>
      </c>
      <c r="W859" t="s">
        <v>2828</v>
      </c>
      <c r="Y859">
        <v>0</v>
      </c>
      <c r="AA859" t="s">
        <v>40</v>
      </c>
      <c r="AB859" t="s">
        <v>46</v>
      </c>
      <c r="AC859" t="s">
        <v>47</v>
      </c>
      <c r="AG859" t="s">
        <v>2829</v>
      </c>
      <c r="AJ859" t="s">
        <v>40</v>
      </c>
      <c r="AK859">
        <v>5019247083</v>
      </c>
      <c r="AO859" s="1">
        <v>45957</v>
      </c>
      <c r="AP859" s="5">
        <v>0.79166666666666663</v>
      </c>
      <c r="AS859">
        <v>1</v>
      </c>
    </row>
    <row r="860" spans="1:45" x14ac:dyDescent="0.2">
      <c r="A860">
        <f t="shared" si="54"/>
        <v>2025</v>
      </c>
      <c r="B860">
        <f t="shared" si="55"/>
        <v>10</v>
      </c>
      <c r="C860">
        <f t="shared" si="56"/>
        <v>44</v>
      </c>
      <c r="D860" s="2">
        <f t="shared" si="57"/>
        <v>45958</v>
      </c>
      <c r="E860" s="1">
        <v>45958.25</v>
      </c>
      <c r="F860" t="s">
        <v>2830</v>
      </c>
      <c r="G860" t="s">
        <v>36</v>
      </c>
      <c r="H860">
        <v>464631</v>
      </c>
      <c r="I860" t="s">
        <v>51</v>
      </c>
      <c r="J860" t="s">
        <v>52</v>
      </c>
      <c r="M860" t="s">
        <v>40</v>
      </c>
      <c r="N860" t="s">
        <v>41</v>
      </c>
      <c r="O860" t="s">
        <v>53</v>
      </c>
      <c r="P860">
        <v>33</v>
      </c>
      <c r="Q860">
        <v>0</v>
      </c>
      <c r="R860">
        <v>0</v>
      </c>
      <c r="S860">
        <v>0</v>
      </c>
      <c r="T860" t="s">
        <v>54</v>
      </c>
      <c r="U860" t="s">
        <v>55</v>
      </c>
      <c r="W860" t="s">
        <v>2734</v>
      </c>
      <c r="Y860">
        <v>0</v>
      </c>
      <c r="AA860" t="s">
        <v>40</v>
      </c>
      <c r="AB860" t="s">
        <v>46</v>
      </c>
      <c r="AC860" t="s">
        <v>47</v>
      </c>
      <c r="AG860" t="s">
        <v>2831</v>
      </c>
      <c r="AJ860" t="s">
        <v>40</v>
      </c>
      <c r="AK860">
        <v>5019272603</v>
      </c>
      <c r="AO860" s="1">
        <v>45958</v>
      </c>
      <c r="AP860" s="5">
        <v>0.25</v>
      </c>
      <c r="AS860">
        <v>1</v>
      </c>
    </row>
    <row r="861" spans="1:45" x14ac:dyDescent="0.2">
      <c r="A861">
        <f t="shared" si="54"/>
        <v>2025</v>
      </c>
      <c r="B861">
        <f t="shared" si="55"/>
        <v>10</v>
      </c>
      <c r="C861">
        <f t="shared" si="56"/>
        <v>44</v>
      </c>
      <c r="D861" s="2">
        <f t="shared" si="57"/>
        <v>45958</v>
      </c>
      <c r="E861" s="1">
        <v>45958.25</v>
      </c>
      <c r="F861" t="s">
        <v>2832</v>
      </c>
      <c r="G861" t="s">
        <v>36</v>
      </c>
      <c r="H861" t="s">
        <v>2833</v>
      </c>
      <c r="I861" t="s">
        <v>38</v>
      </c>
      <c r="J861" t="s">
        <v>60</v>
      </c>
      <c r="M861" t="s">
        <v>40</v>
      </c>
      <c r="N861" t="s">
        <v>41</v>
      </c>
      <c r="O861" t="s">
        <v>42</v>
      </c>
      <c r="P861">
        <v>20</v>
      </c>
      <c r="Q861">
        <v>0</v>
      </c>
      <c r="R861">
        <v>0</v>
      </c>
      <c r="S861">
        <v>0</v>
      </c>
      <c r="T861">
        <v>5019199891</v>
      </c>
      <c r="U861" t="s">
        <v>44</v>
      </c>
      <c r="W861" t="s">
        <v>2834</v>
      </c>
      <c r="Y861">
        <v>0</v>
      </c>
      <c r="AA861" t="s">
        <v>40</v>
      </c>
      <c r="AB861" t="s">
        <v>46</v>
      </c>
      <c r="AC861" t="s">
        <v>47</v>
      </c>
      <c r="AF861" t="s">
        <v>133</v>
      </c>
      <c r="AJ861" t="s">
        <v>40</v>
      </c>
      <c r="AK861" t="s">
        <v>49</v>
      </c>
      <c r="AN861">
        <v>260831726</v>
      </c>
      <c r="AO861" s="1">
        <v>45958</v>
      </c>
      <c r="AP861" s="5">
        <v>0.25</v>
      </c>
      <c r="AS861">
        <v>1</v>
      </c>
    </row>
    <row r="862" spans="1:45" x14ac:dyDescent="0.2">
      <c r="A862">
        <f t="shared" si="54"/>
        <v>2025</v>
      </c>
      <c r="B862">
        <f t="shared" si="55"/>
        <v>10</v>
      </c>
      <c r="C862">
        <f t="shared" si="56"/>
        <v>44</v>
      </c>
      <c r="D862" s="2">
        <f t="shared" si="57"/>
        <v>45958</v>
      </c>
      <c r="E862" s="1">
        <v>45958.291666666664</v>
      </c>
      <c r="F862" t="s">
        <v>2835</v>
      </c>
      <c r="G862" t="s">
        <v>36</v>
      </c>
      <c r="H862" t="s">
        <v>253</v>
      </c>
      <c r="I862" t="s">
        <v>38</v>
      </c>
      <c r="J862" t="s">
        <v>254</v>
      </c>
      <c r="M862" t="s">
        <v>40</v>
      </c>
      <c r="N862" t="s">
        <v>41</v>
      </c>
      <c r="O862" t="s">
        <v>42</v>
      </c>
      <c r="P862">
        <v>1</v>
      </c>
      <c r="Q862">
        <v>0</v>
      </c>
      <c r="R862">
        <v>0</v>
      </c>
      <c r="S862">
        <v>0</v>
      </c>
      <c r="T862" t="s">
        <v>2836</v>
      </c>
      <c r="U862" t="s">
        <v>101</v>
      </c>
      <c r="W862" t="s">
        <v>2308</v>
      </c>
      <c r="Y862">
        <v>0</v>
      </c>
      <c r="AA862" t="s">
        <v>40</v>
      </c>
      <c r="AB862" t="s">
        <v>46</v>
      </c>
      <c r="AC862" t="s">
        <v>47</v>
      </c>
      <c r="AF862" t="s">
        <v>48</v>
      </c>
      <c r="AJ862" t="s">
        <v>40</v>
      </c>
      <c r="AK862" t="s">
        <v>49</v>
      </c>
      <c r="AO862" s="1">
        <v>45958</v>
      </c>
      <c r="AP862" s="5">
        <v>0.29166666666666669</v>
      </c>
      <c r="AS862">
        <v>1</v>
      </c>
    </row>
    <row r="863" spans="1:45" x14ac:dyDescent="0.2">
      <c r="A863">
        <f t="shared" si="54"/>
        <v>2025</v>
      </c>
      <c r="B863">
        <f t="shared" si="55"/>
        <v>10</v>
      </c>
      <c r="C863">
        <f t="shared" si="56"/>
        <v>44</v>
      </c>
      <c r="D863" s="2">
        <f t="shared" si="57"/>
        <v>45958</v>
      </c>
      <c r="E863" s="1">
        <v>45958.291666666664</v>
      </c>
      <c r="F863" t="s">
        <v>2837</v>
      </c>
      <c r="G863" t="s">
        <v>36</v>
      </c>
      <c r="H863" t="s">
        <v>2838</v>
      </c>
      <c r="I863" t="s">
        <v>38</v>
      </c>
      <c r="J863" t="s">
        <v>645</v>
      </c>
      <c r="M863" t="s">
        <v>40</v>
      </c>
      <c r="N863" t="s">
        <v>41</v>
      </c>
      <c r="O863" t="s">
        <v>42</v>
      </c>
      <c r="P863">
        <v>20</v>
      </c>
      <c r="Q863">
        <v>0</v>
      </c>
      <c r="R863">
        <v>0</v>
      </c>
      <c r="S863">
        <v>0</v>
      </c>
      <c r="T863">
        <v>5019194313</v>
      </c>
      <c r="U863" t="s">
        <v>44</v>
      </c>
      <c r="W863" t="s">
        <v>2834</v>
      </c>
      <c r="Y863">
        <v>0</v>
      </c>
      <c r="AA863" t="s">
        <v>40</v>
      </c>
      <c r="AB863" t="s">
        <v>46</v>
      </c>
      <c r="AC863" t="s">
        <v>47</v>
      </c>
      <c r="AF863" t="s">
        <v>133</v>
      </c>
      <c r="AJ863" t="s">
        <v>40</v>
      </c>
      <c r="AK863" t="s">
        <v>49</v>
      </c>
      <c r="AN863">
        <v>260831726</v>
      </c>
      <c r="AO863" s="1">
        <v>45958</v>
      </c>
      <c r="AP863" s="5">
        <v>0.29166666666666669</v>
      </c>
      <c r="AS863">
        <v>1</v>
      </c>
    </row>
    <row r="864" spans="1:45" x14ac:dyDescent="0.2">
      <c r="A864">
        <f t="shared" si="54"/>
        <v>2025</v>
      </c>
      <c r="B864">
        <f t="shared" si="55"/>
        <v>10</v>
      </c>
      <c r="C864">
        <f t="shared" si="56"/>
        <v>44</v>
      </c>
      <c r="D864" s="2">
        <f t="shared" si="57"/>
        <v>45958</v>
      </c>
      <c r="E864" s="1">
        <v>45958.291666666664</v>
      </c>
      <c r="F864" t="s">
        <v>2839</v>
      </c>
      <c r="G864" t="s">
        <v>36</v>
      </c>
      <c r="H864">
        <v>464660</v>
      </c>
      <c r="I864" t="s">
        <v>51</v>
      </c>
      <c r="J864" t="s">
        <v>52</v>
      </c>
      <c r="M864" t="s">
        <v>40</v>
      </c>
      <c r="N864" t="s">
        <v>41</v>
      </c>
      <c r="O864" t="s">
        <v>53</v>
      </c>
      <c r="P864">
        <v>33</v>
      </c>
      <c r="Q864">
        <v>0</v>
      </c>
      <c r="R864">
        <v>0</v>
      </c>
      <c r="S864">
        <v>0</v>
      </c>
      <c r="T864" t="s">
        <v>54</v>
      </c>
      <c r="U864" t="s">
        <v>55</v>
      </c>
      <c r="W864" t="s">
        <v>2754</v>
      </c>
      <c r="Y864">
        <v>0</v>
      </c>
      <c r="AA864" t="s">
        <v>40</v>
      </c>
      <c r="AB864" t="s">
        <v>46</v>
      </c>
      <c r="AC864" t="s">
        <v>47</v>
      </c>
      <c r="AG864" t="s">
        <v>2840</v>
      </c>
      <c r="AJ864" t="s">
        <v>40</v>
      </c>
      <c r="AK864">
        <v>5019269497</v>
      </c>
      <c r="AO864" s="1">
        <v>45958</v>
      </c>
      <c r="AP864" s="5">
        <v>0.29166666666666669</v>
      </c>
      <c r="AS864">
        <v>1</v>
      </c>
    </row>
    <row r="865" spans="1:45" x14ac:dyDescent="0.2">
      <c r="A865">
        <f t="shared" si="54"/>
        <v>2025</v>
      </c>
      <c r="B865">
        <f t="shared" si="55"/>
        <v>10</v>
      </c>
      <c r="C865">
        <f t="shared" si="56"/>
        <v>44</v>
      </c>
      <c r="D865" s="2">
        <f t="shared" si="57"/>
        <v>45958</v>
      </c>
      <c r="E865" s="1">
        <v>45958.291666666664</v>
      </c>
      <c r="F865" t="s">
        <v>2841</v>
      </c>
      <c r="G865" t="s">
        <v>36</v>
      </c>
      <c r="H865">
        <v>457444</v>
      </c>
      <c r="I865" t="s">
        <v>51</v>
      </c>
      <c r="J865" t="s">
        <v>375</v>
      </c>
      <c r="M865" t="s">
        <v>40</v>
      </c>
      <c r="N865" t="s">
        <v>41</v>
      </c>
      <c r="O865" t="s">
        <v>182</v>
      </c>
      <c r="P865">
        <v>33</v>
      </c>
      <c r="Q865">
        <v>0</v>
      </c>
      <c r="R865">
        <v>0</v>
      </c>
      <c r="S865">
        <v>0</v>
      </c>
      <c r="T865" t="s">
        <v>54</v>
      </c>
      <c r="U865" t="s">
        <v>233</v>
      </c>
      <c r="W865" t="s">
        <v>2842</v>
      </c>
      <c r="X865" t="s">
        <v>2843</v>
      </c>
      <c r="Y865">
        <v>0</v>
      </c>
      <c r="AA865" t="s">
        <v>40</v>
      </c>
      <c r="AB865" t="s">
        <v>46</v>
      </c>
      <c r="AC865" t="s">
        <v>47</v>
      </c>
      <c r="AG865" t="s">
        <v>2844</v>
      </c>
      <c r="AJ865" t="s">
        <v>40</v>
      </c>
      <c r="AK865">
        <v>5019251292</v>
      </c>
      <c r="AL865" t="s">
        <v>2845</v>
      </c>
      <c r="AM865" t="s">
        <v>2846</v>
      </c>
      <c r="AO865" s="1">
        <v>45958</v>
      </c>
      <c r="AP865" s="5">
        <v>0.29166666666666669</v>
      </c>
      <c r="AS865">
        <v>1</v>
      </c>
    </row>
    <row r="866" spans="1:45" x14ac:dyDescent="0.2">
      <c r="A866">
        <f t="shared" si="54"/>
        <v>2025</v>
      </c>
      <c r="B866">
        <f t="shared" si="55"/>
        <v>10</v>
      </c>
      <c r="C866">
        <f t="shared" si="56"/>
        <v>44</v>
      </c>
      <c r="D866" s="2">
        <f t="shared" si="57"/>
        <v>45958</v>
      </c>
      <c r="E866" s="1">
        <v>45958.333333333336</v>
      </c>
      <c r="F866" t="s">
        <v>2847</v>
      </c>
      <c r="G866" t="s">
        <v>36</v>
      </c>
      <c r="H866" t="s">
        <v>1808</v>
      </c>
      <c r="I866" t="s">
        <v>38</v>
      </c>
      <c r="J866" t="s">
        <v>99</v>
      </c>
      <c r="M866" t="s">
        <v>40</v>
      </c>
      <c r="N866" t="s">
        <v>41</v>
      </c>
      <c r="O866" t="s">
        <v>42</v>
      </c>
      <c r="P866">
        <v>23</v>
      </c>
      <c r="Q866">
        <v>0</v>
      </c>
      <c r="R866">
        <v>0</v>
      </c>
      <c r="S866">
        <v>0</v>
      </c>
      <c r="T866" t="s">
        <v>2848</v>
      </c>
      <c r="U866" t="s">
        <v>44</v>
      </c>
      <c r="W866" t="s">
        <v>2849</v>
      </c>
      <c r="Y866">
        <v>0</v>
      </c>
      <c r="AA866" t="s">
        <v>40</v>
      </c>
      <c r="AB866" t="s">
        <v>46</v>
      </c>
      <c r="AC866" t="s">
        <v>47</v>
      </c>
      <c r="AF866" t="s">
        <v>367</v>
      </c>
      <c r="AJ866" t="s">
        <v>40</v>
      </c>
      <c r="AK866" t="s">
        <v>49</v>
      </c>
      <c r="AM866" t="s">
        <v>2850</v>
      </c>
      <c r="AN866" t="s">
        <v>2851</v>
      </c>
      <c r="AO866" s="1">
        <v>45958</v>
      </c>
      <c r="AP866" s="5">
        <v>0.33333333333333331</v>
      </c>
      <c r="AS866">
        <v>1</v>
      </c>
    </row>
    <row r="867" spans="1:45" x14ac:dyDescent="0.2">
      <c r="A867">
        <f t="shared" si="54"/>
        <v>2025</v>
      </c>
      <c r="B867">
        <f t="shared" si="55"/>
        <v>10</v>
      </c>
      <c r="C867">
        <f t="shared" si="56"/>
        <v>44</v>
      </c>
      <c r="D867" s="2">
        <f t="shared" si="57"/>
        <v>45958</v>
      </c>
      <c r="E867" s="1">
        <v>45958.333333333336</v>
      </c>
      <c r="F867" t="s">
        <v>2852</v>
      </c>
      <c r="G867" t="s">
        <v>36</v>
      </c>
      <c r="H867" t="s">
        <v>37</v>
      </c>
      <c r="I867" t="s">
        <v>38</v>
      </c>
      <c r="J867" t="s">
        <v>112</v>
      </c>
      <c r="M867" t="s">
        <v>40</v>
      </c>
      <c r="N867" t="s">
        <v>41</v>
      </c>
      <c r="O867" t="s">
        <v>42</v>
      </c>
      <c r="P867">
        <v>23</v>
      </c>
      <c r="Q867">
        <v>0</v>
      </c>
      <c r="R867">
        <v>0</v>
      </c>
      <c r="S867">
        <v>0</v>
      </c>
      <c r="T867" t="s">
        <v>2853</v>
      </c>
      <c r="U867" t="s">
        <v>44</v>
      </c>
      <c r="W867" t="s">
        <v>2854</v>
      </c>
      <c r="Y867">
        <v>0</v>
      </c>
      <c r="AA867" t="s">
        <v>40</v>
      </c>
      <c r="AB867" t="s">
        <v>46</v>
      </c>
      <c r="AC867" t="s">
        <v>47</v>
      </c>
      <c r="AF867" t="s">
        <v>48</v>
      </c>
      <c r="AJ867" t="s">
        <v>40</v>
      </c>
      <c r="AK867" t="s">
        <v>49</v>
      </c>
      <c r="AO867" s="1">
        <v>45958</v>
      </c>
      <c r="AP867" s="5">
        <v>0.33333333333333331</v>
      </c>
      <c r="AS867">
        <v>1</v>
      </c>
    </row>
    <row r="868" spans="1:45" x14ac:dyDescent="0.2">
      <c r="A868">
        <f t="shared" si="54"/>
        <v>2025</v>
      </c>
      <c r="B868">
        <f t="shared" si="55"/>
        <v>10</v>
      </c>
      <c r="C868">
        <f t="shared" si="56"/>
        <v>44</v>
      </c>
      <c r="D868" s="2">
        <f t="shared" si="57"/>
        <v>45958</v>
      </c>
      <c r="E868" s="1">
        <v>45958.333333333336</v>
      </c>
      <c r="F868" t="s">
        <v>2855</v>
      </c>
      <c r="G868" t="s">
        <v>36</v>
      </c>
      <c r="H868" t="s">
        <v>264</v>
      </c>
      <c r="I868" t="s">
        <v>38</v>
      </c>
      <c r="J868" t="s">
        <v>265</v>
      </c>
      <c r="M868" t="s">
        <v>40</v>
      </c>
      <c r="N868" t="s">
        <v>41</v>
      </c>
      <c r="O868" t="s">
        <v>42</v>
      </c>
      <c r="P868">
        <v>23</v>
      </c>
      <c r="Q868">
        <v>0</v>
      </c>
      <c r="R868">
        <v>0</v>
      </c>
      <c r="S868">
        <v>0</v>
      </c>
      <c r="T868" t="s">
        <v>2856</v>
      </c>
      <c r="U868" t="s">
        <v>55</v>
      </c>
      <c r="W868" t="s">
        <v>2854</v>
      </c>
      <c r="Y868">
        <v>0</v>
      </c>
      <c r="AA868" t="s">
        <v>40</v>
      </c>
      <c r="AB868" t="s">
        <v>46</v>
      </c>
      <c r="AC868" t="s">
        <v>47</v>
      </c>
      <c r="AF868" t="s">
        <v>48</v>
      </c>
      <c r="AJ868" t="s">
        <v>40</v>
      </c>
      <c r="AK868" t="s">
        <v>49</v>
      </c>
      <c r="AO868" s="1">
        <v>45958</v>
      </c>
      <c r="AP868" s="5">
        <v>0.33333333333333331</v>
      </c>
      <c r="AS868">
        <v>1</v>
      </c>
    </row>
    <row r="869" spans="1:45" x14ac:dyDescent="0.2">
      <c r="A869">
        <f t="shared" si="54"/>
        <v>2025</v>
      </c>
      <c r="B869">
        <f t="shared" si="55"/>
        <v>10</v>
      </c>
      <c r="C869">
        <f t="shared" si="56"/>
        <v>44</v>
      </c>
      <c r="D869" s="2">
        <f t="shared" si="57"/>
        <v>45958</v>
      </c>
      <c r="E869" s="1">
        <v>45958.375</v>
      </c>
      <c r="F869" t="s">
        <v>2857</v>
      </c>
      <c r="G869" t="s">
        <v>36</v>
      </c>
      <c r="H869" t="s">
        <v>2858</v>
      </c>
      <c r="I869" t="s">
        <v>38</v>
      </c>
      <c r="J869" t="s">
        <v>265</v>
      </c>
      <c r="M869" t="s">
        <v>40</v>
      </c>
      <c r="N869" t="s">
        <v>41</v>
      </c>
      <c r="O869" t="s">
        <v>42</v>
      </c>
      <c r="P869">
        <v>33</v>
      </c>
      <c r="Q869">
        <v>0</v>
      </c>
      <c r="R869">
        <v>0</v>
      </c>
      <c r="S869">
        <v>0</v>
      </c>
      <c r="T869">
        <v>4505795486</v>
      </c>
      <c r="U869" t="s">
        <v>44</v>
      </c>
      <c r="W869" t="s">
        <v>2859</v>
      </c>
      <c r="Y869">
        <v>0</v>
      </c>
      <c r="AA869" t="s">
        <v>40</v>
      </c>
      <c r="AB869" t="s">
        <v>46</v>
      </c>
      <c r="AC869" t="s">
        <v>47</v>
      </c>
      <c r="AF869" t="s">
        <v>2860</v>
      </c>
      <c r="AJ869" t="s">
        <v>40</v>
      </c>
      <c r="AK869" t="s">
        <v>49</v>
      </c>
      <c r="AO869" s="1">
        <v>45958</v>
      </c>
      <c r="AP869" s="5">
        <v>0.375</v>
      </c>
      <c r="AS869">
        <v>1</v>
      </c>
    </row>
    <row r="870" spans="1:45" x14ac:dyDescent="0.2">
      <c r="A870">
        <f t="shared" si="54"/>
        <v>2025</v>
      </c>
      <c r="B870">
        <f t="shared" si="55"/>
        <v>10</v>
      </c>
      <c r="C870">
        <f t="shared" si="56"/>
        <v>44</v>
      </c>
      <c r="D870" s="2">
        <f t="shared" si="57"/>
        <v>45958</v>
      </c>
      <c r="E870" s="1">
        <v>45958.375</v>
      </c>
      <c r="F870" t="s">
        <v>2861</v>
      </c>
      <c r="G870" t="s">
        <v>36</v>
      </c>
      <c r="H870" t="s">
        <v>239</v>
      </c>
      <c r="I870" t="s">
        <v>38</v>
      </c>
      <c r="J870" t="s">
        <v>240</v>
      </c>
      <c r="M870" t="s">
        <v>40</v>
      </c>
      <c r="N870" t="s">
        <v>41</v>
      </c>
      <c r="O870" t="s">
        <v>42</v>
      </c>
      <c r="P870">
        <v>29</v>
      </c>
      <c r="Q870">
        <v>0</v>
      </c>
      <c r="R870">
        <v>0</v>
      </c>
      <c r="S870">
        <v>0</v>
      </c>
      <c r="T870" t="s">
        <v>2862</v>
      </c>
      <c r="U870" t="s">
        <v>44</v>
      </c>
      <c r="W870" t="s">
        <v>2859</v>
      </c>
      <c r="Y870">
        <v>0</v>
      </c>
      <c r="AA870" t="s">
        <v>40</v>
      </c>
      <c r="AB870" t="s">
        <v>46</v>
      </c>
      <c r="AC870" t="s">
        <v>47</v>
      </c>
      <c r="AF870" t="s">
        <v>242</v>
      </c>
      <c r="AJ870" t="s">
        <v>40</v>
      </c>
      <c r="AK870" t="s">
        <v>49</v>
      </c>
      <c r="AO870" s="1">
        <v>45958</v>
      </c>
      <c r="AP870" s="5">
        <v>0.375</v>
      </c>
      <c r="AS870">
        <v>1</v>
      </c>
    </row>
    <row r="871" spans="1:45" x14ac:dyDescent="0.2">
      <c r="A871">
        <f t="shared" si="54"/>
        <v>2025</v>
      </c>
      <c r="B871">
        <f t="shared" si="55"/>
        <v>10</v>
      </c>
      <c r="C871">
        <f t="shared" si="56"/>
        <v>44</v>
      </c>
      <c r="D871" s="2">
        <f t="shared" si="57"/>
        <v>45958</v>
      </c>
      <c r="E871" s="1">
        <v>45958.375</v>
      </c>
      <c r="F871" t="s">
        <v>2863</v>
      </c>
      <c r="G871" t="s">
        <v>36</v>
      </c>
      <c r="H871" t="s">
        <v>626</v>
      </c>
      <c r="I871" t="s">
        <v>38</v>
      </c>
      <c r="J871" t="s">
        <v>451</v>
      </c>
      <c r="M871" t="s">
        <v>40</v>
      </c>
      <c r="N871" t="s">
        <v>41</v>
      </c>
      <c r="O871" t="s">
        <v>42</v>
      </c>
      <c r="P871">
        <v>23</v>
      </c>
      <c r="Q871">
        <v>0</v>
      </c>
      <c r="R871">
        <v>0</v>
      </c>
      <c r="S871">
        <v>0</v>
      </c>
      <c r="T871" t="s">
        <v>2864</v>
      </c>
      <c r="U871" t="s">
        <v>44</v>
      </c>
      <c r="W871" t="s">
        <v>2854</v>
      </c>
      <c r="Y871">
        <v>0</v>
      </c>
      <c r="AA871" t="s">
        <v>40</v>
      </c>
      <c r="AB871" t="s">
        <v>46</v>
      </c>
      <c r="AC871" t="s">
        <v>47</v>
      </c>
      <c r="AF871" t="s">
        <v>48</v>
      </c>
      <c r="AJ871" t="s">
        <v>40</v>
      </c>
      <c r="AK871" t="s">
        <v>49</v>
      </c>
      <c r="AO871" s="1">
        <v>45958</v>
      </c>
      <c r="AP871" s="5">
        <v>0.375</v>
      </c>
      <c r="AS871">
        <v>1</v>
      </c>
    </row>
    <row r="872" spans="1:45" x14ac:dyDescent="0.2">
      <c r="A872">
        <f t="shared" si="54"/>
        <v>2025</v>
      </c>
      <c r="B872">
        <f t="shared" si="55"/>
        <v>10</v>
      </c>
      <c r="C872">
        <f t="shared" si="56"/>
        <v>44</v>
      </c>
      <c r="D872" s="2">
        <f t="shared" si="57"/>
        <v>45958</v>
      </c>
      <c r="E872" s="1">
        <v>45958.416666666664</v>
      </c>
      <c r="F872" t="s">
        <v>2865</v>
      </c>
      <c r="G872" t="s">
        <v>36</v>
      </c>
      <c r="H872" t="s">
        <v>2866</v>
      </c>
      <c r="I872" t="s">
        <v>38</v>
      </c>
      <c r="J872" t="s">
        <v>140</v>
      </c>
      <c r="M872" t="s">
        <v>40</v>
      </c>
      <c r="N872" t="s">
        <v>41</v>
      </c>
      <c r="O872" t="s">
        <v>42</v>
      </c>
      <c r="P872">
        <v>18</v>
      </c>
      <c r="Q872">
        <v>0</v>
      </c>
      <c r="R872">
        <v>0</v>
      </c>
      <c r="S872">
        <v>0</v>
      </c>
      <c r="T872">
        <v>5019093695</v>
      </c>
      <c r="U872" t="s">
        <v>44</v>
      </c>
      <c r="W872" t="s">
        <v>2859</v>
      </c>
      <c r="Y872">
        <v>0</v>
      </c>
      <c r="AA872" t="s">
        <v>40</v>
      </c>
      <c r="AB872" t="s">
        <v>46</v>
      </c>
      <c r="AC872" t="s">
        <v>47</v>
      </c>
      <c r="AF872" t="s">
        <v>2867</v>
      </c>
      <c r="AJ872" t="s">
        <v>40</v>
      </c>
      <c r="AK872" t="s">
        <v>49</v>
      </c>
      <c r="AO872" s="1">
        <v>45958</v>
      </c>
      <c r="AP872" s="5">
        <v>0.41666666666666669</v>
      </c>
      <c r="AS872">
        <v>1</v>
      </c>
    </row>
    <row r="873" spans="1:45" x14ac:dyDescent="0.2">
      <c r="A873">
        <f t="shared" si="54"/>
        <v>2025</v>
      </c>
      <c r="B873">
        <f t="shared" si="55"/>
        <v>10</v>
      </c>
      <c r="C873">
        <f t="shared" si="56"/>
        <v>44</v>
      </c>
      <c r="D873" s="2">
        <f t="shared" si="57"/>
        <v>45958</v>
      </c>
      <c r="E873" s="1">
        <v>45958.416666666664</v>
      </c>
      <c r="F873" t="s">
        <v>2868</v>
      </c>
      <c r="G873" t="s">
        <v>36</v>
      </c>
      <c r="H873" t="s">
        <v>106</v>
      </c>
      <c r="I873" t="s">
        <v>38</v>
      </c>
      <c r="J873" t="s">
        <v>107</v>
      </c>
      <c r="M873" t="s">
        <v>40</v>
      </c>
      <c r="N873" t="s">
        <v>41</v>
      </c>
      <c r="O873" t="s">
        <v>42</v>
      </c>
      <c r="P873">
        <v>33</v>
      </c>
      <c r="Q873">
        <v>0</v>
      </c>
      <c r="R873">
        <v>0</v>
      </c>
      <c r="S873">
        <v>0</v>
      </c>
      <c r="T873">
        <v>5019257677</v>
      </c>
      <c r="U873" t="s">
        <v>44</v>
      </c>
      <c r="W873" t="s">
        <v>2859</v>
      </c>
      <c r="Y873">
        <v>0</v>
      </c>
      <c r="AA873" t="s">
        <v>40</v>
      </c>
      <c r="AB873" t="s">
        <v>46</v>
      </c>
      <c r="AC873" t="s">
        <v>47</v>
      </c>
      <c r="AF873" t="s">
        <v>2869</v>
      </c>
      <c r="AJ873" t="s">
        <v>40</v>
      </c>
      <c r="AK873" t="s">
        <v>49</v>
      </c>
      <c r="AO873" s="1">
        <v>45958</v>
      </c>
      <c r="AP873" s="5">
        <v>0.41666666666666669</v>
      </c>
      <c r="AS873">
        <v>1</v>
      </c>
    </row>
    <row r="874" spans="1:45" x14ac:dyDescent="0.2">
      <c r="A874">
        <f t="shared" si="54"/>
        <v>2025</v>
      </c>
      <c r="B874">
        <f t="shared" si="55"/>
        <v>10</v>
      </c>
      <c r="C874">
        <f t="shared" si="56"/>
        <v>44</v>
      </c>
      <c r="D874" s="2">
        <f t="shared" si="57"/>
        <v>45958</v>
      </c>
      <c r="E874" s="1">
        <v>45958.416666666664</v>
      </c>
      <c r="F874" t="s">
        <v>2870</v>
      </c>
      <c r="G874" t="s">
        <v>36</v>
      </c>
      <c r="H874">
        <v>462528</v>
      </c>
      <c r="I874" t="s">
        <v>51</v>
      </c>
      <c r="J874" t="s">
        <v>52</v>
      </c>
      <c r="M874" t="s">
        <v>40</v>
      </c>
      <c r="N874" t="s">
        <v>41</v>
      </c>
      <c r="O874" t="s">
        <v>433</v>
      </c>
      <c r="P874">
        <v>33</v>
      </c>
      <c r="Q874">
        <v>0</v>
      </c>
      <c r="R874">
        <v>0</v>
      </c>
      <c r="S874">
        <v>0</v>
      </c>
      <c r="T874" t="s">
        <v>54</v>
      </c>
      <c r="U874" t="s">
        <v>55</v>
      </c>
      <c r="W874" t="s">
        <v>2871</v>
      </c>
      <c r="Y874">
        <v>0</v>
      </c>
      <c r="AA874" t="s">
        <v>40</v>
      </c>
      <c r="AB874" t="s">
        <v>46</v>
      </c>
      <c r="AC874" t="s">
        <v>47</v>
      </c>
      <c r="AG874" t="s">
        <v>2872</v>
      </c>
      <c r="AJ874" t="s">
        <v>40</v>
      </c>
      <c r="AK874">
        <v>5019257185</v>
      </c>
      <c r="AO874" s="1">
        <v>45958</v>
      </c>
      <c r="AP874" s="5">
        <v>0.41666666666666669</v>
      </c>
      <c r="AS874">
        <v>1</v>
      </c>
    </row>
    <row r="875" spans="1:45" x14ac:dyDescent="0.2">
      <c r="A875">
        <f t="shared" si="54"/>
        <v>2025</v>
      </c>
      <c r="B875">
        <f t="shared" si="55"/>
        <v>10</v>
      </c>
      <c r="C875">
        <f t="shared" si="56"/>
        <v>44</v>
      </c>
      <c r="D875" s="2">
        <f t="shared" si="57"/>
        <v>45958</v>
      </c>
      <c r="E875" s="1">
        <v>45958.458333333336</v>
      </c>
      <c r="F875" t="s">
        <v>2873</v>
      </c>
      <c r="G875" t="s">
        <v>36</v>
      </c>
      <c r="H875" t="s">
        <v>111</v>
      </c>
      <c r="I875" t="s">
        <v>38</v>
      </c>
      <c r="J875" t="s">
        <v>99</v>
      </c>
      <c r="M875" t="s">
        <v>40</v>
      </c>
      <c r="N875" t="s">
        <v>41</v>
      </c>
      <c r="O875" t="s">
        <v>42</v>
      </c>
      <c r="P875">
        <v>7</v>
      </c>
      <c r="Q875">
        <v>0</v>
      </c>
      <c r="R875">
        <v>0</v>
      </c>
      <c r="S875">
        <v>0</v>
      </c>
      <c r="T875" t="s">
        <v>2874</v>
      </c>
      <c r="U875" t="s">
        <v>101</v>
      </c>
      <c r="W875" t="s">
        <v>2854</v>
      </c>
      <c r="Y875">
        <v>0</v>
      </c>
      <c r="AA875" t="s">
        <v>40</v>
      </c>
      <c r="AB875" t="s">
        <v>46</v>
      </c>
      <c r="AC875" t="s">
        <v>47</v>
      </c>
      <c r="AF875" t="s">
        <v>48</v>
      </c>
      <c r="AJ875" t="s">
        <v>40</v>
      </c>
      <c r="AK875" t="s">
        <v>49</v>
      </c>
      <c r="AO875" s="1">
        <v>45958</v>
      </c>
      <c r="AP875" s="5">
        <v>0.45833333333333331</v>
      </c>
      <c r="AS875">
        <v>1</v>
      </c>
    </row>
    <row r="876" spans="1:45" x14ac:dyDescent="0.2">
      <c r="A876">
        <f t="shared" si="54"/>
        <v>2025</v>
      </c>
      <c r="B876">
        <f t="shared" si="55"/>
        <v>10</v>
      </c>
      <c r="C876">
        <f t="shared" si="56"/>
        <v>44</v>
      </c>
      <c r="D876" s="2">
        <f t="shared" si="57"/>
        <v>45958</v>
      </c>
      <c r="E876" s="1">
        <v>45958.458333333336</v>
      </c>
      <c r="F876" t="s">
        <v>2875</v>
      </c>
      <c r="G876" t="s">
        <v>36</v>
      </c>
      <c r="H876">
        <v>464645</v>
      </c>
      <c r="I876" t="s">
        <v>51</v>
      </c>
      <c r="J876" t="s">
        <v>52</v>
      </c>
      <c r="M876" t="s">
        <v>40</v>
      </c>
      <c r="N876" t="s">
        <v>41</v>
      </c>
      <c r="O876" t="s">
        <v>53</v>
      </c>
      <c r="P876">
        <v>33</v>
      </c>
      <c r="Q876">
        <v>0</v>
      </c>
      <c r="R876">
        <v>0</v>
      </c>
      <c r="S876">
        <v>0</v>
      </c>
      <c r="T876" t="s">
        <v>54</v>
      </c>
      <c r="U876" t="s">
        <v>55</v>
      </c>
      <c r="W876" t="s">
        <v>2876</v>
      </c>
      <c r="Y876">
        <v>0</v>
      </c>
      <c r="AA876" t="s">
        <v>40</v>
      </c>
      <c r="AB876" t="s">
        <v>46</v>
      </c>
      <c r="AC876" t="s">
        <v>47</v>
      </c>
      <c r="AG876" t="s">
        <v>2877</v>
      </c>
      <c r="AJ876" t="s">
        <v>40</v>
      </c>
      <c r="AK876">
        <v>5019257314</v>
      </c>
      <c r="AO876" s="1">
        <v>45958</v>
      </c>
      <c r="AP876" s="5">
        <v>0.45833333333333331</v>
      </c>
      <c r="AS876">
        <v>1</v>
      </c>
    </row>
    <row r="877" spans="1:45" x14ac:dyDescent="0.2">
      <c r="A877">
        <f t="shared" si="54"/>
        <v>2025</v>
      </c>
      <c r="B877">
        <f t="shared" si="55"/>
        <v>10</v>
      </c>
      <c r="C877">
        <f t="shared" si="56"/>
        <v>44</v>
      </c>
      <c r="D877" s="2">
        <f t="shared" si="57"/>
        <v>45958</v>
      </c>
      <c r="E877" s="1">
        <v>45958.458333333336</v>
      </c>
      <c r="F877" t="s">
        <v>2878</v>
      </c>
      <c r="G877" t="s">
        <v>36</v>
      </c>
      <c r="H877" t="s">
        <v>626</v>
      </c>
      <c r="I877" t="s">
        <v>38</v>
      </c>
      <c r="J877" t="s">
        <v>451</v>
      </c>
      <c r="M877" t="s">
        <v>40</v>
      </c>
      <c r="N877" t="s">
        <v>41</v>
      </c>
      <c r="O877" t="s">
        <v>42</v>
      </c>
      <c r="P877">
        <v>23</v>
      </c>
      <c r="Q877">
        <v>0</v>
      </c>
      <c r="R877">
        <v>0</v>
      </c>
      <c r="S877">
        <v>0</v>
      </c>
      <c r="T877" t="s">
        <v>2879</v>
      </c>
      <c r="U877" t="s">
        <v>44</v>
      </c>
      <c r="W877" t="s">
        <v>2854</v>
      </c>
      <c r="Y877">
        <v>0</v>
      </c>
      <c r="AA877" t="s">
        <v>40</v>
      </c>
      <c r="AB877" t="s">
        <v>46</v>
      </c>
      <c r="AC877" t="s">
        <v>47</v>
      </c>
      <c r="AF877" t="s">
        <v>48</v>
      </c>
      <c r="AJ877" t="s">
        <v>40</v>
      </c>
      <c r="AK877" t="s">
        <v>49</v>
      </c>
      <c r="AO877" s="1">
        <v>45958</v>
      </c>
      <c r="AP877" s="5">
        <v>0.45833333333333331</v>
      </c>
      <c r="AS877">
        <v>1</v>
      </c>
    </row>
    <row r="878" spans="1:45" x14ac:dyDescent="0.2">
      <c r="A878">
        <f t="shared" si="54"/>
        <v>2025</v>
      </c>
      <c r="B878">
        <f t="shared" si="55"/>
        <v>10</v>
      </c>
      <c r="C878">
        <f t="shared" si="56"/>
        <v>44</v>
      </c>
      <c r="D878" s="2">
        <f t="shared" si="57"/>
        <v>45958</v>
      </c>
      <c r="E878" s="1">
        <v>45958.458333333336</v>
      </c>
      <c r="F878" t="s">
        <v>2880</v>
      </c>
      <c r="G878" t="s">
        <v>36</v>
      </c>
      <c r="H878" t="s">
        <v>1167</v>
      </c>
      <c r="I878" t="s">
        <v>38</v>
      </c>
      <c r="J878" t="s">
        <v>1168</v>
      </c>
      <c r="M878" t="s">
        <v>40</v>
      </c>
      <c r="N878" t="s">
        <v>41</v>
      </c>
      <c r="O878" t="s">
        <v>42</v>
      </c>
      <c r="P878">
        <v>30</v>
      </c>
      <c r="Q878">
        <v>0</v>
      </c>
      <c r="R878">
        <v>0</v>
      </c>
      <c r="S878">
        <v>0</v>
      </c>
      <c r="T878" t="s">
        <v>2881</v>
      </c>
      <c r="U878" t="s">
        <v>44</v>
      </c>
      <c r="W878" t="s">
        <v>2859</v>
      </c>
      <c r="Y878">
        <v>0</v>
      </c>
      <c r="AA878" t="s">
        <v>40</v>
      </c>
      <c r="AB878" t="s">
        <v>46</v>
      </c>
      <c r="AC878" t="s">
        <v>47</v>
      </c>
      <c r="AF878" t="s">
        <v>2882</v>
      </c>
      <c r="AJ878" t="s">
        <v>40</v>
      </c>
      <c r="AK878" t="s">
        <v>49</v>
      </c>
      <c r="AO878" s="1">
        <v>45958</v>
      </c>
      <c r="AP878" s="5">
        <v>0.45833333333333331</v>
      </c>
      <c r="AS878">
        <v>1</v>
      </c>
    </row>
    <row r="879" spans="1:45" x14ac:dyDescent="0.2">
      <c r="A879">
        <f t="shared" si="54"/>
        <v>2025</v>
      </c>
      <c r="B879">
        <f t="shared" si="55"/>
        <v>10</v>
      </c>
      <c r="C879">
        <f t="shared" si="56"/>
        <v>44</v>
      </c>
      <c r="D879" s="2">
        <f t="shared" si="57"/>
        <v>45958</v>
      </c>
      <c r="E879" s="1">
        <v>45958.5</v>
      </c>
      <c r="F879" t="s">
        <v>2883</v>
      </c>
      <c r="G879" t="s">
        <v>36</v>
      </c>
      <c r="H879">
        <v>464658</v>
      </c>
      <c r="I879" t="s">
        <v>51</v>
      </c>
      <c r="J879" t="s">
        <v>52</v>
      </c>
      <c r="M879" t="s">
        <v>40</v>
      </c>
      <c r="N879" t="s">
        <v>41</v>
      </c>
      <c r="O879" t="s">
        <v>53</v>
      </c>
      <c r="P879">
        <v>33</v>
      </c>
      <c r="Q879">
        <v>0</v>
      </c>
      <c r="R879">
        <v>0</v>
      </c>
      <c r="S879">
        <v>0</v>
      </c>
      <c r="T879" t="s">
        <v>54</v>
      </c>
      <c r="U879" t="s">
        <v>55</v>
      </c>
      <c r="W879" t="s">
        <v>2876</v>
      </c>
      <c r="Y879">
        <v>0</v>
      </c>
      <c r="AA879" t="s">
        <v>40</v>
      </c>
      <c r="AB879" t="s">
        <v>46</v>
      </c>
      <c r="AC879" t="s">
        <v>47</v>
      </c>
      <c r="AG879" t="s">
        <v>2884</v>
      </c>
      <c r="AJ879" t="s">
        <v>40</v>
      </c>
      <c r="AK879">
        <v>5019257313</v>
      </c>
      <c r="AO879" s="1">
        <v>45958</v>
      </c>
      <c r="AP879" s="5">
        <v>0.5</v>
      </c>
      <c r="AS879">
        <v>1</v>
      </c>
    </row>
    <row r="880" spans="1:45" x14ac:dyDescent="0.2">
      <c r="A880">
        <f t="shared" si="54"/>
        <v>2025</v>
      </c>
      <c r="B880">
        <f t="shared" si="55"/>
        <v>10</v>
      </c>
      <c r="C880">
        <f t="shared" si="56"/>
        <v>44</v>
      </c>
      <c r="D880" s="2">
        <f t="shared" si="57"/>
        <v>45958</v>
      </c>
      <c r="E880" s="1">
        <v>45958.5</v>
      </c>
      <c r="F880" t="s">
        <v>2885</v>
      </c>
      <c r="G880" t="s">
        <v>36</v>
      </c>
      <c r="H880">
        <v>464667</v>
      </c>
      <c r="I880" t="s">
        <v>51</v>
      </c>
      <c r="J880" t="s">
        <v>1025</v>
      </c>
      <c r="M880" t="s">
        <v>40</v>
      </c>
      <c r="N880" t="s">
        <v>41</v>
      </c>
      <c r="O880" t="s">
        <v>53</v>
      </c>
      <c r="P880">
        <v>33</v>
      </c>
      <c r="Q880">
        <v>0</v>
      </c>
      <c r="R880">
        <v>0</v>
      </c>
      <c r="S880">
        <v>0</v>
      </c>
      <c r="T880" t="s">
        <v>54</v>
      </c>
      <c r="U880" t="s">
        <v>55</v>
      </c>
      <c r="W880" t="s">
        <v>2304</v>
      </c>
      <c r="Y880">
        <v>0</v>
      </c>
      <c r="AA880" t="s">
        <v>40</v>
      </c>
      <c r="AB880" t="s">
        <v>46</v>
      </c>
      <c r="AC880" t="s">
        <v>47</v>
      </c>
      <c r="AG880" t="s">
        <v>2886</v>
      </c>
      <c r="AJ880" t="s">
        <v>40</v>
      </c>
      <c r="AK880">
        <v>5019271813</v>
      </c>
      <c r="AO880" s="1">
        <v>45958</v>
      </c>
      <c r="AP880" s="5">
        <v>0.5</v>
      </c>
      <c r="AS880">
        <v>1</v>
      </c>
    </row>
    <row r="881" spans="1:45" x14ac:dyDescent="0.2">
      <c r="A881">
        <f t="shared" si="54"/>
        <v>2025</v>
      </c>
      <c r="B881">
        <f t="shared" si="55"/>
        <v>10</v>
      </c>
      <c r="C881">
        <f t="shared" si="56"/>
        <v>44</v>
      </c>
      <c r="D881" s="2">
        <f t="shared" si="57"/>
        <v>45958</v>
      </c>
      <c r="E881" s="1">
        <v>45958.5</v>
      </c>
      <c r="F881" t="s">
        <v>2887</v>
      </c>
      <c r="G881" t="s">
        <v>36</v>
      </c>
      <c r="H881" t="s">
        <v>106</v>
      </c>
      <c r="I881" t="s">
        <v>38</v>
      </c>
      <c r="J881" t="s">
        <v>107</v>
      </c>
      <c r="M881" t="s">
        <v>40</v>
      </c>
      <c r="N881" t="s">
        <v>41</v>
      </c>
      <c r="O881" t="s">
        <v>42</v>
      </c>
      <c r="P881">
        <v>33</v>
      </c>
      <c r="Q881">
        <v>0</v>
      </c>
      <c r="R881">
        <v>0</v>
      </c>
      <c r="S881">
        <v>0</v>
      </c>
      <c r="T881">
        <v>5019249925</v>
      </c>
      <c r="U881" t="s">
        <v>44</v>
      </c>
      <c r="W881" t="s">
        <v>2859</v>
      </c>
      <c r="Y881">
        <v>0</v>
      </c>
      <c r="AA881" t="s">
        <v>40</v>
      </c>
      <c r="AB881" t="s">
        <v>46</v>
      </c>
      <c r="AC881" t="s">
        <v>47</v>
      </c>
      <c r="AF881" t="s">
        <v>109</v>
      </c>
      <c r="AJ881" t="s">
        <v>40</v>
      </c>
      <c r="AK881" t="s">
        <v>49</v>
      </c>
      <c r="AO881" s="1">
        <v>45958</v>
      </c>
      <c r="AP881" s="5">
        <v>0.5</v>
      </c>
      <c r="AS881">
        <v>1</v>
      </c>
    </row>
    <row r="882" spans="1:45" x14ac:dyDescent="0.2">
      <c r="A882">
        <f t="shared" si="54"/>
        <v>2025</v>
      </c>
      <c r="B882">
        <f t="shared" si="55"/>
        <v>10</v>
      </c>
      <c r="C882">
        <f t="shared" si="56"/>
        <v>44</v>
      </c>
      <c r="D882" s="2">
        <f t="shared" si="57"/>
        <v>45958</v>
      </c>
      <c r="E882" s="1">
        <v>45958.541666666664</v>
      </c>
      <c r="F882" t="s">
        <v>2888</v>
      </c>
      <c r="G882" t="s">
        <v>36</v>
      </c>
      <c r="H882" t="s">
        <v>2889</v>
      </c>
      <c r="I882" t="s">
        <v>2890</v>
      </c>
      <c r="J882" t="s">
        <v>1032</v>
      </c>
      <c r="M882" t="s">
        <v>40</v>
      </c>
      <c r="N882" t="s">
        <v>41</v>
      </c>
      <c r="O882" t="s">
        <v>2891</v>
      </c>
      <c r="P882">
        <v>32</v>
      </c>
      <c r="Q882">
        <v>0</v>
      </c>
      <c r="R882">
        <v>0</v>
      </c>
      <c r="S882">
        <v>0</v>
      </c>
      <c r="T882" t="s">
        <v>54</v>
      </c>
      <c r="U882" t="s">
        <v>44</v>
      </c>
      <c r="W882" t="s">
        <v>2892</v>
      </c>
      <c r="X882" t="s">
        <v>2893</v>
      </c>
      <c r="Y882">
        <v>0</v>
      </c>
      <c r="AA882" t="s">
        <v>40</v>
      </c>
      <c r="AB882" t="s">
        <v>46</v>
      </c>
      <c r="AC882" t="s">
        <v>47</v>
      </c>
      <c r="AD882" t="s">
        <v>2894</v>
      </c>
      <c r="AE882" t="s">
        <v>2894</v>
      </c>
      <c r="AG882" t="s">
        <v>2895</v>
      </c>
      <c r="AJ882" t="s">
        <v>40</v>
      </c>
      <c r="AK882" t="s">
        <v>2896</v>
      </c>
      <c r="AL882" t="s">
        <v>2897</v>
      </c>
      <c r="AM882" t="s">
        <v>2898</v>
      </c>
      <c r="AO882" s="1">
        <v>45958</v>
      </c>
      <c r="AP882" s="5">
        <v>0.54166666666666663</v>
      </c>
      <c r="AS882">
        <v>1</v>
      </c>
    </row>
    <row r="883" spans="1:45" x14ac:dyDescent="0.2">
      <c r="A883">
        <f t="shared" si="54"/>
        <v>2025</v>
      </c>
      <c r="B883">
        <f t="shared" si="55"/>
        <v>10</v>
      </c>
      <c r="C883">
        <f t="shared" si="56"/>
        <v>44</v>
      </c>
      <c r="D883" s="2">
        <f t="shared" si="57"/>
        <v>45958</v>
      </c>
      <c r="E883" s="1">
        <v>45958.541666666664</v>
      </c>
      <c r="F883" t="s">
        <v>2899</v>
      </c>
      <c r="G883" t="s">
        <v>36</v>
      </c>
      <c r="H883" t="s">
        <v>111</v>
      </c>
      <c r="I883" t="s">
        <v>38</v>
      </c>
      <c r="J883" t="s">
        <v>112</v>
      </c>
      <c r="M883" t="s">
        <v>40</v>
      </c>
      <c r="N883" t="s">
        <v>41</v>
      </c>
      <c r="O883" t="s">
        <v>42</v>
      </c>
      <c r="P883">
        <v>23</v>
      </c>
      <c r="Q883">
        <v>0</v>
      </c>
      <c r="R883">
        <v>0</v>
      </c>
      <c r="S883">
        <v>0</v>
      </c>
      <c r="T883" t="s">
        <v>2900</v>
      </c>
      <c r="U883" t="s">
        <v>44</v>
      </c>
      <c r="W883" t="s">
        <v>2854</v>
      </c>
      <c r="Y883">
        <v>0</v>
      </c>
      <c r="AA883" t="s">
        <v>40</v>
      </c>
      <c r="AB883" t="s">
        <v>46</v>
      </c>
      <c r="AC883" t="s">
        <v>47</v>
      </c>
      <c r="AF883" t="s">
        <v>48</v>
      </c>
      <c r="AJ883" t="s">
        <v>40</v>
      </c>
      <c r="AK883" t="s">
        <v>49</v>
      </c>
      <c r="AO883" s="1">
        <v>45958</v>
      </c>
      <c r="AP883" s="5">
        <v>0.54166666666666663</v>
      </c>
      <c r="AS883">
        <v>1</v>
      </c>
    </row>
    <row r="884" spans="1:45" x14ac:dyDescent="0.2">
      <c r="A884">
        <f t="shared" si="54"/>
        <v>2025</v>
      </c>
      <c r="B884">
        <f t="shared" si="55"/>
        <v>10</v>
      </c>
      <c r="C884">
        <f t="shared" si="56"/>
        <v>44</v>
      </c>
      <c r="D884" s="2">
        <f t="shared" si="57"/>
        <v>45958</v>
      </c>
      <c r="E884" s="1">
        <v>45958.541666666664</v>
      </c>
      <c r="F884" t="s">
        <v>2901</v>
      </c>
      <c r="G884" t="s">
        <v>36</v>
      </c>
      <c r="H884">
        <v>464661</v>
      </c>
      <c r="I884" t="s">
        <v>51</v>
      </c>
      <c r="J884" t="s">
        <v>154</v>
      </c>
      <c r="M884" t="s">
        <v>40</v>
      </c>
      <c r="N884" t="s">
        <v>41</v>
      </c>
      <c r="O884" t="s">
        <v>53</v>
      </c>
      <c r="P884">
        <v>33</v>
      </c>
      <c r="Q884">
        <v>0</v>
      </c>
      <c r="R884">
        <v>0</v>
      </c>
      <c r="S884">
        <v>0</v>
      </c>
      <c r="T884" t="s">
        <v>54</v>
      </c>
      <c r="U884" t="s">
        <v>55</v>
      </c>
      <c r="W884" t="s">
        <v>2427</v>
      </c>
      <c r="Y884">
        <v>0</v>
      </c>
      <c r="AA884" t="s">
        <v>40</v>
      </c>
      <c r="AB884" t="s">
        <v>46</v>
      </c>
      <c r="AC884" t="s">
        <v>47</v>
      </c>
      <c r="AG884" t="s">
        <v>2902</v>
      </c>
      <c r="AJ884" t="s">
        <v>40</v>
      </c>
      <c r="AK884">
        <v>5019269496</v>
      </c>
      <c r="AO884" s="1">
        <v>45958</v>
      </c>
      <c r="AP884" s="5">
        <v>0.54166666666666663</v>
      </c>
      <c r="AS884">
        <v>1</v>
      </c>
    </row>
    <row r="885" spans="1:45" x14ac:dyDescent="0.2">
      <c r="A885">
        <f t="shared" si="54"/>
        <v>2025</v>
      </c>
      <c r="B885">
        <f t="shared" si="55"/>
        <v>10</v>
      </c>
      <c r="C885">
        <f t="shared" si="56"/>
        <v>44</v>
      </c>
      <c r="D885" s="2">
        <f t="shared" si="57"/>
        <v>45958</v>
      </c>
      <c r="E885" s="1">
        <v>45958.583333333336</v>
      </c>
      <c r="F885" t="s">
        <v>2903</v>
      </c>
      <c r="G885" t="s">
        <v>36</v>
      </c>
      <c r="H885" t="s">
        <v>111</v>
      </c>
      <c r="I885" t="s">
        <v>38</v>
      </c>
      <c r="J885" t="s">
        <v>99</v>
      </c>
      <c r="M885" t="s">
        <v>40</v>
      </c>
      <c r="N885" t="s">
        <v>41</v>
      </c>
      <c r="O885" t="s">
        <v>42</v>
      </c>
      <c r="P885">
        <v>9</v>
      </c>
      <c r="Q885">
        <v>0</v>
      </c>
      <c r="R885">
        <v>0</v>
      </c>
      <c r="S885">
        <v>0</v>
      </c>
      <c r="T885" t="s">
        <v>2904</v>
      </c>
      <c r="U885" t="s">
        <v>101</v>
      </c>
      <c r="W885" t="s">
        <v>2854</v>
      </c>
      <c r="Y885">
        <v>0</v>
      </c>
      <c r="AA885" t="s">
        <v>40</v>
      </c>
      <c r="AB885" t="s">
        <v>46</v>
      </c>
      <c r="AC885" t="s">
        <v>47</v>
      </c>
      <c r="AF885" t="s">
        <v>48</v>
      </c>
      <c r="AJ885" t="s">
        <v>40</v>
      </c>
      <c r="AK885" t="s">
        <v>49</v>
      </c>
      <c r="AO885" s="1">
        <v>45958</v>
      </c>
      <c r="AP885" s="5">
        <v>0.58333333333333337</v>
      </c>
      <c r="AS885">
        <v>1</v>
      </c>
    </row>
    <row r="886" spans="1:45" x14ac:dyDescent="0.2">
      <c r="A886">
        <f t="shared" si="54"/>
        <v>2025</v>
      </c>
      <c r="B886">
        <f t="shared" si="55"/>
        <v>10</v>
      </c>
      <c r="C886">
        <f t="shared" si="56"/>
        <v>44</v>
      </c>
      <c r="D886" s="2">
        <f t="shared" si="57"/>
        <v>45958</v>
      </c>
      <c r="E886" s="1">
        <v>45958.583333333336</v>
      </c>
      <c r="F886" t="s">
        <v>2905</v>
      </c>
      <c r="G886" t="s">
        <v>36</v>
      </c>
      <c r="H886" t="s">
        <v>111</v>
      </c>
      <c r="I886" t="s">
        <v>38</v>
      </c>
      <c r="J886" t="s">
        <v>112</v>
      </c>
      <c r="M886" t="s">
        <v>40</v>
      </c>
      <c r="N886" t="s">
        <v>41</v>
      </c>
      <c r="O886" t="s">
        <v>42</v>
      </c>
      <c r="P886">
        <v>23</v>
      </c>
      <c r="Q886">
        <v>0</v>
      </c>
      <c r="R886">
        <v>0</v>
      </c>
      <c r="S886">
        <v>0</v>
      </c>
      <c r="T886" t="s">
        <v>2906</v>
      </c>
      <c r="U886" t="s">
        <v>44</v>
      </c>
      <c r="W886" t="s">
        <v>2854</v>
      </c>
      <c r="Y886">
        <v>0</v>
      </c>
      <c r="AA886" t="s">
        <v>40</v>
      </c>
      <c r="AB886" t="s">
        <v>46</v>
      </c>
      <c r="AC886" t="s">
        <v>47</v>
      </c>
      <c r="AF886" t="s">
        <v>48</v>
      </c>
      <c r="AJ886" t="s">
        <v>40</v>
      </c>
      <c r="AK886" t="s">
        <v>49</v>
      </c>
      <c r="AO886" s="1">
        <v>45958</v>
      </c>
      <c r="AP886" s="5">
        <v>0.58333333333333337</v>
      </c>
      <c r="AS886">
        <v>1</v>
      </c>
    </row>
    <row r="887" spans="1:45" x14ac:dyDescent="0.2">
      <c r="A887">
        <f t="shared" si="54"/>
        <v>2025</v>
      </c>
      <c r="B887">
        <f t="shared" si="55"/>
        <v>10</v>
      </c>
      <c r="C887">
        <f t="shared" si="56"/>
        <v>44</v>
      </c>
      <c r="D887" s="2">
        <f t="shared" si="57"/>
        <v>45958</v>
      </c>
      <c r="E887" s="1">
        <v>45958.583333333336</v>
      </c>
      <c r="F887" t="s">
        <v>2907</v>
      </c>
      <c r="G887" t="s">
        <v>36</v>
      </c>
      <c r="H887">
        <v>462536</v>
      </c>
      <c r="I887" t="s">
        <v>51</v>
      </c>
      <c r="J887" t="s">
        <v>126</v>
      </c>
      <c r="M887" t="s">
        <v>40</v>
      </c>
      <c r="N887" t="s">
        <v>41</v>
      </c>
      <c r="O887" t="s">
        <v>127</v>
      </c>
      <c r="P887">
        <v>33</v>
      </c>
      <c r="Q887">
        <v>0</v>
      </c>
      <c r="R887">
        <v>0</v>
      </c>
      <c r="S887">
        <v>0</v>
      </c>
      <c r="T887" t="s">
        <v>54</v>
      </c>
      <c r="U887" t="s">
        <v>55</v>
      </c>
      <c r="W887" t="s">
        <v>2908</v>
      </c>
      <c r="Y887">
        <v>0</v>
      </c>
      <c r="AA887" t="s">
        <v>40</v>
      </c>
      <c r="AB887" t="s">
        <v>46</v>
      </c>
      <c r="AC887" t="s">
        <v>47</v>
      </c>
      <c r="AG887" t="s">
        <v>2909</v>
      </c>
      <c r="AJ887" t="s">
        <v>40</v>
      </c>
      <c r="AK887">
        <v>5019253667</v>
      </c>
      <c r="AO887" s="1">
        <v>45958</v>
      </c>
      <c r="AP887" s="5">
        <v>0.58333333333333337</v>
      </c>
      <c r="AS887">
        <v>1</v>
      </c>
    </row>
    <row r="888" spans="1:45" x14ac:dyDescent="0.2">
      <c r="A888">
        <f t="shared" si="54"/>
        <v>2025</v>
      </c>
      <c r="B888">
        <f t="shared" si="55"/>
        <v>10</v>
      </c>
      <c r="C888">
        <f t="shared" si="56"/>
        <v>44</v>
      </c>
      <c r="D888" s="2">
        <f t="shared" si="57"/>
        <v>45958</v>
      </c>
      <c r="E888" s="1">
        <v>45958.625</v>
      </c>
      <c r="F888" t="s">
        <v>2910</v>
      </c>
      <c r="G888" t="s">
        <v>36</v>
      </c>
      <c r="H888" t="s">
        <v>2911</v>
      </c>
      <c r="I888" t="s">
        <v>218</v>
      </c>
      <c r="J888" t="s">
        <v>834</v>
      </c>
      <c r="M888" t="s">
        <v>40</v>
      </c>
      <c r="N888" t="s">
        <v>41</v>
      </c>
      <c r="O888" t="s">
        <v>2912</v>
      </c>
      <c r="P888">
        <v>99</v>
      </c>
      <c r="Q888">
        <v>0</v>
      </c>
      <c r="R888">
        <v>0</v>
      </c>
      <c r="S888">
        <v>0</v>
      </c>
      <c r="T888" t="s">
        <v>54</v>
      </c>
      <c r="U888" t="s">
        <v>55</v>
      </c>
      <c r="W888" t="s">
        <v>2913</v>
      </c>
      <c r="Y888">
        <v>0</v>
      </c>
      <c r="AA888" t="s">
        <v>40</v>
      </c>
      <c r="AB888" t="s">
        <v>46</v>
      </c>
      <c r="AC888" t="s">
        <v>47</v>
      </c>
      <c r="AD888" t="s">
        <v>223</v>
      </c>
      <c r="AE888" t="s">
        <v>223</v>
      </c>
      <c r="AG888" t="s">
        <v>2914</v>
      </c>
      <c r="AJ888" t="s">
        <v>40</v>
      </c>
      <c r="AK888" t="s">
        <v>2915</v>
      </c>
      <c r="AO888" s="1">
        <v>45958</v>
      </c>
      <c r="AP888" s="5">
        <v>0.625</v>
      </c>
      <c r="AS888">
        <v>1</v>
      </c>
    </row>
    <row r="889" spans="1:45" x14ac:dyDescent="0.2">
      <c r="A889">
        <f t="shared" si="54"/>
        <v>2025</v>
      </c>
      <c r="B889">
        <f t="shared" si="55"/>
        <v>10</v>
      </c>
      <c r="C889">
        <f t="shared" si="56"/>
        <v>44</v>
      </c>
      <c r="D889" s="2">
        <f t="shared" si="57"/>
        <v>45958</v>
      </c>
      <c r="E889" s="1">
        <v>45958.625</v>
      </c>
      <c r="F889" t="s">
        <v>2916</v>
      </c>
      <c r="G889" t="s">
        <v>36</v>
      </c>
      <c r="H889" t="s">
        <v>111</v>
      </c>
      <c r="I889" t="s">
        <v>38</v>
      </c>
      <c r="J889" t="s">
        <v>112</v>
      </c>
      <c r="M889" t="s">
        <v>40</v>
      </c>
      <c r="N889" t="s">
        <v>41</v>
      </c>
      <c r="O889" t="s">
        <v>42</v>
      </c>
      <c r="P889">
        <v>23</v>
      </c>
      <c r="Q889">
        <v>0</v>
      </c>
      <c r="R889">
        <v>0</v>
      </c>
      <c r="S889">
        <v>0</v>
      </c>
      <c r="T889" t="s">
        <v>2917</v>
      </c>
      <c r="U889" t="s">
        <v>44</v>
      </c>
      <c r="W889" t="s">
        <v>2854</v>
      </c>
      <c r="Y889">
        <v>0</v>
      </c>
      <c r="AA889" t="s">
        <v>40</v>
      </c>
      <c r="AB889" t="s">
        <v>46</v>
      </c>
      <c r="AC889" t="s">
        <v>47</v>
      </c>
      <c r="AF889" t="s">
        <v>48</v>
      </c>
      <c r="AJ889" t="s">
        <v>40</v>
      </c>
      <c r="AK889" t="s">
        <v>49</v>
      </c>
      <c r="AO889" s="1">
        <v>45958</v>
      </c>
      <c r="AP889" s="5">
        <v>0.625</v>
      </c>
      <c r="AS889">
        <v>1</v>
      </c>
    </row>
    <row r="890" spans="1:45" x14ac:dyDescent="0.2">
      <c r="A890">
        <f t="shared" si="54"/>
        <v>2025</v>
      </c>
      <c r="B890">
        <f t="shared" si="55"/>
        <v>10</v>
      </c>
      <c r="C890">
        <f t="shared" si="56"/>
        <v>44</v>
      </c>
      <c r="D890" s="2">
        <f t="shared" si="57"/>
        <v>45958</v>
      </c>
      <c r="E890" s="1">
        <v>45958.625</v>
      </c>
      <c r="F890" t="s">
        <v>2918</v>
      </c>
      <c r="G890" t="s">
        <v>36</v>
      </c>
      <c r="H890">
        <v>462513</v>
      </c>
      <c r="I890" t="s">
        <v>51</v>
      </c>
      <c r="J890" t="s">
        <v>188</v>
      </c>
      <c r="M890" t="s">
        <v>40</v>
      </c>
      <c r="N890" t="s">
        <v>41</v>
      </c>
      <c r="O890" t="s">
        <v>189</v>
      </c>
      <c r="P890">
        <v>33</v>
      </c>
      <c r="Q890">
        <v>0</v>
      </c>
      <c r="R890">
        <v>0</v>
      </c>
      <c r="S890">
        <v>0</v>
      </c>
      <c r="T890" t="s">
        <v>54</v>
      </c>
      <c r="U890" t="s">
        <v>55</v>
      </c>
      <c r="W890" t="s">
        <v>2919</v>
      </c>
      <c r="Y890">
        <v>0</v>
      </c>
      <c r="AA890" t="s">
        <v>40</v>
      </c>
      <c r="AB890" t="s">
        <v>46</v>
      </c>
      <c r="AC890" t="s">
        <v>47</v>
      </c>
      <c r="AG890" t="s">
        <v>2920</v>
      </c>
      <c r="AJ890" t="s">
        <v>40</v>
      </c>
      <c r="AK890">
        <v>5019261626</v>
      </c>
      <c r="AO890" s="1">
        <v>45958</v>
      </c>
      <c r="AP890" s="5">
        <v>0.625</v>
      </c>
      <c r="AS890">
        <v>1</v>
      </c>
    </row>
    <row r="891" spans="1:45" x14ac:dyDescent="0.2">
      <c r="A891">
        <f t="shared" si="54"/>
        <v>2025</v>
      </c>
      <c r="B891">
        <f t="shared" si="55"/>
        <v>10</v>
      </c>
      <c r="C891">
        <f t="shared" si="56"/>
        <v>44</v>
      </c>
      <c r="D891" s="2">
        <f t="shared" si="57"/>
        <v>45958</v>
      </c>
      <c r="E891" s="1">
        <v>45958.625</v>
      </c>
      <c r="F891" t="s">
        <v>2921</v>
      </c>
      <c r="G891" t="s">
        <v>36</v>
      </c>
      <c r="H891" t="s">
        <v>1960</v>
      </c>
      <c r="I891" t="s">
        <v>38</v>
      </c>
      <c r="J891" t="s">
        <v>99</v>
      </c>
      <c r="M891" t="s">
        <v>40</v>
      </c>
      <c r="N891" t="s">
        <v>41</v>
      </c>
      <c r="O891" t="s">
        <v>42</v>
      </c>
      <c r="P891">
        <v>2</v>
      </c>
      <c r="Q891">
        <v>0</v>
      </c>
      <c r="R891">
        <v>0</v>
      </c>
      <c r="S891">
        <v>0</v>
      </c>
      <c r="T891" t="s">
        <v>2922</v>
      </c>
      <c r="U891" t="s">
        <v>101</v>
      </c>
      <c r="W891" t="s">
        <v>2859</v>
      </c>
      <c r="Y891">
        <v>0</v>
      </c>
      <c r="AA891" t="s">
        <v>40</v>
      </c>
      <c r="AB891" t="s">
        <v>46</v>
      </c>
      <c r="AC891" t="s">
        <v>47</v>
      </c>
      <c r="AF891" t="s">
        <v>1207</v>
      </c>
      <c r="AJ891" t="s">
        <v>40</v>
      </c>
      <c r="AK891" t="s">
        <v>49</v>
      </c>
      <c r="AO891" s="1">
        <v>45958</v>
      </c>
      <c r="AP891" s="5">
        <v>0.625</v>
      </c>
      <c r="AS891">
        <v>1</v>
      </c>
    </row>
    <row r="892" spans="1:45" x14ac:dyDescent="0.2">
      <c r="A892">
        <f t="shared" si="54"/>
        <v>2025</v>
      </c>
      <c r="B892">
        <f t="shared" si="55"/>
        <v>10</v>
      </c>
      <c r="C892">
        <f t="shared" si="56"/>
        <v>44</v>
      </c>
      <c r="D892" s="2">
        <f t="shared" si="57"/>
        <v>45958</v>
      </c>
      <c r="E892" s="1">
        <v>45958.666666666664</v>
      </c>
      <c r="F892" t="s">
        <v>2923</v>
      </c>
      <c r="G892" t="s">
        <v>36</v>
      </c>
      <c r="H892" t="s">
        <v>1167</v>
      </c>
      <c r="I892" t="s">
        <v>38</v>
      </c>
      <c r="J892" t="s">
        <v>1168</v>
      </c>
      <c r="M892" t="s">
        <v>40</v>
      </c>
      <c r="N892" t="s">
        <v>41</v>
      </c>
      <c r="O892" t="s">
        <v>42</v>
      </c>
      <c r="P892">
        <v>30</v>
      </c>
      <c r="Q892">
        <v>0</v>
      </c>
      <c r="R892">
        <v>0</v>
      </c>
      <c r="S892">
        <v>0</v>
      </c>
      <c r="T892">
        <v>5019267641</v>
      </c>
      <c r="U892" t="s">
        <v>44</v>
      </c>
      <c r="W892" t="s">
        <v>2859</v>
      </c>
      <c r="Y892">
        <v>0</v>
      </c>
      <c r="AA892" t="s">
        <v>40</v>
      </c>
      <c r="AB892" t="s">
        <v>46</v>
      </c>
      <c r="AC892" t="s">
        <v>47</v>
      </c>
      <c r="AF892" t="s">
        <v>2882</v>
      </c>
      <c r="AJ892" t="s">
        <v>40</v>
      </c>
      <c r="AK892" t="s">
        <v>49</v>
      </c>
      <c r="AO892" s="1">
        <v>45958</v>
      </c>
      <c r="AP892" s="5">
        <v>0.66666666666666663</v>
      </c>
      <c r="AS892">
        <v>1</v>
      </c>
    </row>
    <row r="893" spans="1:45" x14ac:dyDescent="0.2">
      <c r="A893">
        <f t="shared" si="54"/>
        <v>2025</v>
      </c>
      <c r="B893">
        <f t="shared" si="55"/>
        <v>10</v>
      </c>
      <c r="C893">
        <f t="shared" si="56"/>
        <v>44</v>
      </c>
      <c r="D893" s="2">
        <f t="shared" si="57"/>
        <v>45958</v>
      </c>
      <c r="E893" s="1">
        <v>45958.666666666664</v>
      </c>
      <c r="F893" t="s">
        <v>2924</v>
      </c>
      <c r="G893" t="s">
        <v>36</v>
      </c>
      <c r="H893">
        <v>462520</v>
      </c>
      <c r="I893" t="s">
        <v>51</v>
      </c>
      <c r="J893" t="s">
        <v>118</v>
      </c>
      <c r="M893" t="s">
        <v>40</v>
      </c>
      <c r="N893" t="s">
        <v>41</v>
      </c>
      <c r="O893" t="s">
        <v>119</v>
      </c>
      <c r="P893">
        <v>33</v>
      </c>
      <c r="Q893">
        <v>0</v>
      </c>
      <c r="R893">
        <v>0</v>
      </c>
      <c r="S893">
        <v>0</v>
      </c>
      <c r="T893" t="s">
        <v>54</v>
      </c>
      <c r="U893" t="s">
        <v>55</v>
      </c>
      <c r="W893" t="s">
        <v>2925</v>
      </c>
      <c r="Y893">
        <v>0</v>
      </c>
      <c r="AA893" t="s">
        <v>40</v>
      </c>
      <c r="AB893" t="s">
        <v>46</v>
      </c>
      <c r="AC893" t="s">
        <v>47</v>
      </c>
      <c r="AG893" t="s">
        <v>2926</v>
      </c>
      <c r="AJ893" t="s">
        <v>40</v>
      </c>
      <c r="AK893">
        <v>5019260712</v>
      </c>
      <c r="AO893" s="1">
        <v>45958</v>
      </c>
      <c r="AP893" s="5">
        <v>0.66666666666666663</v>
      </c>
      <c r="AS893">
        <v>1</v>
      </c>
    </row>
    <row r="894" spans="1:45" x14ac:dyDescent="0.2">
      <c r="A894">
        <f t="shared" si="54"/>
        <v>2025</v>
      </c>
      <c r="B894">
        <f t="shared" si="55"/>
        <v>10</v>
      </c>
      <c r="C894">
        <f t="shared" si="56"/>
        <v>44</v>
      </c>
      <c r="D894" s="2">
        <f t="shared" si="57"/>
        <v>45958</v>
      </c>
      <c r="E894" s="1">
        <v>45958.666666666664</v>
      </c>
      <c r="F894" t="s">
        <v>2927</v>
      </c>
      <c r="G894" t="s">
        <v>36</v>
      </c>
      <c r="H894" t="s">
        <v>111</v>
      </c>
      <c r="I894" t="s">
        <v>38</v>
      </c>
      <c r="J894" t="s">
        <v>112</v>
      </c>
      <c r="M894" t="s">
        <v>40</v>
      </c>
      <c r="N894" t="s">
        <v>41</v>
      </c>
      <c r="O894" t="s">
        <v>42</v>
      </c>
      <c r="P894">
        <v>23</v>
      </c>
      <c r="Q894">
        <v>0</v>
      </c>
      <c r="R894">
        <v>0</v>
      </c>
      <c r="S894">
        <v>0</v>
      </c>
      <c r="T894" t="s">
        <v>2928</v>
      </c>
      <c r="U894" t="s">
        <v>44</v>
      </c>
      <c r="W894" t="s">
        <v>2854</v>
      </c>
      <c r="Y894">
        <v>0</v>
      </c>
      <c r="AA894" t="s">
        <v>40</v>
      </c>
      <c r="AB894" t="s">
        <v>46</v>
      </c>
      <c r="AC894" t="s">
        <v>47</v>
      </c>
      <c r="AF894" t="s">
        <v>48</v>
      </c>
      <c r="AJ894" t="s">
        <v>40</v>
      </c>
      <c r="AK894" t="s">
        <v>49</v>
      </c>
      <c r="AO894" s="1">
        <v>45958</v>
      </c>
      <c r="AP894" s="5">
        <v>0.66666666666666663</v>
      </c>
      <c r="AS894">
        <v>1</v>
      </c>
    </row>
    <row r="895" spans="1:45" x14ac:dyDescent="0.2">
      <c r="A895">
        <f t="shared" si="54"/>
        <v>2025</v>
      </c>
      <c r="B895">
        <f t="shared" si="55"/>
        <v>10</v>
      </c>
      <c r="C895">
        <f t="shared" si="56"/>
        <v>44</v>
      </c>
      <c r="D895" s="2">
        <f t="shared" si="57"/>
        <v>45958</v>
      </c>
      <c r="E895" s="1">
        <v>45958.666666666664</v>
      </c>
      <c r="F895" t="s">
        <v>2929</v>
      </c>
      <c r="G895" t="s">
        <v>36</v>
      </c>
      <c r="H895">
        <v>462504</v>
      </c>
      <c r="I895" t="s">
        <v>51</v>
      </c>
      <c r="J895" t="s">
        <v>154</v>
      </c>
      <c r="M895" t="s">
        <v>40</v>
      </c>
      <c r="N895" t="s">
        <v>41</v>
      </c>
      <c r="O895" t="s">
        <v>155</v>
      </c>
      <c r="P895">
        <v>33</v>
      </c>
      <c r="Q895">
        <v>0</v>
      </c>
      <c r="R895">
        <v>0</v>
      </c>
      <c r="S895">
        <v>0</v>
      </c>
      <c r="T895" t="s">
        <v>54</v>
      </c>
      <c r="U895" t="s">
        <v>55</v>
      </c>
      <c r="W895" t="s">
        <v>2930</v>
      </c>
      <c r="Y895">
        <v>0</v>
      </c>
      <c r="AA895" t="s">
        <v>40</v>
      </c>
      <c r="AB895" t="s">
        <v>46</v>
      </c>
      <c r="AC895" t="s">
        <v>47</v>
      </c>
      <c r="AG895" t="s">
        <v>2931</v>
      </c>
      <c r="AJ895" t="s">
        <v>40</v>
      </c>
      <c r="AK895">
        <v>5019262857</v>
      </c>
      <c r="AO895" s="1">
        <v>45958</v>
      </c>
      <c r="AP895" s="5">
        <v>0.66666666666666663</v>
      </c>
      <c r="AS895">
        <v>1</v>
      </c>
    </row>
    <row r="896" spans="1:45" x14ac:dyDescent="0.2">
      <c r="A896">
        <f t="shared" si="54"/>
        <v>2025</v>
      </c>
      <c r="B896">
        <f t="shared" si="55"/>
        <v>10</v>
      </c>
      <c r="C896">
        <f t="shared" si="56"/>
        <v>44</v>
      </c>
      <c r="D896" s="2">
        <f t="shared" si="57"/>
        <v>45958</v>
      </c>
      <c r="E896" s="1">
        <v>45958.708333333336</v>
      </c>
      <c r="F896" t="s">
        <v>2932</v>
      </c>
      <c r="G896" t="s">
        <v>36</v>
      </c>
      <c r="H896">
        <v>462538</v>
      </c>
      <c r="I896" t="s">
        <v>51</v>
      </c>
      <c r="J896" t="s">
        <v>188</v>
      </c>
      <c r="M896" t="s">
        <v>40</v>
      </c>
      <c r="N896" t="s">
        <v>41</v>
      </c>
      <c r="O896" t="s">
        <v>189</v>
      </c>
      <c r="P896">
        <v>33</v>
      </c>
      <c r="Q896">
        <v>0</v>
      </c>
      <c r="R896">
        <v>0</v>
      </c>
      <c r="S896">
        <v>0</v>
      </c>
      <c r="T896" t="s">
        <v>54</v>
      </c>
      <c r="U896" t="s">
        <v>55</v>
      </c>
      <c r="W896" t="s">
        <v>2933</v>
      </c>
      <c r="Y896">
        <v>0</v>
      </c>
      <c r="AA896" t="s">
        <v>40</v>
      </c>
      <c r="AB896" t="s">
        <v>46</v>
      </c>
      <c r="AC896" t="s">
        <v>47</v>
      </c>
      <c r="AG896" t="s">
        <v>2934</v>
      </c>
      <c r="AJ896" t="s">
        <v>40</v>
      </c>
      <c r="AK896">
        <v>5019276800</v>
      </c>
      <c r="AO896" s="1">
        <v>45958</v>
      </c>
      <c r="AP896" s="5">
        <v>0.70833333333333337</v>
      </c>
      <c r="AS896">
        <v>1</v>
      </c>
    </row>
    <row r="897" spans="1:45" x14ac:dyDescent="0.2">
      <c r="A897">
        <f t="shared" si="54"/>
        <v>2025</v>
      </c>
      <c r="B897">
        <f t="shared" si="55"/>
        <v>10</v>
      </c>
      <c r="C897">
        <f t="shared" si="56"/>
        <v>44</v>
      </c>
      <c r="D897" s="2">
        <f t="shared" si="57"/>
        <v>45958</v>
      </c>
      <c r="E897" s="1">
        <v>45958.708333333336</v>
      </c>
      <c r="F897" t="s">
        <v>2935</v>
      </c>
      <c r="G897" t="s">
        <v>36</v>
      </c>
      <c r="H897" t="s">
        <v>2379</v>
      </c>
      <c r="I897" t="s">
        <v>38</v>
      </c>
      <c r="J897" t="s">
        <v>2380</v>
      </c>
      <c r="M897" t="s">
        <v>40</v>
      </c>
      <c r="N897" t="s">
        <v>41</v>
      </c>
      <c r="O897" t="s">
        <v>42</v>
      </c>
      <c r="P897">
        <v>32</v>
      </c>
      <c r="Q897">
        <v>0</v>
      </c>
      <c r="R897">
        <v>0</v>
      </c>
      <c r="S897">
        <v>0</v>
      </c>
      <c r="T897">
        <v>90014139</v>
      </c>
      <c r="U897" t="s">
        <v>44</v>
      </c>
      <c r="W897" t="s">
        <v>2859</v>
      </c>
      <c r="Y897">
        <v>0</v>
      </c>
      <c r="AA897" t="s">
        <v>40</v>
      </c>
      <c r="AB897" t="s">
        <v>46</v>
      </c>
      <c r="AC897" t="s">
        <v>47</v>
      </c>
      <c r="AF897" t="s">
        <v>2381</v>
      </c>
      <c r="AJ897" t="s">
        <v>40</v>
      </c>
      <c r="AK897" t="s">
        <v>49</v>
      </c>
      <c r="AO897" s="1">
        <v>45958</v>
      </c>
      <c r="AP897" s="5">
        <v>0.70833333333333337</v>
      </c>
      <c r="AS897">
        <v>1</v>
      </c>
    </row>
    <row r="898" spans="1:45" x14ac:dyDescent="0.2">
      <c r="A898">
        <f t="shared" ref="A898:A961" si="58">YEAR(D898)</f>
        <v>2025</v>
      </c>
      <c r="B898">
        <f t="shared" ref="B898:B961" si="59">MONTH(D898)</f>
        <v>10</v>
      </c>
      <c r="C898">
        <f t="shared" ref="C898:C961" si="60">WEEKNUM(D898)</f>
        <v>44</v>
      </c>
      <c r="D898" s="2">
        <f t="shared" ref="D898:D961" si="61">INT(E898)</f>
        <v>45958</v>
      </c>
      <c r="E898" s="1">
        <v>45958.708333333336</v>
      </c>
      <c r="F898" t="s">
        <v>2936</v>
      </c>
      <c r="G898" t="s">
        <v>36</v>
      </c>
      <c r="H898">
        <v>462499</v>
      </c>
      <c r="I898" t="s">
        <v>51</v>
      </c>
      <c r="J898" t="s">
        <v>194</v>
      </c>
      <c r="M898" t="s">
        <v>40</v>
      </c>
      <c r="N898" t="s">
        <v>41</v>
      </c>
      <c r="O898" t="s">
        <v>189</v>
      </c>
      <c r="P898">
        <v>33</v>
      </c>
      <c r="Q898">
        <v>0</v>
      </c>
      <c r="R898">
        <v>0</v>
      </c>
      <c r="S898">
        <v>0</v>
      </c>
      <c r="T898" t="s">
        <v>54</v>
      </c>
      <c r="U898" t="s">
        <v>55</v>
      </c>
      <c r="W898" t="s">
        <v>2937</v>
      </c>
      <c r="Y898">
        <v>0</v>
      </c>
      <c r="AA898" t="s">
        <v>40</v>
      </c>
      <c r="AB898" t="s">
        <v>46</v>
      </c>
      <c r="AC898" t="s">
        <v>47</v>
      </c>
      <c r="AG898" t="s">
        <v>2938</v>
      </c>
      <c r="AJ898" t="s">
        <v>40</v>
      </c>
      <c r="AK898">
        <v>5019275605</v>
      </c>
      <c r="AO898" s="1">
        <v>45958</v>
      </c>
      <c r="AP898" s="5">
        <v>0.70833333333333337</v>
      </c>
      <c r="AS898">
        <v>1</v>
      </c>
    </row>
    <row r="899" spans="1:45" x14ac:dyDescent="0.2">
      <c r="A899">
        <f t="shared" si="58"/>
        <v>2025</v>
      </c>
      <c r="B899">
        <f t="shared" si="59"/>
        <v>10</v>
      </c>
      <c r="C899">
        <f t="shared" si="60"/>
        <v>44</v>
      </c>
      <c r="D899" s="2">
        <f t="shared" si="61"/>
        <v>45958</v>
      </c>
      <c r="E899" s="1">
        <v>45958.75</v>
      </c>
      <c r="F899" t="s">
        <v>2939</v>
      </c>
      <c r="G899" t="s">
        <v>36</v>
      </c>
      <c r="H899" t="s">
        <v>2379</v>
      </c>
      <c r="I899" t="s">
        <v>38</v>
      </c>
      <c r="J899" t="s">
        <v>2380</v>
      </c>
      <c r="M899" t="s">
        <v>40</v>
      </c>
      <c r="N899" t="s">
        <v>41</v>
      </c>
      <c r="O899" t="s">
        <v>42</v>
      </c>
      <c r="P899">
        <v>33</v>
      </c>
      <c r="Q899">
        <v>0</v>
      </c>
      <c r="R899">
        <v>0</v>
      </c>
      <c r="S899">
        <v>0</v>
      </c>
      <c r="T899">
        <v>90010910</v>
      </c>
      <c r="U899" t="s">
        <v>44</v>
      </c>
      <c r="W899" t="s">
        <v>2859</v>
      </c>
      <c r="Y899">
        <v>0</v>
      </c>
      <c r="AA899" t="s">
        <v>40</v>
      </c>
      <c r="AB899" t="s">
        <v>46</v>
      </c>
      <c r="AC899" t="s">
        <v>47</v>
      </c>
      <c r="AF899" t="s">
        <v>2381</v>
      </c>
      <c r="AJ899" t="s">
        <v>40</v>
      </c>
      <c r="AK899" t="s">
        <v>49</v>
      </c>
      <c r="AO899" s="1">
        <v>45958</v>
      </c>
      <c r="AP899" s="5">
        <v>0.75</v>
      </c>
      <c r="AS899">
        <v>1</v>
      </c>
    </row>
    <row r="900" spans="1:45" x14ac:dyDescent="0.2">
      <c r="A900">
        <f t="shared" si="58"/>
        <v>2025</v>
      </c>
      <c r="B900">
        <f t="shared" si="59"/>
        <v>10</v>
      </c>
      <c r="C900">
        <f t="shared" si="60"/>
        <v>44</v>
      </c>
      <c r="D900" s="2">
        <f t="shared" si="61"/>
        <v>45958</v>
      </c>
      <c r="E900" s="1">
        <v>45958.75</v>
      </c>
      <c r="F900" t="s">
        <v>2940</v>
      </c>
      <c r="G900" t="s">
        <v>36</v>
      </c>
      <c r="H900">
        <v>465247</v>
      </c>
      <c r="I900" t="s">
        <v>51</v>
      </c>
      <c r="J900" t="s">
        <v>126</v>
      </c>
      <c r="M900" t="s">
        <v>40</v>
      </c>
      <c r="N900" t="s">
        <v>41</v>
      </c>
      <c r="O900" t="s">
        <v>127</v>
      </c>
      <c r="P900">
        <v>33</v>
      </c>
      <c r="Q900">
        <v>0</v>
      </c>
      <c r="R900">
        <v>0</v>
      </c>
      <c r="S900">
        <v>0</v>
      </c>
      <c r="T900" t="s">
        <v>54</v>
      </c>
      <c r="U900" t="s">
        <v>55</v>
      </c>
      <c r="W900" t="s">
        <v>2941</v>
      </c>
      <c r="Y900">
        <v>0</v>
      </c>
      <c r="AA900" t="s">
        <v>40</v>
      </c>
      <c r="AB900" t="s">
        <v>46</v>
      </c>
      <c r="AC900" t="s">
        <v>47</v>
      </c>
      <c r="AG900" t="s">
        <v>2942</v>
      </c>
      <c r="AJ900" t="s">
        <v>40</v>
      </c>
      <c r="AK900">
        <v>5019232688</v>
      </c>
      <c r="AO900" s="1">
        <v>45958</v>
      </c>
      <c r="AP900" s="5">
        <v>0.75</v>
      </c>
      <c r="AS900">
        <v>1</v>
      </c>
    </row>
    <row r="901" spans="1:45" x14ac:dyDescent="0.2">
      <c r="A901">
        <f t="shared" si="58"/>
        <v>2025</v>
      </c>
      <c r="B901">
        <f t="shared" si="59"/>
        <v>10</v>
      </c>
      <c r="C901">
        <f t="shared" si="60"/>
        <v>44</v>
      </c>
      <c r="D901" s="2">
        <f t="shared" si="61"/>
        <v>45958</v>
      </c>
      <c r="E901" s="1">
        <v>45958.75</v>
      </c>
      <c r="F901" t="s">
        <v>2943</v>
      </c>
      <c r="G901" t="s">
        <v>36</v>
      </c>
      <c r="H901" t="s">
        <v>2944</v>
      </c>
      <c r="I901" t="s">
        <v>78</v>
      </c>
      <c r="J901" t="s">
        <v>200</v>
      </c>
      <c r="M901" t="s">
        <v>40</v>
      </c>
      <c r="N901" t="s">
        <v>41</v>
      </c>
      <c r="O901" t="s">
        <v>554</v>
      </c>
      <c r="P901">
        <v>66</v>
      </c>
      <c r="Q901">
        <v>0</v>
      </c>
      <c r="R901">
        <v>0</v>
      </c>
      <c r="S901">
        <v>0</v>
      </c>
      <c r="T901" t="s">
        <v>54</v>
      </c>
      <c r="U901" t="s">
        <v>55</v>
      </c>
      <c r="W901" t="s">
        <v>2945</v>
      </c>
      <c r="Y901">
        <v>0</v>
      </c>
      <c r="AA901" t="s">
        <v>40</v>
      </c>
      <c r="AB901" t="s">
        <v>46</v>
      </c>
      <c r="AC901" t="s">
        <v>47</v>
      </c>
      <c r="AD901" t="s">
        <v>81</v>
      </c>
      <c r="AE901" t="s">
        <v>81</v>
      </c>
      <c r="AG901" t="s">
        <v>2946</v>
      </c>
      <c r="AJ901" t="s">
        <v>40</v>
      </c>
      <c r="AK901" t="s">
        <v>2947</v>
      </c>
      <c r="AO901" s="1">
        <v>45958</v>
      </c>
      <c r="AP901" s="5">
        <v>0.75</v>
      </c>
      <c r="AS901">
        <v>1</v>
      </c>
    </row>
    <row r="902" spans="1:45" x14ac:dyDescent="0.2">
      <c r="A902">
        <f t="shared" si="58"/>
        <v>2025</v>
      </c>
      <c r="B902">
        <f t="shared" si="59"/>
        <v>10</v>
      </c>
      <c r="C902">
        <f t="shared" si="60"/>
        <v>44</v>
      </c>
      <c r="D902" s="2">
        <f t="shared" si="61"/>
        <v>45958</v>
      </c>
      <c r="E902" s="1">
        <v>45958.791666666664</v>
      </c>
      <c r="F902" t="s">
        <v>2948</v>
      </c>
      <c r="G902" t="s">
        <v>36</v>
      </c>
      <c r="H902">
        <v>462519</v>
      </c>
      <c r="I902" t="s">
        <v>51</v>
      </c>
      <c r="J902" t="s">
        <v>2580</v>
      </c>
      <c r="M902" t="s">
        <v>40</v>
      </c>
      <c r="N902" t="s">
        <v>41</v>
      </c>
      <c r="O902" t="s">
        <v>182</v>
      </c>
      <c r="P902">
        <v>33</v>
      </c>
      <c r="Q902">
        <v>0</v>
      </c>
      <c r="R902">
        <v>0</v>
      </c>
      <c r="S902">
        <v>0</v>
      </c>
      <c r="T902" t="s">
        <v>54</v>
      </c>
      <c r="U902" t="s">
        <v>55</v>
      </c>
      <c r="W902" t="s">
        <v>2781</v>
      </c>
      <c r="Y902">
        <v>0</v>
      </c>
      <c r="AA902" t="s">
        <v>40</v>
      </c>
      <c r="AB902" t="s">
        <v>46</v>
      </c>
      <c r="AC902" t="s">
        <v>47</v>
      </c>
      <c r="AG902" t="s">
        <v>2949</v>
      </c>
      <c r="AJ902" t="s">
        <v>40</v>
      </c>
      <c r="AK902">
        <v>5019272802</v>
      </c>
      <c r="AO902" s="1">
        <v>45958</v>
      </c>
      <c r="AP902" s="5">
        <v>0.79166666666666663</v>
      </c>
      <c r="AS902">
        <v>1</v>
      </c>
    </row>
    <row r="903" spans="1:45" x14ac:dyDescent="0.2">
      <c r="A903">
        <f t="shared" si="58"/>
        <v>2025</v>
      </c>
      <c r="B903">
        <f t="shared" si="59"/>
        <v>10</v>
      </c>
      <c r="C903">
        <f t="shared" si="60"/>
        <v>44</v>
      </c>
      <c r="D903" s="2">
        <f t="shared" si="61"/>
        <v>45958</v>
      </c>
      <c r="E903" s="1">
        <v>45958.791666666664</v>
      </c>
      <c r="F903" t="s">
        <v>2950</v>
      </c>
      <c r="G903" t="s">
        <v>36</v>
      </c>
      <c r="H903">
        <v>462507</v>
      </c>
      <c r="I903" t="s">
        <v>51</v>
      </c>
      <c r="J903" t="s">
        <v>713</v>
      </c>
      <c r="M903" t="s">
        <v>40</v>
      </c>
      <c r="N903" t="s">
        <v>41</v>
      </c>
      <c r="O903" t="s">
        <v>2951</v>
      </c>
      <c r="P903">
        <v>33</v>
      </c>
      <c r="Q903">
        <v>0</v>
      </c>
      <c r="R903">
        <v>0</v>
      </c>
      <c r="S903">
        <v>0</v>
      </c>
      <c r="T903" t="s">
        <v>54</v>
      </c>
      <c r="U903" t="s">
        <v>55</v>
      </c>
      <c r="W903" t="s">
        <v>2952</v>
      </c>
      <c r="Y903">
        <v>0</v>
      </c>
      <c r="AA903" t="s">
        <v>40</v>
      </c>
      <c r="AB903" t="s">
        <v>46</v>
      </c>
      <c r="AC903" t="s">
        <v>47</v>
      </c>
      <c r="AG903" t="s">
        <v>2953</v>
      </c>
      <c r="AJ903" t="s">
        <v>40</v>
      </c>
      <c r="AK903">
        <v>5019260193</v>
      </c>
      <c r="AO903" s="1">
        <v>45958</v>
      </c>
      <c r="AP903" s="5">
        <v>0.79166666666666663</v>
      </c>
      <c r="AS903">
        <v>1</v>
      </c>
    </row>
    <row r="904" spans="1:45" x14ac:dyDescent="0.2">
      <c r="A904">
        <f t="shared" si="58"/>
        <v>2025</v>
      </c>
      <c r="B904">
        <f t="shared" si="59"/>
        <v>10</v>
      </c>
      <c r="C904">
        <f t="shared" si="60"/>
        <v>44</v>
      </c>
      <c r="D904" s="2">
        <f t="shared" si="61"/>
        <v>45958</v>
      </c>
      <c r="E904" s="1">
        <v>45958.833333333336</v>
      </c>
      <c r="F904" t="s">
        <v>2954</v>
      </c>
      <c r="G904" t="s">
        <v>36</v>
      </c>
      <c r="H904">
        <v>462505</v>
      </c>
      <c r="I904" t="s">
        <v>51</v>
      </c>
      <c r="J904" t="s">
        <v>163</v>
      </c>
      <c r="M904" t="s">
        <v>40</v>
      </c>
      <c r="N904" t="s">
        <v>41</v>
      </c>
      <c r="O904" t="s">
        <v>530</v>
      </c>
      <c r="P904">
        <v>33</v>
      </c>
      <c r="Q904">
        <v>0</v>
      </c>
      <c r="R904">
        <v>0</v>
      </c>
      <c r="S904">
        <v>0</v>
      </c>
      <c r="T904" t="s">
        <v>54</v>
      </c>
      <c r="U904" t="s">
        <v>55</v>
      </c>
      <c r="W904" t="s">
        <v>2430</v>
      </c>
      <c r="Y904">
        <v>0</v>
      </c>
      <c r="AA904" t="s">
        <v>40</v>
      </c>
      <c r="AB904" t="s">
        <v>46</v>
      </c>
      <c r="AC904" t="s">
        <v>47</v>
      </c>
      <c r="AG904" t="s">
        <v>2955</v>
      </c>
      <c r="AJ904" t="s">
        <v>40</v>
      </c>
      <c r="AK904">
        <v>5019257944</v>
      </c>
      <c r="AO904" s="1">
        <v>45958</v>
      </c>
      <c r="AP904" s="5">
        <v>0.83333333333333337</v>
      </c>
      <c r="AS904">
        <v>1</v>
      </c>
    </row>
    <row r="905" spans="1:45" x14ac:dyDescent="0.2">
      <c r="A905">
        <f t="shared" si="58"/>
        <v>2025</v>
      </c>
      <c r="B905">
        <f t="shared" si="59"/>
        <v>10</v>
      </c>
      <c r="C905">
        <f t="shared" si="60"/>
        <v>44</v>
      </c>
      <c r="D905" s="2">
        <f t="shared" si="61"/>
        <v>45959</v>
      </c>
      <c r="E905" s="1">
        <v>45959.25</v>
      </c>
      <c r="F905" t="s">
        <v>2956</v>
      </c>
      <c r="G905" t="s">
        <v>36</v>
      </c>
      <c r="H905">
        <v>464664</v>
      </c>
      <c r="I905" t="s">
        <v>51</v>
      </c>
      <c r="J905" t="s">
        <v>52</v>
      </c>
      <c r="M905" t="s">
        <v>40</v>
      </c>
      <c r="N905" t="s">
        <v>41</v>
      </c>
      <c r="O905" t="s">
        <v>53</v>
      </c>
      <c r="P905">
        <v>33</v>
      </c>
      <c r="Q905">
        <v>0</v>
      </c>
      <c r="R905">
        <v>0</v>
      </c>
      <c r="S905">
        <v>0</v>
      </c>
      <c r="T905" t="s">
        <v>54</v>
      </c>
      <c r="U905" t="s">
        <v>55</v>
      </c>
      <c r="W905" t="s">
        <v>2702</v>
      </c>
      <c r="Y905">
        <v>0</v>
      </c>
      <c r="AA905" t="s">
        <v>40</v>
      </c>
      <c r="AB905" t="s">
        <v>46</v>
      </c>
      <c r="AC905" t="s">
        <v>47</v>
      </c>
      <c r="AG905" t="s">
        <v>2957</v>
      </c>
      <c r="AJ905" t="s">
        <v>40</v>
      </c>
      <c r="AK905">
        <v>5019285136</v>
      </c>
      <c r="AO905" s="1">
        <v>45959</v>
      </c>
      <c r="AP905" s="5">
        <v>0.25</v>
      </c>
      <c r="AS905">
        <v>1</v>
      </c>
    </row>
    <row r="906" spans="1:45" x14ac:dyDescent="0.2">
      <c r="A906">
        <f t="shared" si="58"/>
        <v>2025</v>
      </c>
      <c r="B906">
        <f t="shared" si="59"/>
        <v>10</v>
      </c>
      <c r="C906">
        <f t="shared" si="60"/>
        <v>44</v>
      </c>
      <c r="D906" s="2">
        <f t="shared" si="61"/>
        <v>45959</v>
      </c>
      <c r="E906" s="1">
        <v>45959.291666666664</v>
      </c>
      <c r="F906" t="s">
        <v>2958</v>
      </c>
      <c r="G906" t="s">
        <v>36</v>
      </c>
      <c r="H906" t="s">
        <v>239</v>
      </c>
      <c r="I906" t="s">
        <v>38</v>
      </c>
      <c r="J906" t="s">
        <v>240</v>
      </c>
      <c r="M906" t="s">
        <v>40</v>
      </c>
      <c r="N906" t="s">
        <v>41</v>
      </c>
      <c r="O906" t="s">
        <v>42</v>
      </c>
      <c r="P906">
        <v>33</v>
      </c>
      <c r="Q906">
        <v>0</v>
      </c>
      <c r="R906">
        <v>0</v>
      </c>
      <c r="S906">
        <v>0</v>
      </c>
      <c r="T906" t="s">
        <v>2959</v>
      </c>
      <c r="U906" t="s">
        <v>233</v>
      </c>
      <c r="W906" t="s">
        <v>2960</v>
      </c>
      <c r="Y906">
        <v>0</v>
      </c>
      <c r="AA906" t="s">
        <v>40</v>
      </c>
      <c r="AB906" t="s">
        <v>46</v>
      </c>
      <c r="AC906" t="s">
        <v>47</v>
      </c>
      <c r="AF906" t="s">
        <v>242</v>
      </c>
      <c r="AJ906" t="s">
        <v>40</v>
      </c>
      <c r="AK906" t="s">
        <v>49</v>
      </c>
      <c r="AO906" s="1">
        <v>45959</v>
      </c>
      <c r="AP906" s="5">
        <v>0.29166666666666669</v>
      </c>
      <c r="AS906">
        <v>1</v>
      </c>
    </row>
    <row r="907" spans="1:45" x14ac:dyDescent="0.2">
      <c r="A907">
        <f t="shared" si="58"/>
        <v>2025</v>
      </c>
      <c r="B907">
        <f t="shared" si="59"/>
        <v>10</v>
      </c>
      <c r="C907">
        <f t="shared" si="60"/>
        <v>44</v>
      </c>
      <c r="D907" s="2">
        <f t="shared" si="61"/>
        <v>45959</v>
      </c>
      <c r="E907" s="1">
        <v>45959.291666666664</v>
      </c>
      <c r="F907" t="s">
        <v>2961</v>
      </c>
      <c r="G907" t="s">
        <v>36</v>
      </c>
      <c r="H907" t="s">
        <v>253</v>
      </c>
      <c r="I907" t="s">
        <v>38</v>
      </c>
      <c r="J907" t="s">
        <v>254</v>
      </c>
      <c r="M907" t="s">
        <v>40</v>
      </c>
      <c r="N907" t="s">
        <v>41</v>
      </c>
      <c r="O907" t="s">
        <v>42</v>
      </c>
      <c r="P907">
        <v>1</v>
      </c>
      <c r="Q907">
        <v>0</v>
      </c>
      <c r="R907">
        <v>0</v>
      </c>
      <c r="S907">
        <v>0</v>
      </c>
      <c r="T907" t="s">
        <v>2962</v>
      </c>
      <c r="U907" t="s">
        <v>101</v>
      </c>
      <c r="W907" t="s">
        <v>2430</v>
      </c>
      <c r="Y907">
        <v>0</v>
      </c>
      <c r="AA907" t="s">
        <v>40</v>
      </c>
      <c r="AB907" t="s">
        <v>46</v>
      </c>
      <c r="AC907" t="s">
        <v>47</v>
      </c>
      <c r="AF907" t="s">
        <v>48</v>
      </c>
      <c r="AJ907" t="s">
        <v>40</v>
      </c>
      <c r="AK907" t="s">
        <v>49</v>
      </c>
      <c r="AO907" s="1">
        <v>45959</v>
      </c>
      <c r="AP907" s="5">
        <v>0.29166666666666669</v>
      </c>
      <c r="AS907">
        <v>1</v>
      </c>
    </row>
    <row r="908" spans="1:45" x14ac:dyDescent="0.2">
      <c r="A908">
        <f t="shared" si="58"/>
        <v>2025</v>
      </c>
      <c r="B908">
        <f t="shared" si="59"/>
        <v>10</v>
      </c>
      <c r="C908">
        <f t="shared" si="60"/>
        <v>44</v>
      </c>
      <c r="D908" s="2">
        <f t="shared" si="61"/>
        <v>45959</v>
      </c>
      <c r="E908" s="1">
        <v>45959.291666666664</v>
      </c>
      <c r="F908" t="s">
        <v>2963</v>
      </c>
      <c r="G908" t="s">
        <v>36</v>
      </c>
      <c r="H908" t="s">
        <v>1167</v>
      </c>
      <c r="I908" t="s">
        <v>38</v>
      </c>
      <c r="J908" t="s">
        <v>2724</v>
      </c>
      <c r="M908" t="s">
        <v>40</v>
      </c>
      <c r="N908" t="s">
        <v>41</v>
      </c>
      <c r="O908" t="s">
        <v>42</v>
      </c>
      <c r="P908">
        <v>4</v>
      </c>
      <c r="Q908">
        <v>0</v>
      </c>
      <c r="R908">
        <v>0</v>
      </c>
      <c r="S908">
        <v>0</v>
      </c>
      <c r="T908" t="s">
        <v>2964</v>
      </c>
      <c r="U908" t="s">
        <v>101</v>
      </c>
      <c r="W908" t="s">
        <v>2960</v>
      </c>
      <c r="Y908">
        <v>0</v>
      </c>
      <c r="AA908" t="s">
        <v>40</v>
      </c>
      <c r="AB908" t="s">
        <v>46</v>
      </c>
      <c r="AC908" t="s">
        <v>47</v>
      </c>
      <c r="AF908" t="s">
        <v>2965</v>
      </c>
      <c r="AJ908" t="s">
        <v>40</v>
      </c>
      <c r="AK908" t="s">
        <v>49</v>
      </c>
      <c r="AO908" s="1">
        <v>45959</v>
      </c>
      <c r="AP908" s="5">
        <v>0.29166666666666669</v>
      </c>
      <c r="AS908">
        <v>1</v>
      </c>
    </row>
    <row r="909" spans="1:45" x14ac:dyDescent="0.2">
      <c r="A909">
        <f t="shared" si="58"/>
        <v>2025</v>
      </c>
      <c r="B909">
        <f t="shared" si="59"/>
        <v>10</v>
      </c>
      <c r="C909">
        <f t="shared" si="60"/>
        <v>44</v>
      </c>
      <c r="D909" s="2">
        <f t="shared" si="61"/>
        <v>45959</v>
      </c>
      <c r="E909" s="1">
        <v>45959.291666666664</v>
      </c>
      <c r="F909" t="s">
        <v>2966</v>
      </c>
      <c r="G909" t="s">
        <v>36</v>
      </c>
      <c r="H909" t="s">
        <v>264</v>
      </c>
      <c r="I909" t="s">
        <v>38</v>
      </c>
      <c r="J909" t="s">
        <v>265</v>
      </c>
      <c r="M909" t="s">
        <v>40</v>
      </c>
      <c r="N909" t="s">
        <v>41</v>
      </c>
      <c r="O909" t="s">
        <v>42</v>
      </c>
      <c r="P909">
        <v>23</v>
      </c>
      <c r="Q909">
        <v>0</v>
      </c>
      <c r="R909">
        <v>0</v>
      </c>
      <c r="S909">
        <v>0</v>
      </c>
      <c r="T909" t="s">
        <v>2967</v>
      </c>
      <c r="U909" t="s">
        <v>55</v>
      </c>
      <c r="W909" t="s">
        <v>2968</v>
      </c>
      <c r="Y909">
        <v>0</v>
      </c>
      <c r="AA909" t="s">
        <v>40</v>
      </c>
      <c r="AB909" t="s">
        <v>46</v>
      </c>
      <c r="AC909" t="s">
        <v>47</v>
      </c>
      <c r="AF909" t="s">
        <v>48</v>
      </c>
      <c r="AJ909" t="s">
        <v>40</v>
      </c>
      <c r="AK909" t="s">
        <v>49</v>
      </c>
      <c r="AO909" s="1">
        <v>45959</v>
      </c>
      <c r="AP909" s="5">
        <v>0.29166666666666669</v>
      </c>
      <c r="AS909">
        <v>1</v>
      </c>
    </row>
    <row r="910" spans="1:45" x14ac:dyDescent="0.2">
      <c r="A910">
        <f t="shared" si="58"/>
        <v>2025</v>
      </c>
      <c r="B910">
        <f t="shared" si="59"/>
        <v>10</v>
      </c>
      <c r="C910">
        <f t="shared" si="60"/>
        <v>44</v>
      </c>
      <c r="D910" s="2">
        <f t="shared" si="61"/>
        <v>45959</v>
      </c>
      <c r="E910" s="1">
        <v>45959.333333333336</v>
      </c>
      <c r="F910" t="s">
        <v>2969</v>
      </c>
      <c r="G910" t="s">
        <v>36</v>
      </c>
      <c r="H910">
        <v>462564</v>
      </c>
      <c r="I910" t="s">
        <v>51</v>
      </c>
      <c r="J910" t="s">
        <v>52</v>
      </c>
      <c r="M910" t="s">
        <v>40</v>
      </c>
      <c r="N910" t="s">
        <v>41</v>
      </c>
      <c r="O910" t="s">
        <v>992</v>
      </c>
      <c r="P910">
        <v>33</v>
      </c>
      <c r="Q910">
        <v>0</v>
      </c>
      <c r="R910">
        <v>0</v>
      </c>
      <c r="S910">
        <v>0</v>
      </c>
      <c r="T910" t="s">
        <v>54</v>
      </c>
      <c r="U910" t="s">
        <v>55</v>
      </c>
      <c r="W910" t="s">
        <v>2970</v>
      </c>
      <c r="Y910">
        <v>0</v>
      </c>
      <c r="AA910" t="s">
        <v>40</v>
      </c>
      <c r="AB910" t="s">
        <v>46</v>
      </c>
      <c r="AC910" t="s">
        <v>47</v>
      </c>
      <c r="AG910" t="s">
        <v>2971</v>
      </c>
      <c r="AJ910" t="s">
        <v>40</v>
      </c>
      <c r="AK910">
        <v>5019272339</v>
      </c>
      <c r="AO910" s="1">
        <v>45959</v>
      </c>
      <c r="AP910" s="5">
        <v>0.33333333333333331</v>
      </c>
      <c r="AS910">
        <v>1</v>
      </c>
    </row>
    <row r="911" spans="1:45" x14ac:dyDescent="0.2">
      <c r="A911">
        <f t="shared" si="58"/>
        <v>2025</v>
      </c>
      <c r="B911">
        <f t="shared" si="59"/>
        <v>10</v>
      </c>
      <c r="C911">
        <f t="shared" si="60"/>
        <v>44</v>
      </c>
      <c r="D911" s="2">
        <f t="shared" si="61"/>
        <v>45959</v>
      </c>
      <c r="E911" s="1">
        <v>45959.333333333336</v>
      </c>
      <c r="F911" t="s">
        <v>2972</v>
      </c>
      <c r="G911" t="s">
        <v>36</v>
      </c>
      <c r="H911" t="s">
        <v>37</v>
      </c>
      <c r="I911" t="s">
        <v>38</v>
      </c>
      <c r="J911" t="s">
        <v>39</v>
      </c>
      <c r="M911" t="s">
        <v>40</v>
      </c>
      <c r="N911" t="s">
        <v>41</v>
      </c>
      <c r="O911" t="s">
        <v>42</v>
      </c>
      <c r="P911">
        <v>23</v>
      </c>
      <c r="Q911">
        <v>0</v>
      </c>
      <c r="R911">
        <v>0</v>
      </c>
      <c r="S911">
        <v>0</v>
      </c>
      <c r="T911" t="s">
        <v>2973</v>
      </c>
      <c r="U911" t="s">
        <v>44</v>
      </c>
      <c r="W911" t="s">
        <v>2968</v>
      </c>
      <c r="Y911">
        <v>0</v>
      </c>
      <c r="AA911" t="s">
        <v>40</v>
      </c>
      <c r="AB911" t="s">
        <v>46</v>
      </c>
      <c r="AC911" t="s">
        <v>47</v>
      </c>
      <c r="AF911" t="s">
        <v>48</v>
      </c>
      <c r="AJ911" t="s">
        <v>40</v>
      </c>
      <c r="AK911" t="s">
        <v>49</v>
      </c>
      <c r="AO911" s="1">
        <v>45959</v>
      </c>
      <c r="AP911" s="5">
        <v>0.33333333333333331</v>
      </c>
      <c r="AS911">
        <v>1</v>
      </c>
    </row>
    <row r="912" spans="1:45" x14ac:dyDescent="0.2">
      <c r="A912">
        <f t="shared" si="58"/>
        <v>2025</v>
      </c>
      <c r="B912">
        <f t="shared" si="59"/>
        <v>10</v>
      </c>
      <c r="C912">
        <f t="shared" si="60"/>
        <v>44</v>
      </c>
      <c r="D912" s="2">
        <f t="shared" si="61"/>
        <v>45959</v>
      </c>
      <c r="E912" s="1">
        <v>45959.333333333336</v>
      </c>
      <c r="F912" t="s">
        <v>2974</v>
      </c>
      <c r="G912" t="s">
        <v>36</v>
      </c>
      <c r="H912" t="s">
        <v>2975</v>
      </c>
      <c r="I912" t="s">
        <v>38</v>
      </c>
      <c r="J912" t="s">
        <v>39</v>
      </c>
      <c r="M912" t="s">
        <v>40</v>
      </c>
      <c r="N912" t="s">
        <v>41</v>
      </c>
      <c r="O912" t="s">
        <v>42</v>
      </c>
      <c r="P912">
        <v>13</v>
      </c>
      <c r="Q912">
        <v>0</v>
      </c>
      <c r="R912">
        <v>0</v>
      </c>
      <c r="S912">
        <v>0</v>
      </c>
      <c r="T912" t="s">
        <v>2976</v>
      </c>
      <c r="U912" t="s">
        <v>44</v>
      </c>
      <c r="W912" t="s">
        <v>2968</v>
      </c>
      <c r="Y912">
        <v>0</v>
      </c>
      <c r="AA912" t="s">
        <v>40</v>
      </c>
      <c r="AB912" t="s">
        <v>46</v>
      </c>
      <c r="AC912" t="s">
        <v>47</v>
      </c>
      <c r="AF912" t="s">
        <v>48</v>
      </c>
      <c r="AJ912" t="s">
        <v>40</v>
      </c>
      <c r="AK912" t="s">
        <v>49</v>
      </c>
      <c r="AO912" s="1">
        <v>45959</v>
      </c>
      <c r="AP912" s="5">
        <v>0.33333333333333331</v>
      </c>
      <c r="AS912">
        <v>1</v>
      </c>
    </row>
    <row r="913" spans="1:45" x14ac:dyDescent="0.2">
      <c r="A913">
        <f t="shared" si="58"/>
        <v>2025</v>
      </c>
      <c r="B913">
        <f t="shared" si="59"/>
        <v>10</v>
      </c>
      <c r="C913">
        <f t="shared" si="60"/>
        <v>44</v>
      </c>
      <c r="D913" s="2">
        <f t="shared" si="61"/>
        <v>45959</v>
      </c>
      <c r="E913" s="1">
        <v>45959.375</v>
      </c>
      <c r="F913" t="s">
        <v>2977</v>
      </c>
      <c r="G913" t="s">
        <v>36</v>
      </c>
      <c r="H913" t="s">
        <v>2978</v>
      </c>
      <c r="I913" t="s">
        <v>38</v>
      </c>
      <c r="J913" t="s">
        <v>645</v>
      </c>
      <c r="M913" t="s">
        <v>40</v>
      </c>
      <c r="N913" t="s">
        <v>41</v>
      </c>
      <c r="O913" t="s">
        <v>42</v>
      </c>
      <c r="P913">
        <v>20</v>
      </c>
      <c r="Q913">
        <v>0</v>
      </c>
      <c r="R913">
        <v>0</v>
      </c>
      <c r="S913">
        <v>0</v>
      </c>
      <c r="T913" t="s">
        <v>2979</v>
      </c>
      <c r="U913" t="s">
        <v>44</v>
      </c>
      <c r="W913" t="s">
        <v>2980</v>
      </c>
      <c r="Y913">
        <v>0</v>
      </c>
      <c r="AA913" t="s">
        <v>40</v>
      </c>
      <c r="AB913" t="s">
        <v>46</v>
      </c>
      <c r="AC913" t="s">
        <v>47</v>
      </c>
      <c r="AF913" t="s">
        <v>62</v>
      </c>
      <c r="AJ913" t="s">
        <v>40</v>
      </c>
      <c r="AK913" t="s">
        <v>49</v>
      </c>
      <c r="AN913">
        <v>36879541</v>
      </c>
      <c r="AO913" s="1">
        <v>45959</v>
      </c>
      <c r="AP913" s="5">
        <v>0.375</v>
      </c>
      <c r="AS913">
        <v>1</v>
      </c>
    </row>
    <row r="914" spans="1:45" x14ac:dyDescent="0.2">
      <c r="A914">
        <f t="shared" si="58"/>
        <v>2025</v>
      </c>
      <c r="B914">
        <f t="shared" si="59"/>
        <v>10</v>
      </c>
      <c r="C914">
        <f t="shared" si="60"/>
        <v>44</v>
      </c>
      <c r="D914" s="2">
        <f t="shared" si="61"/>
        <v>45959</v>
      </c>
      <c r="E914" s="1">
        <v>45959.375</v>
      </c>
      <c r="F914" t="s">
        <v>2981</v>
      </c>
      <c r="G914" t="s">
        <v>36</v>
      </c>
      <c r="H914" t="s">
        <v>2982</v>
      </c>
      <c r="I914" t="s">
        <v>78</v>
      </c>
      <c r="J914" t="s">
        <v>52</v>
      </c>
      <c r="M914" t="s">
        <v>40</v>
      </c>
      <c r="N914" t="s">
        <v>41</v>
      </c>
      <c r="O914" t="s">
        <v>79</v>
      </c>
      <c r="P914">
        <v>66</v>
      </c>
      <c r="Q914">
        <v>0</v>
      </c>
      <c r="R914">
        <v>0</v>
      </c>
      <c r="S914">
        <v>0</v>
      </c>
      <c r="T914" t="s">
        <v>54</v>
      </c>
      <c r="U914" t="s">
        <v>55</v>
      </c>
      <c r="W914" t="s">
        <v>2970</v>
      </c>
      <c r="Y914">
        <v>0</v>
      </c>
      <c r="AA914" t="s">
        <v>40</v>
      </c>
      <c r="AB914" t="s">
        <v>46</v>
      </c>
      <c r="AC914" t="s">
        <v>47</v>
      </c>
      <c r="AD914" t="s">
        <v>81</v>
      </c>
      <c r="AE914" t="s">
        <v>81</v>
      </c>
      <c r="AG914" t="s">
        <v>2983</v>
      </c>
      <c r="AJ914" t="s">
        <v>40</v>
      </c>
      <c r="AK914" t="s">
        <v>2984</v>
      </c>
      <c r="AO914" s="1">
        <v>45959</v>
      </c>
      <c r="AP914" s="5">
        <v>0.375</v>
      </c>
      <c r="AS914">
        <v>1</v>
      </c>
    </row>
    <row r="915" spans="1:45" x14ac:dyDescent="0.2">
      <c r="A915">
        <f t="shared" si="58"/>
        <v>2025</v>
      </c>
      <c r="B915">
        <f t="shared" si="59"/>
        <v>10</v>
      </c>
      <c r="C915">
        <f t="shared" si="60"/>
        <v>44</v>
      </c>
      <c r="D915" s="2">
        <f t="shared" si="61"/>
        <v>45959</v>
      </c>
      <c r="E915" s="1">
        <v>45959.375</v>
      </c>
      <c r="F915" t="s">
        <v>2985</v>
      </c>
      <c r="G915" t="s">
        <v>36</v>
      </c>
      <c r="H915" t="s">
        <v>37</v>
      </c>
      <c r="I915" t="s">
        <v>38</v>
      </c>
      <c r="J915" t="s">
        <v>112</v>
      </c>
      <c r="M915" t="s">
        <v>40</v>
      </c>
      <c r="N915" t="s">
        <v>41</v>
      </c>
      <c r="O915" t="s">
        <v>42</v>
      </c>
      <c r="P915">
        <v>23</v>
      </c>
      <c r="Q915">
        <v>0</v>
      </c>
      <c r="R915">
        <v>0</v>
      </c>
      <c r="S915">
        <v>0</v>
      </c>
      <c r="T915" t="s">
        <v>2986</v>
      </c>
      <c r="U915" t="s">
        <v>44</v>
      </c>
      <c r="W915" t="s">
        <v>2968</v>
      </c>
      <c r="Y915">
        <v>0</v>
      </c>
      <c r="AA915" t="s">
        <v>40</v>
      </c>
      <c r="AB915" t="s">
        <v>46</v>
      </c>
      <c r="AC915" t="s">
        <v>47</v>
      </c>
      <c r="AF915" t="s">
        <v>48</v>
      </c>
      <c r="AJ915" t="s">
        <v>40</v>
      </c>
      <c r="AK915" t="s">
        <v>49</v>
      </c>
      <c r="AO915" s="1">
        <v>45959</v>
      </c>
      <c r="AP915" s="5">
        <v>0.375</v>
      </c>
      <c r="AS915">
        <v>1</v>
      </c>
    </row>
    <row r="916" spans="1:45" x14ac:dyDescent="0.2">
      <c r="A916">
        <f t="shared" si="58"/>
        <v>2025</v>
      </c>
      <c r="B916">
        <f t="shared" si="59"/>
        <v>10</v>
      </c>
      <c r="C916">
        <f t="shared" si="60"/>
        <v>44</v>
      </c>
      <c r="D916" s="2">
        <f t="shared" si="61"/>
        <v>45959</v>
      </c>
      <c r="E916" s="1">
        <v>45959.416666666664</v>
      </c>
      <c r="F916" t="s">
        <v>2987</v>
      </c>
      <c r="G916" t="s">
        <v>36</v>
      </c>
      <c r="H916" t="s">
        <v>2988</v>
      </c>
      <c r="I916" t="s">
        <v>38</v>
      </c>
      <c r="J916" t="s">
        <v>60</v>
      </c>
      <c r="L916" t="s">
        <v>2989</v>
      </c>
      <c r="M916" t="s">
        <v>40</v>
      </c>
      <c r="N916" t="s">
        <v>41</v>
      </c>
      <c r="O916" t="s">
        <v>42</v>
      </c>
      <c r="P916">
        <v>20</v>
      </c>
      <c r="Q916">
        <v>0</v>
      </c>
      <c r="R916">
        <v>0</v>
      </c>
      <c r="S916">
        <v>0</v>
      </c>
      <c r="T916">
        <v>5019224931</v>
      </c>
      <c r="U916" t="s">
        <v>44</v>
      </c>
      <c r="W916" t="s">
        <v>2980</v>
      </c>
      <c r="Y916">
        <v>0</v>
      </c>
      <c r="AA916" t="s">
        <v>40</v>
      </c>
      <c r="AB916" t="s">
        <v>820</v>
      </c>
      <c r="AC916" t="s">
        <v>47</v>
      </c>
      <c r="AF916" t="s">
        <v>62</v>
      </c>
      <c r="AJ916" t="s">
        <v>40</v>
      </c>
      <c r="AK916" t="s">
        <v>49</v>
      </c>
      <c r="AN916">
        <v>260366923</v>
      </c>
      <c r="AO916" s="1">
        <v>45959</v>
      </c>
      <c r="AP916" s="5">
        <v>0.41666666666666669</v>
      </c>
      <c r="AS916">
        <v>1</v>
      </c>
    </row>
    <row r="917" spans="1:45" x14ac:dyDescent="0.2">
      <c r="A917">
        <f t="shared" si="58"/>
        <v>2025</v>
      </c>
      <c r="B917">
        <f t="shared" si="59"/>
        <v>10</v>
      </c>
      <c r="C917">
        <f t="shared" si="60"/>
        <v>44</v>
      </c>
      <c r="D917" s="2">
        <f t="shared" si="61"/>
        <v>45959</v>
      </c>
      <c r="E917" s="1">
        <v>45959.416666666664</v>
      </c>
      <c r="F917" t="s">
        <v>2990</v>
      </c>
      <c r="G917" t="s">
        <v>36</v>
      </c>
      <c r="H917">
        <v>462548</v>
      </c>
      <c r="I917" t="s">
        <v>51</v>
      </c>
      <c r="J917" t="s">
        <v>52</v>
      </c>
      <c r="M917" t="s">
        <v>40</v>
      </c>
      <c r="N917" t="s">
        <v>41</v>
      </c>
      <c r="O917" t="s">
        <v>66</v>
      </c>
      <c r="P917">
        <v>33</v>
      </c>
      <c r="Q917">
        <v>0</v>
      </c>
      <c r="R917">
        <v>0</v>
      </c>
      <c r="S917">
        <v>0</v>
      </c>
      <c r="T917" t="s">
        <v>54</v>
      </c>
      <c r="U917" t="s">
        <v>55</v>
      </c>
      <c r="W917" t="s">
        <v>2991</v>
      </c>
      <c r="Y917">
        <v>0</v>
      </c>
      <c r="AA917" t="s">
        <v>40</v>
      </c>
      <c r="AB917" t="s">
        <v>46</v>
      </c>
      <c r="AC917" t="s">
        <v>47</v>
      </c>
      <c r="AG917" t="s">
        <v>2992</v>
      </c>
      <c r="AJ917" t="s">
        <v>40</v>
      </c>
      <c r="AK917">
        <v>5019276296</v>
      </c>
      <c r="AO917" s="1">
        <v>45959</v>
      </c>
      <c r="AP917" s="5">
        <v>0.41666666666666669</v>
      </c>
      <c r="AS917">
        <v>1</v>
      </c>
    </row>
    <row r="918" spans="1:45" x14ac:dyDescent="0.2">
      <c r="A918">
        <f t="shared" si="58"/>
        <v>2025</v>
      </c>
      <c r="B918">
        <f t="shared" si="59"/>
        <v>10</v>
      </c>
      <c r="C918">
        <f t="shared" si="60"/>
        <v>44</v>
      </c>
      <c r="D918" s="2">
        <f t="shared" si="61"/>
        <v>45959</v>
      </c>
      <c r="E918" s="1">
        <v>45959.416666666664</v>
      </c>
      <c r="F918" t="s">
        <v>2993</v>
      </c>
      <c r="G918" t="s">
        <v>36</v>
      </c>
      <c r="H918" t="s">
        <v>106</v>
      </c>
      <c r="I918" t="s">
        <v>38</v>
      </c>
      <c r="J918" t="s">
        <v>107</v>
      </c>
      <c r="M918" t="s">
        <v>40</v>
      </c>
      <c r="N918" t="s">
        <v>41</v>
      </c>
      <c r="O918" t="s">
        <v>42</v>
      </c>
      <c r="P918">
        <v>33</v>
      </c>
      <c r="Q918">
        <v>0</v>
      </c>
      <c r="R918">
        <v>0</v>
      </c>
      <c r="S918">
        <v>0</v>
      </c>
      <c r="T918">
        <v>5019266388</v>
      </c>
      <c r="U918" t="s">
        <v>44</v>
      </c>
      <c r="W918" t="s">
        <v>2960</v>
      </c>
      <c r="Y918">
        <v>0</v>
      </c>
      <c r="AA918" t="s">
        <v>40</v>
      </c>
      <c r="AB918" t="s">
        <v>46</v>
      </c>
      <c r="AC918" t="s">
        <v>47</v>
      </c>
      <c r="AF918" t="s">
        <v>2869</v>
      </c>
      <c r="AJ918" t="s">
        <v>40</v>
      </c>
      <c r="AK918" t="s">
        <v>49</v>
      </c>
      <c r="AO918" s="1">
        <v>45959</v>
      </c>
      <c r="AP918" s="5">
        <v>0.41666666666666669</v>
      </c>
      <c r="AS918">
        <v>1</v>
      </c>
    </row>
    <row r="919" spans="1:45" x14ac:dyDescent="0.2">
      <c r="A919">
        <f t="shared" si="58"/>
        <v>2025</v>
      </c>
      <c r="B919">
        <f t="shared" si="59"/>
        <v>10</v>
      </c>
      <c r="C919">
        <f t="shared" si="60"/>
        <v>44</v>
      </c>
      <c r="D919" s="2">
        <f t="shared" si="61"/>
        <v>45959</v>
      </c>
      <c r="E919" s="1">
        <v>45959.416666666664</v>
      </c>
      <c r="F919" t="s">
        <v>2994</v>
      </c>
      <c r="G919" t="s">
        <v>36</v>
      </c>
      <c r="H919" t="s">
        <v>37</v>
      </c>
      <c r="I919" t="s">
        <v>38</v>
      </c>
      <c r="J919" t="s">
        <v>112</v>
      </c>
      <c r="M919" t="s">
        <v>40</v>
      </c>
      <c r="N919" t="s">
        <v>41</v>
      </c>
      <c r="O919" t="s">
        <v>42</v>
      </c>
      <c r="P919">
        <v>23</v>
      </c>
      <c r="Q919">
        <v>0</v>
      </c>
      <c r="R919">
        <v>0</v>
      </c>
      <c r="S919">
        <v>0</v>
      </c>
      <c r="T919" t="s">
        <v>2995</v>
      </c>
      <c r="U919" t="s">
        <v>44</v>
      </c>
      <c r="W919" t="s">
        <v>2968</v>
      </c>
      <c r="Y919">
        <v>0</v>
      </c>
      <c r="AA919" t="s">
        <v>40</v>
      </c>
      <c r="AB919" t="s">
        <v>46</v>
      </c>
      <c r="AC919" t="s">
        <v>47</v>
      </c>
      <c r="AF919" t="s">
        <v>48</v>
      </c>
      <c r="AJ919" t="s">
        <v>40</v>
      </c>
      <c r="AK919" t="s">
        <v>49</v>
      </c>
      <c r="AO919" s="1">
        <v>45959</v>
      </c>
      <c r="AP919" s="5">
        <v>0.41666666666666669</v>
      </c>
      <c r="AS919">
        <v>1</v>
      </c>
    </row>
    <row r="920" spans="1:45" x14ac:dyDescent="0.2">
      <c r="A920">
        <f t="shared" si="58"/>
        <v>2025</v>
      </c>
      <c r="B920">
        <f t="shared" si="59"/>
        <v>10</v>
      </c>
      <c r="C920">
        <f t="shared" si="60"/>
        <v>44</v>
      </c>
      <c r="D920" s="2">
        <f t="shared" si="61"/>
        <v>45959</v>
      </c>
      <c r="E920" s="1">
        <v>45959.458333333336</v>
      </c>
      <c r="F920" t="s">
        <v>2996</v>
      </c>
      <c r="G920" t="s">
        <v>36</v>
      </c>
      <c r="H920">
        <v>464663</v>
      </c>
      <c r="I920" t="s">
        <v>51</v>
      </c>
      <c r="J920" t="s">
        <v>52</v>
      </c>
      <c r="M920" t="s">
        <v>40</v>
      </c>
      <c r="N920" t="s">
        <v>41</v>
      </c>
      <c r="O920" t="s">
        <v>53</v>
      </c>
      <c r="P920">
        <v>33</v>
      </c>
      <c r="Q920">
        <v>0</v>
      </c>
      <c r="R920">
        <v>0</v>
      </c>
      <c r="S920">
        <v>0</v>
      </c>
      <c r="T920" t="s">
        <v>54</v>
      </c>
      <c r="U920" t="s">
        <v>55</v>
      </c>
      <c r="W920" t="s">
        <v>2876</v>
      </c>
      <c r="Y920">
        <v>0</v>
      </c>
      <c r="AA920" t="s">
        <v>40</v>
      </c>
      <c r="AB920" t="s">
        <v>46</v>
      </c>
      <c r="AC920" t="s">
        <v>47</v>
      </c>
      <c r="AG920" t="s">
        <v>2997</v>
      </c>
      <c r="AJ920" t="s">
        <v>40</v>
      </c>
      <c r="AK920">
        <v>5019271789</v>
      </c>
      <c r="AO920" s="1">
        <v>45959</v>
      </c>
      <c r="AP920" s="5">
        <v>0.45833333333333331</v>
      </c>
      <c r="AS920">
        <v>1</v>
      </c>
    </row>
    <row r="921" spans="1:45" x14ac:dyDescent="0.2">
      <c r="A921">
        <f t="shared" si="58"/>
        <v>2025</v>
      </c>
      <c r="B921">
        <f t="shared" si="59"/>
        <v>10</v>
      </c>
      <c r="C921">
        <f t="shared" si="60"/>
        <v>44</v>
      </c>
      <c r="D921" s="2">
        <f t="shared" si="61"/>
        <v>45959</v>
      </c>
      <c r="E921" s="1">
        <v>45959.458333333336</v>
      </c>
      <c r="F921" t="s">
        <v>2998</v>
      </c>
      <c r="G921" t="s">
        <v>36</v>
      </c>
      <c r="H921" t="s">
        <v>106</v>
      </c>
      <c r="I921" t="s">
        <v>38</v>
      </c>
      <c r="J921" t="s">
        <v>107</v>
      </c>
      <c r="M921" t="s">
        <v>40</v>
      </c>
      <c r="N921" t="s">
        <v>41</v>
      </c>
      <c r="O921" t="s">
        <v>42</v>
      </c>
      <c r="P921">
        <v>33</v>
      </c>
      <c r="Q921">
        <v>0</v>
      </c>
      <c r="R921">
        <v>0</v>
      </c>
      <c r="S921">
        <v>0</v>
      </c>
      <c r="T921">
        <v>5019252854</v>
      </c>
      <c r="U921" t="s">
        <v>44</v>
      </c>
      <c r="W921" t="s">
        <v>2960</v>
      </c>
      <c r="Y921">
        <v>0</v>
      </c>
      <c r="AA921" t="s">
        <v>40</v>
      </c>
      <c r="AB921" t="s">
        <v>46</v>
      </c>
      <c r="AC921" t="s">
        <v>47</v>
      </c>
      <c r="AF921" t="s">
        <v>109</v>
      </c>
      <c r="AJ921" t="s">
        <v>40</v>
      </c>
      <c r="AK921" t="s">
        <v>49</v>
      </c>
      <c r="AO921" s="1">
        <v>45959</v>
      </c>
      <c r="AP921" s="5">
        <v>0.45833333333333331</v>
      </c>
      <c r="AS921">
        <v>1</v>
      </c>
    </row>
    <row r="922" spans="1:45" x14ac:dyDescent="0.2">
      <c r="A922">
        <f t="shared" si="58"/>
        <v>2025</v>
      </c>
      <c r="B922">
        <f t="shared" si="59"/>
        <v>10</v>
      </c>
      <c r="C922">
        <f t="shared" si="60"/>
        <v>44</v>
      </c>
      <c r="D922" s="2">
        <f t="shared" si="61"/>
        <v>45959</v>
      </c>
      <c r="E922" s="1">
        <v>45959.458333333336</v>
      </c>
      <c r="F922" t="s">
        <v>2999</v>
      </c>
      <c r="G922" t="s">
        <v>36</v>
      </c>
      <c r="H922" t="s">
        <v>37</v>
      </c>
      <c r="I922" t="s">
        <v>38</v>
      </c>
      <c r="J922" t="s">
        <v>39</v>
      </c>
      <c r="M922" t="s">
        <v>40</v>
      </c>
      <c r="N922" t="s">
        <v>41</v>
      </c>
      <c r="O922" t="s">
        <v>42</v>
      </c>
      <c r="P922">
        <v>23</v>
      </c>
      <c r="Q922">
        <v>0</v>
      </c>
      <c r="R922">
        <v>0</v>
      </c>
      <c r="S922">
        <v>0</v>
      </c>
      <c r="T922" t="s">
        <v>3000</v>
      </c>
      <c r="U922" t="s">
        <v>44</v>
      </c>
      <c r="W922" t="s">
        <v>2968</v>
      </c>
      <c r="Y922">
        <v>0</v>
      </c>
      <c r="AA922" t="s">
        <v>40</v>
      </c>
      <c r="AB922" t="s">
        <v>46</v>
      </c>
      <c r="AC922" t="s">
        <v>47</v>
      </c>
      <c r="AF922" t="s">
        <v>48</v>
      </c>
      <c r="AJ922" t="s">
        <v>40</v>
      </c>
      <c r="AK922" t="s">
        <v>49</v>
      </c>
      <c r="AO922" s="1">
        <v>45959</v>
      </c>
      <c r="AP922" s="5">
        <v>0.45833333333333331</v>
      </c>
      <c r="AS922">
        <v>1</v>
      </c>
    </row>
    <row r="923" spans="1:45" x14ac:dyDescent="0.2">
      <c r="A923">
        <f t="shared" si="58"/>
        <v>2025</v>
      </c>
      <c r="B923">
        <f t="shared" si="59"/>
        <v>10</v>
      </c>
      <c r="C923">
        <f t="shared" si="60"/>
        <v>44</v>
      </c>
      <c r="D923" s="2">
        <f t="shared" si="61"/>
        <v>45959</v>
      </c>
      <c r="E923" s="1">
        <v>45959.458333333336</v>
      </c>
      <c r="F923" t="s">
        <v>3001</v>
      </c>
      <c r="G923" t="s">
        <v>36</v>
      </c>
      <c r="H923" t="s">
        <v>3002</v>
      </c>
      <c r="I923" t="s">
        <v>38</v>
      </c>
      <c r="J923" t="s">
        <v>451</v>
      </c>
      <c r="M923" t="s">
        <v>40</v>
      </c>
      <c r="N923" t="s">
        <v>41</v>
      </c>
      <c r="O923" t="s">
        <v>42</v>
      </c>
      <c r="P923">
        <v>11</v>
      </c>
      <c r="Q923">
        <v>0</v>
      </c>
      <c r="R923">
        <v>0</v>
      </c>
      <c r="S923">
        <v>0</v>
      </c>
      <c r="T923" t="s">
        <v>3003</v>
      </c>
      <c r="U923" t="s">
        <v>44</v>
      </c>
      <c r="W923" t="s">
        <v>2941</v>
      </c>
      <c r="Y923">
        <v>0</v>
      </c>
      <c r="AA923" t="s">
        <v>40</v>
      </c>
      <c r="AB923" t="s">
        <v>46</v>
      </c>
      <c r="AC923" t="s">
        <v>47</v>
      </c>
      <c r="AF923" t="s">
        <v>3004</v>
      </c>
      <c r="AJ923" t="s">
        <v>40</v>
      </c>
      <c r="AK923" t="s">
        <v>49</v>
      </c>
      <c r="AO923" s="1">
        <v>45959</v>
      </c>
      <c r="AP923" s="5">
        <v>0.45833333333333331</v>
      </c>
      <c r="AS923">
        <v>1</v>
      </c>
    </row>
    <row r="924" spans="1:45" x14ac:dyDescent="0.2">
      <c r="A924">
        <f t="shared" si="58"/>
        <v>2025</v>
      </c>
      <c r="B924">
        <f t="shared" si="59"/>
        <v>10</v>
      </c>
      <c r="C924">
        <f t="shared" si="60"/>
        <v>44</v>
      </c>
      <c r="D924" s="2">
        <f t="shared" si="61"/>
        <v>45959</v>
      </c>
      <c r="E924" s="1">
        <v>45959.5</v>
      </c>
      <c r="F924" t="s">
        <v>3005</v>
      </c>
      <c r="G924" t="s">
        <v>36</v>
      </c>
      <c r="H924">
        <v>464629</v>
      </c>
      <c r="I924" t="s">
        <v>51</v>
      </c>
      <c r="J924" t="s">
        <v>52</v>
      </c>
      <c r="M924" t="s">
        <v>40</v>
      </c>
      <c r="N924" t="s">
        <v>41</v>
      </c>
      <c r="O924" t="s">
        <v>53</v>
      </c>
      <c r="P924">
        <v>33</v>
      </c>
      <c r="Q924">
        <v>0</v>
      </c>
      <c r="R924">
        <v>0</v>
      </c>
      <c r="S924">
        <v>0</v>
      </c>
      <c r="T924" t="s">
        <v>54</v>
      </c>
      <c r="U924" t="s">
        <v>55</v>
      </c>
      <c r="W924" t="s">
        <v>2754</v>
      </c>
      <c r="Y924">
        <v>0</v>
      </c>
      <c r="AA924" t="s">
        <v>40</v>
      </c>
      <c r="AB924" t="s">
        <v>46</v>
      </c>
      <c r="AC924" t="s">
        <v>47</v>
      </c>
      <c r="AG924" t="s">
        <v>3006</v>
      </c>
      <c r="AJ924" t="s">
        <v>40</v>
      </c>
      <c r="AK924">
        <v>5019263911</v>
      </c>
      <c r="AO924" s="1">
        <v>45959</v>
      </c>
      <c r="AP924" s="5">
        <v>0.5</v>
      </c>
      <c r="AS924">
        <v>1</v>
      </c>
    </row>
    <row r="925" spans="1:45" x14ac:dyDescent="0.2">
      <c r="A925">
        <f t="shared" si="58"/>
        <v>2025</v>
      </c>
      <c r="B925">
        <f t="shared" si="59"/>
        <v>10</v>
      </c>
      <c r="C925">
        <f t="shared" si="60"/>
        <v>44</v>
      </c>
      <c r="D925" s="2">
        <f t="shared" si="61"/>
        <v>45959</v>
      </c>
      <c r="E925" s="1">
        <v>45959.5</v>
      </c>
      <c r="F925" t="s">
        <v>3007</v>
      </c>
      <c r="G925" t="s">
        <v>36</v>
      </c>
      <c r="H925" t="s">
        <v>3008</v>
      </c>
      <c r="I925" t="s">
        <v>38</v>
      </c>
      <c r="J925" t="s">
        <v>60</v>
      </c>
      <c r="M925" t="s">
        <v>40</v>
      </c>
      <c r="N925" t="s">
        <v>41</v>
      </c>
      <c r="O925" t="s">
        <v>42</v>
      </c>
      <c r="P925">
        <v>20</v>
      </c>
      <c r="Q925">
        <v>0</v>
      </c>
      <c r="R925">
        <v>0</v>
      </c>
      <c r="S925">
        <v>0</v>
      </c>
      <c r="T925" t="s">
        <v>3009</v>
      </c>
      <c r="U925" t="s">
        <v>44</v>
      </c>
      <c r="W925" t="s">
        <v>3010</v>
      </c>
      <c r="Y925">
        <v>0</v>
      </c>
      <c r="AA925" t="s">
        <v>40</v>
      </c>
      <c r="AB925" t="s">
        <v>46</v>
      </c>
      <c r="AC925" t="s">
        <v>47</v>
      </c>
      <c r="AF925" t="s">
        <v>133</v>
      </c>
      <c r="AJ925" t="s">
        <v>40</v>
      </c>
      <c r="AK925" t="s">
        <v>49</v>
      </c>
      <c r="AN925">
        <v>259044905</v>
      </c>
      <c r="AO925" s="1">
        <v>45959</v>
      </c>
      <c r="AP925" s="5">
        <v>0.5</v>
      </c>
      <c r="AS925">
        <v>1</v>
      </c>
    </row>
    <row r="926" spans="1:45" x14ac:dyDescent="0.2">
      <c r="A926">
        <f t="shared" si="58"/>
        <v>2025</v>
      </c>
      <c r="B926">
        <f t="shared" si="59"/>
        <v>10</v>
      </c>
      <c r="C926">
        <f t="shared" si="60"/>
        <v>44</v>
      </c>
      <c r="D926" s="2">
        <f t="shared" si="61"/>
        <v>45959</v>
      </c>
      <c r="E926" s="1">
        <v>45959.5</v>
      </c>
      <c r="F926" t="s">
        <v>3011</v>
      </c>
      <c r="G926" t="s">
        <v>36</v>
      </c>
      <c r="H926" t="s">
        <v>3012</v>
      </c>
      <c r="I926" t="s">
        <v>38</v>
      </c>
      <c r="J926" t="s">
        <v>60</v>
      </c>
      <c r="M926" t="s">
        <v>40</v>
      </c>
      <c r="N926" t="s">
        <v>41</v>
      </c>
      <c r="O926" t="s">
        <v>42</v>
      </c>
      <c r="P926">
        <v>20</v>
      </c>
      <c r="Q926">
        <v>0</v>
      </c>
      <c r="R926">
        <v>0</v>
      </c>
      <c r="S926">
        <v>0</v>
      </c>
      <c r="T926">
        <v>5019235593</v>
      </c>
      <c r="U926" t="s">
        <v>44</v>
      </c>
      <c r="W926" t="s">
        <v>2980</v>
      </c>
      <c r="Y926">
        <v>0</v>
      </c>
      <c r="AA926" t="s">
        <v>40</v>
      </c>
      <c r="AB926" t="s">
        <v>46</v>
      </c>
      <c r="AC926" t="s">
        <v>47</v>
      </c>
      <c r="AF926" t="s">
        <v>133</v>
      </c>
      <c r="AJ926" t="s">
        <v>40</v>
      </c>
      <c r="AK926" t="s">
        <v>49</v>
      </c>
      <c r="AN926">
        <v>260111058</v>
      </c>
      <c r="AO926" s="1">
        <v>45959</v>
      </c>
      <c r="AP926" s="5">
        <v>0.5</v>
      </c>
      <c r="AS926">
        <v>1</v>
      </c>
    </row>
    <row r="927" spans="1:45" x14ac:dyDescent="0.2">
      <c r="A927">
        <f t="shared" si="58"/>
        <v>2025</v>
      </c>
      <c r="B927">
        <f t="shared" si="59"/>
        <v>10</v>
      </c>
      <c r="C927">
        <f t="shared" si="60"/>
        <v>44</v>
      </c>
      <c r="D927" s="2">
        <f t="shared" si="61"/>
        <v>45959</v>
      </c>
      <c r="E927" s="1">
        <v>45959.5</v>
      </c>
      <c r="F927" t="s">
        <v>3013</v>
      </c>
      <c r="G927" t="s">
        <v>36</v>
      </c>
      <c r="H927">
        <v>464648</v>
      </c>
      <c r="I927" t="s">
        <v>51</v>
      </c>
      <c r="J927" t="s">
        <v>144</v>
      </c>
      <c r="M927" t="s">
        <v>40</v>
      </c>
      <c r="N927" t="s">
        <v>41</v>
      </c>
      <c r="O927" t="s">
        <v>53</v>
      </c>
      <c r="P927">
        <v>33</v>
      </c>
      <c r="Q927">
        <v>0</v>
      </c>
      <c r="R927">
        <v>0</v>
      </c>
      <c r="S927">
        <v>0</v>
      </c>
      <c r="T927" t="s">
        <v>54</v>
      </c>
      <c r="U927" t="s">
        <v>55</v>
      </c>
      <c r="W927" t="s">
        <v>3014</v>
      </c>
      <c r="X927" t="s">
        <v>3015</v>
      </c>
      <c r="Y927">
        <v>0</v>
      </c>
      <c r="AA927" t="s">
        <v>40</v>
      </c>
      <c r="AB927" t="s">
        <v>46</v>
      </c>
      <c r="AC927" t="s">
        <v>47</v>
      </c>
      <c r="AG927" t="s">
        <v>3016</v>
      </c>
      <c r="AJ927" t="s">
        <v>40</v>
      </c>
      <c r="AK927">
        <v>5019288728</v>
      </c>
      <c r="AL927" t="s">
        <v>3017</v>
      </c>
      <c r="AM927" t="s">
        <v>3018</v>
      </c>
      <c r="AO927" s="1">
        <v>45959</v>
      </c>
      <c r="AP927" s="5">
        <v>0.5</v>
      </c>
      <c r="AS927">
        <v>1</v>
      </c>
    </row>
    <row r="928" spans="1:45" x14ac:dyDescent="0.2">
      <c r="A928">
        <f t="shared" si="58"/>
        <v>2025</v>
      </c>
      <c r="B928">
        <f t="shared" si="59"/>
        <v>10</v>
      </c>
      <c r="C928">
        <f t="shared" si="60"/>
        <v>44</v>
      </c>
      <c r="D928" s="2">
        <f t="shared" si="61"/>
        <v>45959</v>
      </c>
      <c r="E928" s="1">
        <v>45959.541666666664</v>
      </c>
      <c r="F928" t="s">
        <v>3019</v>
      </c>
      <c r="G928" t="s">
        <v>36</v>
      </c>
      <c r="H928" t="s">
        <v>111</v>
      </c>
      <c r="I928" t="s">
        <v>38</v>
      </c>
      <c r="J928" t="s">
        <v>112</v>
      </c>
      <c r="M928" t="s">
        <v>40</v>
      </c>
      <c r="N928" t="s">
        <v>41</v>
      </c>
      <c r="O928" t="s">
        <v>42</v>
      </c>
      <c r="P928">
        <v>23</v>
      </c>
      <c r="Q928">
        <v>0</v>
      </c>
      <c r="R928">
        <v>0</v>
      </c>
      <c r="S928">
        <v>0</v>
      </c>
      <c r="T928" t="s">
        <v>3020</v>
      </c>
      <c r="U928" t="s">
        <v>44</v>
      </c>
      <c r="W928" t="s">
        <v>2968</v>
      </c>
      <c r="Y928">
        <v>0</v>
      </c>
      <c r="AA928" t="s">
        <v>40</v>
      </c>
      <c r="AB928" t="s">
        <v>46</v>
      </c>
      <c r="AC928" t="s">
        <v>47</v>
      </c>
      <c r="AF928" t="s">
        <v>48</v>
      </c>
      <c r="AJ928" t="s">
        <v>40</v>
      </c>
      <c r="AK928" t="s">
        <v>49</v>
      </c>
      <c r="AO928" s="1">
        <v>45959</v>
      </c>
      <c r="AP928" s="5">
        <v>0.54166666666666663</v>
      </c>
      <c r="AS928">
        <v>1</v>
      </c>
    </row>
    <row r="929" spans="1:45" x14ac:dyDescent="0.2">
      <c r="A929">
        <f t="shared" si="58"/>
        <v>2025</v>
      </c>
      <c r="B929">
        <f t="shared" si="59"/>
        <v>10</v>
      </c>
      <c r="C929">
        <f t="shared" si="60"/>
        <v>44</v>
      </c>
      <c r="D929" s="2">
        <f t="shared" si="61"/>
        <v>45959</v>
      </c>
      <c r="E929" s="1">
        <v>45959.541666666664</v>
      </c>
      <c r="F929" t="s">
        <v>3021</v>
      </c>
      <c r="G929" t="s">
        <v>36</v>
      </c>
      <c r="H929">
        <v>464662</v>
      </c>
      <c r="I929" t="s">
        <v>51</v>
      </c>
      <c r="J929" t="s">
        <v>1025</v>
      </c>
      <c r="M929" t="s">
        <v>40</v>
      </c>
      <c r="N929" t="s">
        <v>41</v>
      </c>
      <c r="O929" t="s">
        <v>53</v>
      </c>
      <c r="P929">
        <v>33</v>
      </c>
      <c r="Q929">
        <v>0</v>
      </c>
      <c r="R929">
        <v>0</v>
      </c>
      <c r="S929">
        <v>0</v>
      </c>
      <c r="T929" t="s">
        <v>54</v>
      </c>
      <c r="U929" t="s">
        <v>55</v>
      </c>
      <c r="W929" t="s">
        <v>2427</v>
      </c>
      <c r="Y929">
        <v>0</v>
      </c>
      <c r="AA929" t="s">
        <v>40</v>
      </c>
      <c r="AB929" t="s">
        <v>46</v>
      </c>
      <c r="AC929" t="s">
        <v>47</v>
      </c>
      <c r="AG929" t="s">
        <v>3022</v>
      </c>
      <c r="AJ929" t="s">
        <v>40</v>
      </c>
      <c r="AK929">
        <v>5019274447</v>
      </c>
      <c r="AO929" s="1">
        <v>45959</v>
      </c>
      <c r="AP929" s="5">
        <v>0.54166666666666663</v>
      </c>
      <c r="AS929">
        <v>1</v>
      </c>
    </row>
    <row r="930" spans="1:45" x14ac:dyDescent="0.2">
      <c r="A930">
        <f t="shared" si="58"/>
        <v>2025</v>
      </c>
      <c r="B930">
        <f t="shared" si="59"/>
        <v>10</v>
      </c>
      <c r="C930">
        <f t="shared" si="60"/>
        <v>44</v>
      </c>
      <c r="D930" s="2">
        <f t="shared" si="61"/>
        <v>45959</v>
      </c>
      <c r="E930" s="1">
        <v>45959.541666666664</v>
      </c>
      <c r="F930" t="s">
        <v>3023</v>
      </c>
      <c r="G930" t="s">
        <v>36</v>
      </c>
      <c r="H930" t="s">
        <v>3024</v>
      </c>
      <c r="I930" t="s">
        <v>38</v>
      </c>
      <c r="J930" t="s">
        <v>60</v>
      </c>
      <c r="M930" t="s">
        <v>40</v>
      </c>
      <c r="N930" t="s">
        <v>41</v>
      </c>
      <c r="O930" t="s">
        <v>42</v>
      </c>
      <c r="P930">
        <v>10</v>
      </c>
      <c r="Q930">
        <v>0</v>
      </c>
      <c r="R930">
        <v>0</v>
      </c>
      <c r="S930">
        <v>0</v>
      </c>
      <c r="T930">
        <v>5019204705</v>
      </c>
      <c r="U930" t="s">
        <v>44</v>
      </c>
      <c r="W930" t="s">
        <v>2980</v>
      </c>
      <c r="Y930">
        <v>0</v>
      </c>
      <c r="AA930" t="s">
        <v>40</v>
      </c>
      <c r="AB930" t="s">
        <v>46</v>
      </c>
      <c r="AC930" t="s">
        <v>47</v>
      </c>
      <c r="AF930" t="s">
        <v>133</v>
      </c>
      <c r="AJ930" t="s">
        <v>40</v>
      </c>
      <c r="AK930" t="s">
        <v>49</v>
      </c>
      <c r="AN930">
        <v>260681035</v>
      </c>
      <c r="AO930" s="1">
        <v>45959</v>
      </c>
      <c r="AP930" s="5">
        <v>0.54166666666666663</v>
      </c>
      <c r="AS930">
        <v>1</v>
      </c>
    </row>
    <row r="931" spans="1:45" x14ac:dyDescent="0.2">
      <c r="A931">
        <f t="shared" si="58"/>
        <v>2025</v>
      </c>
      <c r="B931">
        <f t="shared" si="59"/>
        <v>10</v>
      </c>
      <c r="C931">
        <f t="shared" si="60"/>
        <v>44</v>
      </c>
      <c r="D931" s="2">
        <f t="shared" si="61"/>
        <v>45959</v>
      </c>
      <c r="E931" s="1">
        <v>45959.541666666664</v>
      </c>
      <c r="F931" t="s">
        <v>3025</v>
      </c>
      <c r="G931" t="s">
        <v>36</v>
      </c>
      <c r="H931" t="s">
        <v>3026</v>
      </c>
      <c r="I931" t="s">
        <v>38</v>
      </c>
      <c r="J931" t="s">
        <v>60</v>
      </c>
      <c r="M931" t="s">
        <v>40</v>
      </c>
      <c r="N931" t="s">
        <v>41</v>
      </c>
      <c r="O931" t="s">
        <v>42</v>
      </c>
      <c r="P931">
        <v>20</v>
      </c>
      <c r="Q931">
        <v>0</v>
      </c>
      <c r="R931">
        <v>0</v>
      </c>
      <c r="S931">
        <v>0</v>
      </c>
      <c r="T931">
        <v>5019249335</v>
      </c>
      <c r="U931" t="s">
        <v>44</v>
      </c>
      <c r="W931" t="s">
        <v>3027</v>
      </c>
      <c r="Y931">
        <v>0</v>
      </c>
      <c r="AA931" t="s">
        <v>40</v>
      </c>
      <c r="AB931" t="s">
        <v>46</v>
      </c>
      <c r="AC931" t="s">
        <v>47</v>
      </c>
      <c r="AF931" t="s">
        <v>133</v>
      </c>
      <c r="AJ931" t="s">
        <v>40</v>
      </c>
      <c r="AK931" t="s">
        <v>49</v>
      </c>
      <c r="AN931">
        <v>260111058</v>
      </c>
      <c r="AO931" s="1">
        <v>45959</v>
      </c>
      <c r="AP931" s="5">
        <v>0.54166666666666663</v>
      </c>
      <c r="AS931">
        <v>1</v>
      </c>
    </row>
    <row r="932" spans="1:45" x14ac:dyDescent="0.2">
      <c r="A932">
        <f t="shared" si="58"/>
        <v>2025</v>
      </c>
      <c r="B932">
        <f t="shared" si="59"/>
        <v>10</v>
      </c>
      <c r="C932">
        <f t="shared" si="60"/>
        <v>44</v>
      </c>
      <c r="D932" s="2">
        <f t="shared" si="61"/>
        <v>45959</v>
      </c>
      <c r="E932" s="1">
        <v>45959.583333333336</v>
      </c>
      <c r="F932" t="s">
        <v>3028</v>
      </c>
      <c r="G932" t="s">
        <v>36</v>
      </c>
      <c r="H932" t="s">
        <v>3029</v>
      </c>
      <c r="I932" t="s">
        <v>38</v>
      </c>
      <c r="J932" t="s">
        <v>60</v>
      </c>
      <c r="M932" t="s">
        <v>40</v>
      </c>
      <c r="N932" t="s">
        <v>41</v>
      </c>
      <c r="O932" t="s">
        <v>42</v>
      </c>
      <c r="P932">
        <v>20</v>
      </c>
      <c r="Q932">
        <v>0</v>
      </c>
      <c r="R932">
        <v>0</v>
      </c>
      <c r="S932">
        <v>0</v>
      </c>
      <c r="T932">
        <v>5019198853</v>
      </c>
      <c r="U932" t="s">
        <v>44</v>
      </c>
      <c r="W932" t="s">
        <v>3030</v>
      </c>
      <c r="Y932">
        <v>0</v>
      </c>
      <c r="AA932" t="s">
        <v>40</v>
      </c>
      <c r="AB932" t="s">
        <v>46</v>
      </c>
      <c r="AC932" t="s">
        <v>47</v>
      </c>
      <c r="AF932" t="s">
        <v>62</v>
      </c>
      <c r="AJ932" t="s">
        <v>40</v>
      </c>
      <c r="AK932" t="s">
        <v>49</v>
      </c>
      <c r="AN932">
        <v>260353768</v>
      </c>
      <c r="AO932" s="1">
        <v>45959</v>
      </c>
      <c r="AP932" s="5">
        <v>0.58333333333333337</v>
      </c>
      <c r="AS932">
        <v>1</v>
      </c>
    </row>
    <row r="933" spans="1:45" x14ac:dyDescent="0.2">
      <c r="A933">
        <f t="shared" si="58"/>
        <v>2025</v>
      </c>
      <c r="B933">
        <f t="shared" si="59"/>
        <v>10</v>
      </c>
      <c r="C933">
        <f t="shared" si="60"/>
        <v>44</v>
      </c>
      <c r="D933" s="2">
        <f t="shared" si="61"/>
        <v>45959</v>
      </c>
      <c r="E933" s="1">
        <v>45959.583333333336</v>
      </c>
      <c r="F933" t="s">
        <v>3031</v>
      </c>
      <c r="G933" t="s">
        <v>36</v>
      </c>
      <c r="H933" t="s">
        <v>111</v>
      </c>
      <c r="I933" t="s">
        <v>38</v>
      </c>
      <c r="J933" t="s">
        <v>112</v>
      </c>
      <c r="M933" t="s">
        <v>40</v>
      </c>
      <c r="N933" t="s">
        <v>41</v>
      </c>
      <c r="O933" t="s">
        <v>42</v>
      </c>
      <c r="P933">
        <v>9</v>
      </c>
      <c r="Q933">
        <v>0</v>
      </c>
      <c r="R933">
        <v>0</v>
      </c>
      <c r="S933">
        <v>0</v>
      </c>
      <c r="T933" t="s">
        <v>3032</v>
      </c>
      <c r="U933" t="s">
        <v>101</v>
      </c>
      <c r="W933" t="s">
        <v>2968</v>
      </c>
      <c r="Y933">
        <v>0</v>
      </c>
      <c r="AA933" t="s">
        <v>40</v>
      </c>
      <c r="AB933" t="s">
        <v>46</v>
      </c>
      <c r="AC933" t="s">
        <v>47</v>
      </c>
      <c r="AF933" t="s">
        <v>48</v>
      </c>
      <c r="AJ933" t="s">
        <v>40</v>
      </c>
      <c r="AK933" t="s">
        <v>49</v>
      </c>
      <c r="AO933" s="1">
        <v>45959</v>
      </c>
      <c r="AP933" s="5">
        <v>0.58333333333333337</v>
      </c>
      <c r="AS933">
        <v>1</v>
      </c>
    </row>
    <row r="934" spans="1:45" x14ac:dyDescent="0.2">
      <c r="A934">
        <f t="shared" si="58"/>
        <v>2025</v>
      </c>
      <c r="B934">
        <f t="shared" si="59"/>
        <v>10</v>
      </c>
      <c r="C934">
        <f t="shared" si="60"/>
        <v>44</v>
      </c>
      <c r="D934" s="2">
        <f t="shared" si="61"/>
        <v>45959</v>
      </c>
      <c r="E934" s="1">
        <v>45959.583333333336</v>
      </c>
      <c r="F934" t="s">
        <v>3033</v>
      </c>
      <c r="G934" t="s">
        <v>36</v>
      </c>
      <c r="H934">
        <v>462581</v>
      </c>
      <c r="I934" t="s">
        <v>51</v>
      </c>
      <c r="J934" t="s">
        <v>126</v>
      </c>
      <c r="M934" t="s">
        <v>40</v>
      </c>
      <c r="N934" t="s">
        <v>41</v>
      </c>
      <c r="O934" t="s">
        <v>127</v>
      </c>
      <c r="P934">
        <v>33</v>
      </c>
      <c r="Q934">
        <v>0</v>
      </c>
      <c r="R934">
        <v>0</v>
      </c>
      <c r="S934">
        <v>0</v>
      </c>
      <c r="T934" t="s">
        <v>54</v>
      </c>
      <c r="U934" t="s">
        <v>55</v>
      </c>
      <c r="W934" t="s">
        <v>3034</v>
      </c>
      <c r="Y934">
        <v>0</v>
      </c>
      <c r="AA934" t="s">
        <v>40</v>
      </c>
      <c r="AB934" t="s">
        <v>46</v>
      </c>
      <c r="AC934" t="s">
        <v>47</v>
      </c>
      <c r="AG934" t="s">
        <v>3035</v>
      </c>
      <c r="AJ934" t="s">
        <v>40</v>
      </c>
      <c r="AK934">
        <v>5019272895</v>
      </c>
      <c r="AO934" s="1">
        <v>45959</v>
      </c>
      <c r="AP934" s="5">
        <v>0.58333333333333337</v>
      </c>
      <c r="AS934">
        <v>1</v>
      </c>
    </row>
    <row r="935" spans="1:45" x14ac:dyDescent="0.2">
      <c r="A935">
        <f t="shared" si="58"/>
        <v>2025</v>
      </c>
      <c r="B935">
        <f t="shared" si="59"/>
        <v>10</v>
      </c>
      <c r="C935">
        <f t="shared" si="60"/>
        <v>44</v>
      </c>
      <c r="D935" s="2">
        <f t="shared" si="61"/>
        <v>45959</v>
      </c>
      <c r="E935" s="1">
        <v>45959.583333333336</v>
      </c>
      <c r="F935" t="s">
        <v>3036</v>
      </c>
      <c r="G935" t="s">
        <v>36</v>
      </c>
      <c r="H935" t="s">
        <v>111</v>
      </c>
      <c r="I935" t="s">
        <v>38</v>
      </c>
      <c r="J935" t="s">
        <v>99</v>
      </c>
      <c r="M935" t="s">
        <v>40</v>
      </c>
      <c r="N935" t="s">
        <v>41</v>
      </c>
      <c r="O935" t="s">
        <v>42</v>
      </c>
      <c r="P935">
        <v>23</v>
      </c>
      <c r="Q935">
        <v>0</v>
      </c>
      <c r="R935">
        <v>0</v>
      </c>
      <c r="S935">
        <v>0</v>
      </c>
      <c r="T935" t="s">
        <v>3037</v>
      </c>
      <c r="U935" t="s">
        <v>44</v>
      </c>
      <c r="W935" t="s">
        <v>2968</v>
      </c>
      <c r="Y935">
        <v>0</v>
      </c>
      <c r="AA935" t="s">
        <v>40</v>
      </c>
      <c r="AB935" t="s">
        <v>46</v>
      </c>
      <c r="AC935" t="s">
        <v>47</v>
      </c>
      <c r="AF935" t="s">
        <v>48</v>
      </c>
      <c r="AJ935" t="s">
        <v>40</v>
      </c>
      <c r="AK935" t="s">
        <v>49</v>
      </c>
      <c r="AO935" s="1">
        <v>45959</v>
      </c>
      <c r="AP935" s="5">
        <v>0.58333333333333337</v>
      </c>
      <c r="AS935">
        <v>1</v>
      </c>
    </row>
    <row r="936" spans="1:45" x14ac:dyDescent="0.2">
      <c r="A936">
        <f t="shared" si="58"/>
        <v>2025</v>
      </c>
      <c r="B936">
        <f t="shared" si="59"/>
        <v>10</v>
      </c>
      <c r="C936">
        <f t="shared" si="60"/>
        <v>44</v>
      </c>
      <c r="D936" s="2">
        <f t="shared" si="61"/>
        <v>45959</v>
      </c>
      <c r="E936" s="1">
        <v>45959.625</v>
      </c>
      <c r="F936" t="s">
        <v>3038</v>
      </c>
      <c r="G936" t="s">
        <v>36</v>
      </c>
      <c r="H936">
        <v>462594</v>
      </c>
      <c r="I936" t="s">
        <v>51</v>
      </c>
      <c r="J936" t="s">
        <v>188</v>
      </c>
      <c r="M936" t="s">
        <v>40</v>
      </c>
      <c r="N936" t="s">
        <v>41</v>
      </c>
      <c r="O936" t="s">
        <v>189</v>
      </c>
      <c r="P936">
        <v>33</v>
      </c>
      <c r="Q936">
        <v>0</v>
      </c>
      <c r="R936">
        <v>0</v>
      </c>
      <c r="S936">
        <v>0</v>
      </c>
      <c r="T936" t="s">
        <v>54</v>
      </c>
      <c r="U936" t="s">
        <v>55</v>
      </c>
      <c r="W936" t="s">
        <v>3039</v>
      </c>
      <c r="Y936">
        <v>0</v>
      </c>
      <c r="AA936" t="s">
        <v>40</v>
      </c>
      <c r="AB936" t="s">
        <v>46</v>
      </c>
      <c r="AC936" t="s">
        <v>47</v>
      </c>
      <c r="AG936" t="s">
        <v>3040</v>
      </c>
      <c r="AJ936" t="s">
        <v>40</v>
      </c>
      <c r="AK936">
        <v>5019285687</v>
      </c>
      <c r="AO936" s="1">
        <v>45959</v>
      </c>
      <c r="AP936" s="5">
        <v>0.625</v>
      </c>
      <c r="AS936">
        <v>1</v>
      </c>
    </row>
    <row r="937" spans="1:45" x14ac:dyDescent="0.2">
      <c r="A937">
        <f t="shared" si="58"/>
        <v>2025</v>
      </c>
      <c r="B937">
        <f t="shared" si="59"/>
        <v>10</v>
      </c>
      <c r="C937">
        <f t="shared" si="60"/>
        <v>44</v>
      </c>
      <c r="D937" s="2">
        <f t="shared" si="61"/>
        <v>45959</v>
      </c>
      <c r="E937" s="1">
        <v>45959.625</v>
      </c>
      <c r="F937" t="s">
        <v>3041</v>
      </c>
      <c r="G937" t="s">
        <v>36</v>
      </c>
      <c r="H937">
        <v>462598</v>
      </c>
      <c r="I937" t="s">
        <v>51</v>
      </c>
      <c r="J937" t="s">
        <v>194</v>
      </c>
      <c r="M937" t="s">
        <v>40</v>
      </c>
      <c r="N937" t="s">
        <v>41</v>
      </c>
      <c r="O937" t="s">
        <v>210</v>
      </c>
      <c r="P937">
        <v>33</v>
      </c>
      <c r="Q937">
        <v>0</v>
      </c>
      <c r="R937">
        <v>0</v>
      </c>
      <c r="S937">
        <v>0</v>
      </c>
      <c r="T937" t="s">
        <v>54</v>
      </c>
      <c r="U937" t="s">
        <v>55</v>
      </c>
      <c r="W937" t="s">
        <v>2908</v>
      </c>
      <c r="X937" t="s">
        <v>3042</v>
      </c>
      <c r="Y937">
        <v>0</v>
      </c>
      <c r="AA937" t="s">
        <v>40</v>
      </c>
      <c r="AB937" t="s">
        <v>46</v>
      </c>
      <c r="AC937" t="s">
        <v>47</v>
      </c>
      <c r="AG937" t="s">
        <v>3043</v>
      </c>
      <c r="AJ937" t="s">
        <v>40</v>
      </c>
      <c r="AK937">
        <v>5019287640</v>
      </c>
      <c r="AL937" t="s">
        <v>3044</v>
      </c>
      <c r="AM937" t="s">
        <v>3045</v>
      </c>
      <c r="AO937" s="1">
        <v>45959</v>
      </c>
      <c r="AP937" s="5">
        <v>0.625</v>
      </c>
      <c r="AS937">
        <v>1</v>
      </c>
    </row>
    <row r="938" spans="1:45" x14ac:dyDescent="0.2">
      <c r="A938">
        <f t="shared" si="58"/>
        <v>2025</v>
      </c>
      <c r="B938">
        <f t="shared" si="59"/>
        <v>10</v>
      </c>
      <c r="C938">
        <f t="shared" si="60"/>
        <v>44</v>
      </c>
      <c r="D938" s="2">
        <f t="shared" si="61"/>
        <v>45959</v>
      </c>
      <c r="E938" s="1">
        <v>45959.625</v>
      </c>
      <c r="F938" t="s">
        <v>3046</v>
      </c>
      <c r="G938" t="s">
        <v>36</v>
      </c>
      <c r="H938" t="s">
        <v>2975</v>
      </c>
      <c r="I938" t="s">
        <v>38</v>
      </c>
      <c r="J938" t="s">
        <v>348</v>
      </c>
      <c r="M938" t="s">
        <v>40</v>
      </c>
      <c r="N938" t="s">
        <v>41</v>
      </c>
      <c r="O938" t="s">
        <v>42</v>
      </c>
      <c r="P938">
        <v>1</v>
      </c>
      <c r="Q938">
        <v>0</v>
      </c>
      <c r="R938">
        <v>0</v>
      </c>
      <c r="S938">
        <v>0</v>
      </c>
      <c r="T938" t="s">
        <v>3047</v>
      </c>
      <c r="U938" t="s">
        <v>101</v>
      </c>
      <c r="W938" t="s">
        <v>2968</v>
      </c>
      <c r="Y938">
        <v>0</v>
      </c>
      <c r="AA938" t="s">
        <v>40</v>
      </c>
      <c r="AB938" t="s">
        <v>46</v>
      </c>
      <c r="AC938" t="s">
        <v>47</v>
      </c>
      <c r="AF938" t="s">
        <v>48</v>
      </c>
      <c r="AJ938" t="s">
        <v>40</v>
      </c>
      <c r="AK938" t="s">
        <v>49</v>
      </c>
      <c r="AO938" s="1">
        <v>45959</v>
      </c>
      <c r="AP938" s="5">
        <v>0.625</v>
      </c>
      <c r="AS938">
        <v>1</v>
      </c>
    </row>
    <row r="939" spans="1:45" x14ac:dyDescent="0.2">
      <c r="A939">
        <f t="shared" si="58"/>
        <v>2025</v>
      </c>
      <c r="B939">
        <f t="shared" si="59"/>
        <v>10</v>
      </c>
      <c r="C939">
        <f t="shared" si="60"/>
        <v>44</v>
      </c>
      <c r="D939" s="2">
        <f t="shared" si="61"/>
        <v>45959</v>
      </c>
      <c r="E939" s="1">
        <v>45959.625</v>
      </c>
      <c r="F939" t="s">
        <v>3048</v>
      </c>
      <c r="G939" t="s">
        <v>36</v>
      </c>
      <c r="H939" t="s">
        <v>3049</v>
      </c>
      <c r="I939" t="s">
        <v>38</v>
      </c>
      <c r="J939" t="s">
        <v>99</v>
      </c>
      <c r="M939" t="s">
        <v>40</v>
      </c>
      <c r="N939" t="s">
        <v>41</v>
      </c>
      <c r="O939" t="s">
        <v>42</v>
      </c>
      <c r="P939">
        <v>20</v>
      </c>
      <c r="Q939">
        <v>0</v>
      </c>
      <c r="R939">
        <v>0</v>
      </c>
      <c r="S939">
        <v>0</v>
      </c>
      <c r="T939" t="s">
        <v>3050</v>
      </c>
      <c r="U939" t="s">
        <v>44</v>
      </c>
      <c r="W939" t="s">
        <v>2960</v>
      </c>
      <c r="Y939">
        <v>0</v>
      </c>
      <c r="AA939" t="s">
        <v>40</v>
      </c>
      <c r="AB939" t="s">
        <v>46</v>
      </c>
      <c r="AC939" t="s">
        <v>47</v>
      </c>
      <c r="AF939" t="s">
        <v>367</v>
      </c>
      <c r="AJ939" t="s">
        <v>40</v>
      </c>
      <c r="AK939" t="s">
        <v>49</v>
      </c>
      <c r="AM939" t="s">
        <v>3051</v>
      </c>
      <c r="AN939" t="s">
        <v>3052</v>
      </c>
      <c r="AO939" s="1">
        <v>45959</v>
      </c>
      <c r="AP939" s="5">
        <v>0.625</v>
      </c>
      <c r="AS939">
        <v>1</v>
      </c>
    </row>
    <row r="940" spans="1:45" x14ac:dyDescent="0.2">
      <c r="A940">
        <f t="shared" si="58"/>
        <v>2025</v>
      </c>
      <c r="B940">
        <f t="shared" si="59"/>
        <v>10</v>
      </c>
      <c r="C940">
        <f t="shared" si="60"/>
        <v>44</v>
      </c>
      <c r="D940" s="2">
        <f t="shared" si="61"/>
        <v>45959</v>
      </c>
      <c r="E940" s="1">
        <v>45959.666666666664</v>
      </c>
      <c r="F940" t="s">
        <v>3053</v>
      </c>
      <c r="G940" t="s">
        <v>36</v>
      </c>
      <c r="H940">
        <v>462591</v>
      </c>
      <c r="I940" t="s">
        <v>51</v>
      </c>
      <c r="J940" t="s">
        <v>194</v>
      </c>
      <c r="M940" t="s">
        <v>40</v>
      </c>
      <c r="N940" t="s">
        <v>41</v>
      </c>
      <c r="O940" t="s">
        <v>189</v>
      </c>
      <c r="P940">
        <v>33</v>
      </c>
      <c r="Q940">
        <v>0</v>
      </c>
      <c r="R940">
        <v>0</v>
      </c>
      <c r="S940">
        <v>0</v>
      </c>
      <c r="T940" t="s">
        <v>54</v>
      </c>
      <c r="U940" t="s">
        <v>55</v>
      </c>
      <c r="W940" t="s">
        <v>3054</v>
      </c>
      <c r="Y940">
        <v>0</v>
      </c>
      <c r="AA940" t="s">
        <v>40</v>
      </c>
      <c r="AB940" t="s">
        <v>46</v>
      </c>
      <c r="AC940" t="s">
        <v>47</v>
      </c>
      <c r="AG940" t="s">
        <v>3055</v>
      </c>
      <c r="AJ940" t="s">
        <v>40</v>
      </c>
      <c r="AK940">
        <v>5019256078</v>
      </c>
      <c r="AO940" s="1">
        <v>45959</v>
      </c>
      <c r="AP940" s="5">
        <v>0.66666666666666663</v>
      </c>
      <c r="AS940">
        <v>1</v>
      </c>
    </row>
    <row r="941" spans="1:45" x14ac:dyDescent="0.2">
      <c r="A941">
        <f t="shared" si="58"/>
        <v>2025</v>
      </c>
      <c r="B941">
        <f t="shared" si="59"/>
        <v>10</v>
      </c>
      <c r="C941">
        <f t="shared" si="60"/>
        <v>44</v>
      </c>
      <c r="D941" s="2">
        <f t="shared" si="61"/>
        <v>45959</v>
      </c>
      <c r="E941" s="1">
        <v>45959.666666666664</v>
      </c>
      <c r="F941" t="s">
        <v>3056</v>
      </c>
      <c r="G941" t="s">
        <v>36</v>
      </c>
      <c r="H941">
        <v>462554</v>
      </c>
      <c r="I941" t="s">
        <v>51</v>
      </c>
      <c r="J941" t="s">
        <v>154</v>
      </c>
      <c r="M941" t="s">
        <v>40</v>
      </c>
      <c r="N941" t="s">
        <v>41</v>
      </c>
      <c r="O941" t="s">
        <v>155</v>
      </c>
      <c r="P941">
        <v>33</v>
      </c>
      <c r="Q941">
        <v>0</v>
      </c>
      <c r="R941">
        <v>0</v>
      </c>
      <c r="S941">
        <v>0</v>
      </c>
      <c r="T941" t="s">
        <v>54</v>
      </c>
      <c r="U941" t="s">
        <v>55</v>
      </c>
      <c r="W941" t="s">
        <v>3054</v>
      </c>
      <c r="Y941">
        <v>0</v>
      </c>
      <c r="AA941" t="s">
        <v>40</v>
      </c>
      <c r="AB941" t="s">
        <v>46</v>
      </c>
      <c r="AC941" t="s">
        <v>47</v>
      </c>
      <c r="AG941" t="s">
        <v>3057</v>
      </c>
      <c r="AJ941" t="s">
        <v>40</v>
      </c>
      <c r="AK941">
        <v>5019283452</v>
      </c>
      <c r="AO941" s="1">
        <v>45959</v>
      </c>
      <c r="AP941" s="5">
        <v>0.66666666666666663</v>
      </c>
      <c r="AS941">
        <v>1</v>
      </c>
    </row>
    <row r="942" spans="1:45" x14ac:dyDescent="0.2">
      <c r="A942">
        <f t="shared" si="58"/>
        <v>2025</v>
      </c>
      <c r="B942">
        <f t="shared" si="59"/>
        <v>10</v>
      </c>
      <c r="C942">
        <f t="shared" si="60"/>
        <v>44</v>
      </c>
      <c r="D942" s="2">
        <f t="shared" si="61"/>
        <v>45959</v>
      </c>
      <c r="E942" s="1">
        <v>45959.666666666664</v>
      </c>
      <c r="F942" t="s">
        <v>3058</v>
      </c>
      <c r="G942" t="s">
        <v>36</v>
      </c>
      <c r="H942" t="s">
        <v>2379</v>
      </c>
      <c r="I942" t="s">
        <v>38</v>
      </c>
      <c r="J942" t="s">
        <v>2380</v>
      </c>
      <c r="M942" t="s">
        <v>40</v>
      </c>
      <c r="N942" t="s">
        <v>41</v>
      </c>
      <c r="O942" t="s">
        <v>42</v>
      </c>
      <c r="P942">
        <v>33</v>
      </c>
      <c r="Q942">
        <v>0</v>
      </c>
      <c r="R942">
        <v>0</v>
      </c>
      <c r="S942">
        <v>0</v>
      </c>
      <c r="T942">
        <v>90009745</v>
      </c>
      <c r="U942" t="s">
        <v>44</v>
      </c>
      <c r="W942" t="s">
        <v>2960</v>
      </c>
      <c r="Y942">
        <v>0</v>
      </c>
      <c r="AA942" t="s">
        <v>40</v>
      </c>
      <c r="AB942" t="s">
        <v>46</v>
      </c>
      <c r="AC942" t="s">
        <v>47</v>
      </c>
      <c r="AF942" t="s">
        <v>2381</v>
      </c>
      <c r="AJ942" t="s">
        <v>40</v>
      </c>
      <c r="AK942" t="s">
        <v>49</v>
      </c>
      <c r="AO942" s="1">
        <v>45959</v>
      </c>
      <c r="AP942" s="5">
        <v>0.66666666666666663</v>
      </c>
      <c r="AS942">
        <v>1</v>
      </c>
    </row>
    <row r="943" spans="1:45" x14ac:dyDescent="0.2">
      <c r="A943">
        <f t="shared" si="58"/>
        <v>2025</v>
      </c>
      <c r="B943">
        <f t="shared" si="59"/>
        <v>10</v>
      </c>
      <c r="C943">
        <f t="shared" si="60"/>
        <v>44</v>
      </c>
      <c r="D943" s="2">
        <f t="shared" si="61"/>
        <v>45959</v>
      </c>
      <c r="E943" s="1">
        <v>45959.666666666664</v>
      </c>
      <c r="F943" t="s">
        <v>3059</v>
      </c>
      <c r="G943" t="s">
        <v>36</v>
      </c>
      <c r="H943">
        <v>462539</v>
      </c>
      <c r="I943" t="s">
        <v>51</v>
      </c>
      <c r="J943" t="s">
        <v>188</v>
      </c>
      <c r="L943" t="s">
        <v>3060</v>
      </c>
      <c r="M943" t="s">
        <v>40</v>
      </c>
      <c r="N943" t="s">
        <v>41</v>
      </c>
      <c r="O943" t="s">
        <v>172</v>
      </c>
      <c r="P943">
        <v>33</v>
      </c>
      <c r="Q943">
        <v>0</v>
      </c>
      <c r="R943">
        <v>0</v>
      </c>
      <c r="S943">
        <v>0</v>
      </c>
      <c r="T943" t="s">
        <v>54</v>
      </c>
      <c r="U943" t="s">
        <v>233</v>
      </c>
      <c r="W943" t="s">
        <v>3061</v>
      </c>
      <c r="Y943">
        <v>0</v>
      </c>
      <c r="AA943" t="s">
        <v>40</v>
      </c>
      <c r="AB943" t="s">
        <v>46</v>
      </c>
      <c r="AC943" t="s">
        <v>47</v>
      </c>
      <c r="AG943" t="s">
        <v>3062</v>
      </c>
      <c r="AJ943" t="s">
        <v>40</v>
      </c>
      <c r="AK943">
        <v>5019276120</v>
      </c>
      <c r="AO943" s="1">
        <v>45959</v>
      </c>
      <c r="AP943" s="5">
        <v>0.66666666666666663</v>
      </c>
      <c r="AS943">
        <v>1</v>
      </c>
    </row>
    <row r="944" spans="1:45" x14ac:dyDescent="0.2">
      <c r="A944">
        <f t="shared" si="58"/>
        <v>2025</v>
      </c>
      <c r="B944">
        <f t="shared" si="59"/>
        <v>10</v>
      </c>
      <c r="C944">
        <f t="shared" si="60"/>
        <v>44</v>
      </c>
      <c r="D944" s="2">
        <f t="shared" si="61"/>
        <v>45959</v>
      </c>
      <c r="E944" s="1">
        <v>45959.708333333336</v>
      </c>
      <c r="F944" t="s">
        <v>3063</v>
      </c>
      <c r="G944" t="s">
        <v>36</v>
      </c>
      <c r="H944">
        <v>462600</v>
      </c>
      <c r="I944" t="s">
        <v>51</v>
      </c>
      <c r="J944" t="s">
        <v>188</v>
      </c>
      <c r="M944" t="s">
        <v>40</v>
      </c>
      <c r="N944" t="s">
        <v>41</v>
      </c>
      <c r="O944" t="s">
        <v>189</v>
      </c>
      <c r="P944">
        <v>33</v>
      </c>
      <c r="Q944">
        <v>0</v>
      </c>
      <c r="R944">
        <v>0</v>
      </c>
      <c r="S944">
        <v>0</v>
      </c>
      <c r="T944" t="s">
        <v>54</v>
      </c>
      <c r="U944" t="s">
        <v>55</v>
      </c>
      <c r="W944" t="s">
        <v>3064</v>
      </c>
      <c r="Y944">
        <v>0</v>
      </c>
      <c r="AA944" t="s">
        <v>40</v>
      </c>
      <c r="AB944" t="s">
        <v>46</v>
      </c>
      <c r="AC944" t="s">
        <v>47</v>
      </c>
      <c r="AG944" t="s">
        <v>3065</v>
      </c>
      <c r="AJ944" t="s">
        <v>40</v>
      </c>
      <c r="AK944">
        <v>5019261199</v>
      </c>
      <c r="AO944" s="1">
        <v>45959</v>
      </c>
      <c r="AP944" s="5">
        <v>0.70833333333333337</v>
      </c>
      <c r="AS944">
        <v>1</v>
      </c>
    </row>
    <row r="945" spans="1:45" x14ac:dyDescent="0.2">
      <c r="A945">
        <f t="shared" si="58"/>
        <v>2025</v>
      </c>
      <c r="B945">
        <f t="shared" si="59"/>
        <v>10</v>
      </c>
      <c r="C945">
        <f t="shared" si="60"/>
        <v>44</v>
      </c>
      <c r="D945" s="2">
        <f t="shared" si="61"/>
        <v>45959</v>
      </c>
      <c r="E945" s="1">
        <v>45959.708333333336</v>
      </c>
      <c r="F945" t="s">
        <v>3066</v>
      </c>
      <c r="G945" t="s">
        <v>36</v>
      </c>
      <c r="H945" t="s">
        <v>1167</v>
      </c>
      <c r="I945" t="s">
        <v>38</v>
      </c>
      <c r="J945" t="s">
        <v>1168</v>
      </c>
      <c r="M945" t="s">
        <v>40</v>
      </c>
      <c r="N945" t="s">
        <v>41</v>
      </c>
      <c r="O945" t="s">
        <v>42</v>
      </c>
      <c r="P945">
        <v>33</v>
      </c>
      <c r="Q945">
        <v>0</v>
      </c>
      <c r="R945">
        <v>0</v>
      </c>
      <c r="S945">
        <v>0</v>
      </c>
      <c r="T945" t="s">
        <v>3067</v>
      </c>
      <c r="U945" t="s">
        <v>44</v>
      </c>
      <c r="W945" t="s">
        <v>2960</v>
      </c>
      <c r="Y945">
        <v>0</v>
      </c>
      <c r="AA945" t="s">
        <v>40</v>
      </c>
      <c r="AB945" t="s">
        <v>46</v>
      </c>
      <c r="AC945" t="s">
        <v>47</v>
      </c>
      <c r="AF945" t="s">
        <v>2882</v>
      </c>
      <c r="AJ945" t="s">
        <v>40</v>
      </c>
      <c r="AK945" t="s">
        <v>49</v>
      </c>
      <c r="AO945" s="1">
        <v>45959</v>
      </c>
      <c r="AP945" s="5">
        <v>0.70833333333333337</v>
      </c>
      <c r="AS945">
        <v>1</v>
      </c>
    </row>
    <row r="946" spans="1:45" x14ac:dyDescent="0.2">
      <c r="A946">
        <f t="shared" si="58"/>
        <v>2025</v>
      </c>
      <c r="B946">
        <f t="shared" si="59"/>
        <v>10</v>
      </c>
      <c r="C946">
        <f t="shared" si="60"/>
        <v>44</v>
      </c>
      <c r="D946" s="2">
        <f t="shared" si="61"/>
        <v>45959</v>
      </c>
      <c r="E946" s="1">
        <v>45959.708333333336</v>
      </c>
      <c r="F946" t="s">
        <v>3068</v>
      </c>
      <c r="G946" t="s">
        <v>36</v>
      </c>
      <c r="H946" t="s">
        <v>2379</v>
      </c>
      <c r="I946" t="s">
        <v>38</v>
      </c>
      <c r="J946" t="s">
        <v>2380</v>
      </c>
      <c r="M946" t="s">
        <v>40</v>
      </c>
      <c r="N946" t="s">
        <v>41</v>
      </c>
      <c r="O946" t="s">
        <v>42</v>
      </c>
      <c r="P946">
        <v>33</v>
      </c>
      <c r="Q946">
        <v>0</v>
      </c>
      <c r="R946">
        <v>0</v>
      </c>
      <c r="S946">
        <v>0</v>
      </c>
      <c r="T946">
        <v>90014117</v>
      </c>
      <c r="U946" t="s">
        <v>44</v>
      </c>
      <c r="W946" t="s">
        <v>2960</v>
      </c>
      <c r="Y946">
        <v>0</v>
      </c>
      <c r="AA946" t="s">
        <v>40</v>
      </c>
      <c r="AB946" t="s">
        <v>46</v>
      </c>
      <c r="AC946" t="s">
        <v>47</v>
      </c>
      <c r="AF946" t="s">
        <v>2381</v>
      </c>
      <c r="AJ946" t="s">
        <v>40</v>
      </c>
      <c r="AK946" t="s">
        <v>49</v>
      </c>
      <c r="AO946" s="1">
        <v>45959</v>
      </c>
      <c r="AP946" s="5">
        <v>0.70833333333333337</v>
      </c>
      <c r="AS946">
        <v>1</v>
      </c>
    </row>
    <row r="947" spans="1:45" x14ac:dyDescent="0.2">
      <c r="A947">
        <f t="shared" si="58"/>
        <v>2025</v>
      </c>
      <c r="B947">
        <f t="shared" si="59"/>
        <v>10</v>
      </c>
      <c r="C947">
        <f t="shared" si="60"/>
        <v>44</v>
      </c>
      <c r="D947" s="2">
        <f t="shared" si="61"/>
        <v>45959</v>
      </c>
      <c r="E947" s="1">
        <v>45959.708333333336</v>
      </c>
      <c r="F947" t="s">
        <v>3069</v>
      </c>
      <c r="G947" t="s">
        <v>36</v>
      </c>
      <c r="H947" t="s">
        <v>2866</v>
      </c>
      <c r="I947" t="s">
        <v>38</v>
      </c>
      <c r="J947" t="s">
        <v>140</v>
      </c>
      <c r="M947" t="s">
        <v>40</v>
      </c>
      <c r="N947" t="s">
        <v>41</v>
      </c>
      <c r="O947" t="s">
        <v>42</v>
      </c>
      <c r="P947">
        <v>13</v>
      </c>
      <c r="Q947">
        <v>0</v>
      </c>
      <c r="R947">
        <v>0</v>
      </c>
      <c r="S947">
        <v>0</v>
      </c>
      <c r="T947" t="s">
        <v>3070</v>
      </c>
      <c r="U947" t="s">
        <v>44</v>
      </c>
      <c r="W947" t="s">
        <v>2960</v>
      </c>
      <c r="Y947">
        <v>0</v>
      </c>
      <c r="AA947" t="s">
        <v>40</v>
      </c>
      <c r="AB947" t="s">
        <v>46</v>
      </c>
      <c r="AC947" t="s">
        <v>47</v>
      </c>
      <c r="AF947" t="s">
        <v>2867</v>
      </c>
      <c r="AJ947" t="s">
        <v>40</v>
      </c>
      <c r="AK947" t="s">
        <v>49</v>
      </c>
      <c r="AO947" s="1">
        <v>45959</v>
      </c>
      <c r="AP947" s="5">
        <v>0.70833333333333337</v>
      </c>
      <c r="AS947">
        <v>1</v>
      </c>
    </row>
    <row r="948" spans="1:45" x14ac:dyDescent="0.2">
      <c r="A948">
        <f t="shared" si="58"/>
        <v>2025</v>
      </c>
      <c r="B948">
        <f t="shared" si="59"/>
        <v>10</v>
      </c>
      <c r="C948">
        <f t="shared" si="60"/>
        <v>44</v>
      </c>
      <c r="D948" s="2">
        <f t="shared" si="61"/>
        <v>45959</v>
      </c>
      <c r="E948" s="1">
        <v>45959.75</v>
      </c>
      <c r="F948" t="s">
        <v>3071</v>
      </c>
      <c r="G948" t="s">
        <v>36</v>
      </c>
      <c r="H948">
        <v>462602</v>
      </c>
      <c r="I948" t="s">
        <v>51</v>
      </c>
      <c r="J948" t="s">
        <v>144</v>
      </c>
      <c r="M948" t="s">
        <v>40</v>
      </c>
      <c r="N948" t="s">
        <v>41</v>
      </c>
      <c r="O948" t="s">
        <v>172</v>
      </c>
      <c r="P948">
        <v>33</v>
      </c>
      <c r="Q948">
        <v>0</v>
      </c>
      <c r="R948">
        <v>0</v>
      </c>
      <c r="S948">
        <v>0</v>
      </c>
      <c r="T948" t="s">
        <v>54</v>
      </c>
      <c r="U948" t="s">
        <v>55</v>
      </c>
      <c r="W948" t="s">
        <v>2692</v>
      </c>
      <c r="Y948">
        <v>0</v>
      </c>
      <c r="AA948" t="s">
        <v>40</v>
      </c>
      <c r="AB948" t="s">
        <v>46</v>
      </c>
      <c r="AC948" t="s">
        <v>47</v>
      </c>
      <c r="AG948" t="s">
        <v>3072</v>
      </c>
      <c r="AJ948" t="s">
        <v>40</v>
      </c>
      <c r="AK948">
        <v>5019272297</v>
      </c>
      <c r="AO948" s="1">
        <v>45959</v>
      </c>
      <c r="AP948" s="5">
        <v>0.75</v>
      </c>
      <c r="AS948">
        <v>1</v>
      </c>
    </row>
    <row r="949" spans="1:45" x14ac:dyDescent="0.2">
      <c r="A949">
        <f t="shared" si="58"/>
        <v>2025</v>
      </c>
      <c r="B949">
        <f t="shared" si="59"/>
        <v>10</v>
      </c>
      <c r="C949">
        <f t="shared" si="60"/>
        <v>44</v>
      </c>
      <c r="D949" s="2">
        <f t="shared" si="61"/>
        <v>45959</v>
      </c>
      <c r="E949" s="1">
        <v>45959.75</v>
      </c>
      <c r="F949" t="s">
        <v>3073</v>
      </c>
      <c r="G949" t="s">
        <v>36</v>
      </c>
      <c r="H949" t="s">
        <v>3074</v>
      </c>
      <c r="I949" t="s">
        <v>78</v>
      </c>
      <c r="J949" t="s">
        <v>163</v>
      </c>
      <c r="M949" t="s">
        <v>40</v>
      </c>
      <c r="N949" t="s">
        <v>41</v>
      </c>
      <c r="O949" t="s">
        <v>1101</v>
      </c>
      <c r="P949">
        <v>66</v>
      </c>
      <c r="Q949">
        <v>0</v>
      </c>
      <c r="R949">
        <v>0</v>
      </c>
      <c r="S949">
        <v>0</v>
      </c>
      <c r="T949" t="s">
        <v>54</v>
      </c>
      <c r="U949" t="s">
        <v>55</v>
      </c>
      <c r="W949" t="s">
        <v>2842</v>
      </c>
      <c r="Y949">
        <v>0</v>
      </c>
      <c r="AA949" t="s">
        <v>40</v>
      </c>
      <c r="AB949" t="s">
        <v>46</v>
      </c>
      <c r="AC949" t="s">
        <v>47</v>
      </c>
      <c r="AD949" t="s">
        <v>81</v>
      </c>
      <c r="AE949" t="s">
        <v>81</v>
      </c>
      <c r="AG949" t="s">
        <v>3075</v>
      </c>
      <c r="AJ949" t="s">
        <v>40</v>
      </c>
      <c r="AK949" t="s">
        <v>3076</v>
      </c>
      <c r="AO949" s="1">
        <v>45959</v>
      </c>
      <c r="AP949" s="5">
        <v>0.75</v>
      </c>
      <c r="AS949">
        <v>1</v>
      </c>
    </row>
    <row r="950" spans="1:45" x14ac:dyDescent="0.2">
      <c r="A950">
        <f t="shared" si="58"/>
        <v>2025</v>
      </c>
      <c r="B950">
        <f t="shared" si="59"/>
        <v>10</v>
      </c>
      <c r="C950">
        <f t="shared" si="60"/>
        <v>44</v>
      </c>
      <c r="D950" s="2">
        <f t="shared" si="61"/>
        <v>45959</v>
      </c>
      <c r="E950" s="1">
        <v>45959.75</v>
      </c>
      <c r="F950" t="s">
        <v>3077</v>
      </c>
      <c r="G950" t="s">
        <v>36</v>
      </c>
      <c r="H950">
        <v>466034</v>
      </c>
      <c r="I950" t="s">
        <v>51</v>
      </c>
      <c r="J950" t="s">
        <v>144</v>
      </c>
      <c r="M950" t="s">
        <v>40</v>
      </c>
      <c r="N950" t="s">
        <v>41</v>
      </c>
      <c r="O950" t="s">
        <v>2801</v>
      </c>
      <c r="P950">
        <v>33</v>
      </c>
      <c r="Q950">
        <v>0</v>
      </c>
      <c r="R950">
        <v>0</v>
      </c>
      <c r="S950">
        <v>0</v>
      </c>
      <c r="T950" t="s">
        <v>54</v>
      </c>
      <c r="U950" t="s">
        <v>55</v>
      </c>
      <c r="W950" t="s">
        <v>2941</v>
      </c>
      <c r="X950" t="s">
        <v>3078</v>
      </c>
      <c r="Y950">
        <v>0</v>
      </c>
      <c r="AA950" t="s">
        <v>40</v>
      </c>
      <c r="AB950" t="s">
        <v>46</v>
      </c>
      <c r="AC950" t="s">
        <v>47</v>
      </c>
      <c r="AG950" t="s">
        <v>3079</v>
      </c>
      <c r="AJ950" t="s">
        <v>40</v>
      </c>
      <c r="AK950">
        <v>5019261877</v>
      </c>
      <c r="AL950" t="s">
        <v>3080</v>
      </c>
      <c r="AM950" t="s">
        <v>3081</v>
      </c>
      <c r="AO950" s="1">
        <v>45959</v>
      </c>
      <c r="AP950" s="5">
        <v>0.75</v>
      </c>
      <c r="AS950">
        <v>1</v>
      </c>
    </row>
    <row r="951" spans="1:45" x14ac:dyDescent="0.2">
      <c r="A951">
        <f t="shared" si="58"/>
        <v>2025</v>
      </c>
      <c r="B951">
        <f t="shared" si="59"/>
        <v>10</v>
      </c>
      <c r="C951">
        <f t="shared" si="60"/>
        <v>44</v>
      </c>
      <c r="D951" s="2">
        <f t="shared" si="61"/>
        <v>45959</v>
      </c>
      <c r="E951" s="1">
        <v>45959.791666666664</v>
      </c>
      <c r="F951" t="s">
        <v>3082</v>
      </c>
      <c r="G951" t="s">
        <v>36</v>
      </c>
      <c r="H951" t="s">
        <v>3083</v>
      </c>
      <c r="I951" t="s">
        <v>218</v>
      </c>
      <c r="J951" t="s">
        <v>200</v>
      </c>
      <c r="M951" t="s">
        <v>40</v>
      </c>
      <c r="N951" t="s">
        <v>41</v>
      </c>
      <c r="O951" t="s">
        <v>3084</v>
      </c>
      <c r="P951">
        <v>99</v>
      </c>
      <c r="Q951">
        <v>0</v>
      </c>
      <c r="R951">
        <v>0</v>
      </c>
      <c r="S951">
        <v>0</v>
      </c>
      <c r="T951" t="s">
        <v>54</v>
      </c>
      <c r="U951" t="s">
        <v>55</v>
      </c>
      <c r="W951" t="s">
        <v>3085</v>
      </c>
      <c r="Y951">
        <v>0</v>
      </c>
      <c r="AA951" t="s">
        <v>40</v>
      </c>
      <c r="AB951" t="s">
        <v>46</v>
      </c>
      <c r="AC951" t="s">
        <v>47</v>
      </c>
      <c r="AD951" t="s">
        <v>223</v>
      </c>
      <c r="AE951" t="s">
        <v>223</v>
      </c>
      <c r="AG951" t="s">
        <v>3086</v>
      </c>
      <c r="AJ951" t="s">
        <v>40</v>
      </c>
      <c r="AK951" t="s">
        <v>3087</v>
      </c>
      <c r="AO951" s="1">
        <v>45959</v>
      </c>
      <c r="AP951" s="5">
        <v>0.79166666666666663</v>
      </c>
      <c r="AS951">
        <v>1</v>
      </c>
    </row>
    <row r="952" spans="1:45" x14ac:dyDescent="0.2">
      <c r="A952">
        <f t="shared" si="58"/>
        <v>2025</v>
      </c>
      <c r="B952">
        <f t="shared" si="59"/>
        <v>10</v>
      </c>
      <c r="C952">
        <f t="shared" si="60"/>
        <v>44</v>
      </c>
      <c r="D952" s="2">
        <f t="shared" si="61"/>
        <v>45959</v>
      </c>
      <c r="E952" s="1">
        <v>45959.791666666664</v>
      </c>
      <c r="F952" t="s">
        <v>3088</v>
      </c>
      <c r="G952" t="s">
        <v>36</v>
      </c>
      <c r="H952" t="s">
        <v>3089</v>
      </c>
      <c r="I952" t="s">
        <v>78</v>
      </c>
      <c r="J952" t="s">
        <v>154</v>
      </c>
      <c r="M952" t="s">
        <v>40</v>
      </c>
      <c r="N952" t="s">
        <v>41</v>
      </c>
      <c r="O952" t="s">
        <v>3090</v>
      </c>
      <c r="P952">
        <v>66</v>
      </c>
      <c r="Q952">
        <v>0</v>
      </c>
      <c r="R952">
        <v>0</v>
      </c>
      <c r="S952">
        <v>0</v>
      </c>
      <c r="T952" t="s">
        <v>54</v>
      </c>
      <c r="U952" t="s">
        <v>55</v>
      </c>
      <c r="W952" t="s">
        <v>3091</v>
      </c>
      <c r="Y952">
        <v>0</v>
      </c>
      <c r="AA952" t="s">
        <v>40</v>
      </c>
      <c r="AB952" t="s">
        <v>46</v>
      </c>
      <c r="AC952" t="s">
        <v>47</v>
      </c>
      <c r="AD952" t="s">
        <v>81</v>
      </c>
      <c r="AE952" t="s">
        <v>81</v>
      </c>
      <c r="AG952" t="s">
        <v>3092</v>
      </c>
      <c r="AJ952" t="s">
        <v>40</v>
      </c>
      <c r="AK952" t="s">
        <v>3093</v>
      </c>
      <c r="AO952" s="1">
        <v>45959</v>
      </c>
      <c r="AP952" s="5">
        <v>0.79166666666666663</v>
      </c>
      <c r="AS952">
        <v>1</v>
      </c>
    </row>
    <row r="953" spans="1:45" x14ac:dyDescent="0.2">
      <c r="A953">
        <f t="shared" si="58"/>
        <v>2025</v>
      </c>
      <c r="B953">
        <f t="shared" si="59"/>
        <v>10</v>
      </c>
      <c r="C953">
        <f t="shared" si="60"/>
        <v>44</v>
      </c>
      <c r="D953" s="2">
        <f t="shared" si="61"/>
        <v>45959</v>
      </c>
      <c r="E953" s="1">
        <v>45959.791666666664</v>
      </c>
      <c r="F953" t="s">
        <v>3094</v>
      </c>
      <c r="G953" t="s">
        <v>36</v>
      </c>
      <c r="H953" t="s">
        <v>3095</v>
      </c>
      <c r="I953" t="s">
        <v>78</v>
      </c>
      <c r="J953" t="s">
        <v>2580</v>
      </c>
      <c r="M953" t="s">
        <v>40</v>
      </c>
      <c r="N953" t="s">
        <v>41</v>
      </c>
      <c r="O953" t="s">
        <v>554</v>
      </c>
      <c r="P953">
        <v>66</v>
      </c>
      <c r="Q953">
        <v>0</v>
      </c>
      <c r="R953">
        <v>0</v>
      </c>
      <c r="S953">
        <v>0</v>
      </c>
      <c r="T953" t="s">
        <v>54</v>
      </c>
      <c r="U953" t="s">
        <v>55</v>
      </c>
      <c r="W953" t="s">
        <v>3096</v>
      </c>
      <c r="Y953">
        <v>0</v>
      </c>
      <c r="AA953" t="s">
        <v>40</v>
      </c>
      <c r="AB953" t="s">
        <v>46</v>
      </c>
      <c r="AC953" t="s">
        <v>47</v>
      </c>
      <c r="AD953" t="s">
        <v>81</v>
      </c>
      <c r="AE953" t="s">
        <v>81</v>
      </c>
      <c r="AG953" t="s">
        <v>3097</v>
      </c>
      <c r="AJ953" t="s">
        <v>40</v>
      </c>
      <c r="AK953" t="s">
        <v>3098</v>
      </c>
      <c r="AO953" s="1">
        <v>45959</v>
      </c>
      <c r="AP953" s="5">
        <v>0.79166666666666663</v>
      </c>
      <c r="AS953">
        <v>1</v>
      </c>
    </row>
    <row r="954" spans="1:45" x14ac:dyDescent="0.2">
      <c r="A954">
        <f t="shared" si="58"/>
        <v>2025</v>
      </c>
      <c r="B954">
        <f t="shared" si="59"/>
        <v>10</v>
      </c>
      <c r="C954">
        <f t="shared" si="60"/>
        <v>44</v>
      </c>
      <c r="D954" s="2">
        <f t="shared" si="61"/>
        <v>45959</v>
      </c>
      <c r="E954" s="1">
        <v>45959.833333333336</v>
      </c>
      <c r="F954" t="s">
        <v>3099</v>
      </c>
      <c r="G954" t="s">
        <v>36</v>
      </c>
      <c r="H954" t="s">
        <v>3100</v>
      </c>
      <c r="I954" t="s">
        <v>218</v>
      </c>
      <c r="J954" t="s">
        <v>219</v>
      </c>
      <c r="M954" t="s">
        <v>40</v>
      </c>
      <c r="N954" t="s">
        <v>41</v>
      </c>
      <c r="O954" t="s">
        <v>220</v>
      </c>
      <c r="P954">
        <v>99</v>
      </c>
      <c r="Q954">
        <v>0</v>
      </c>
      <c r="R954">
        <v>0</v>
      </c>
      <c r="S954">
        <v>0</v>
      </c>
      <c r="T954" t="s">
        <v>54</v>
      </c>
      <c r="U954" t="s">
        <v>55</v>
      </c>
      <c r="W954" t="s">
        <v>3101</v>
      </c>
      <c r="X954" t="s">
        <v>3102</v>
      </c>
      <c r="Y954">
        <v>0</v>
      </c>
      <c r="AA954" t="s">
        <v>40</v>
      </c>
      <c r="AB954" t="s">
        <v>46</v>
      </c>
      <c r="AC954" t="s">
        <v>47</v>
      </c>
      <c r="AD954" t="s">
        <v>223</v>
      </c>
      <c r="AE954" t="s">
        <v>223</v>
      </c>
      <c r="AG954" t="s">
        <v>3103</v>
      </c>
      <c r="AJ954" t="s">
        <v>40</v>
      </c>
      <c r="AK954" t="s">
        <v>3104</v>
      </c>
      <c r="AL954" t="s">
        <v>3105</v>
      </c>
      <c r="AM954" t="s">
        <v>3106</v>
      </c>
      <c r="AO954" s="1">
        <v>45959</v>
      </c>
      <c r="AP954" s="5">
        <v>0.83333333333333337</v>
      </c>
      <c r="AS954">
        <v>1</v>
      </c>
    </row>
    <row r="955" spans="1:45" x14ac:dyDescent="0.2">
      <c r="A955">
        <f t="shared" si="58"/>
        <v>2025</v>
      </c>
      <c r="B955">
        <f t="shared" si="59"/>
        <v>10</v>
      </c>
      <c r="C955">
        <f t="shared" si="60"/>
        <v>44</v>
      </c>
      <c r="D955" s="2">
        <f t="shared" si="61"/>
        <v>45960</v>
      </c>
      <c r="E955" s="1">
        <v>45960.25</v>
      </c>
      <c r="F955" t="s">
        <v>3107</v>
      </c>
      <c r="G955" t="s">
        <v>36</v>
      </c>
      <c r="H955" t="s">
        <v>37</v>
      </c>
      <c r="I955" t="s">
        <v>38</v>
      </c>
      <c r="J955" t="s">
        <v>112</v>
      </c>
      <c r="M955" t="s">
        <v>40</v>
      </c>
      <c r="N955" t="s">
        <v>41</v>
      </c>
      <c r="O955" t="s">
        <v>42</v>
      </c>
      <c r="P955">
        <v>23</v>
      </c>
      <c r="Q955">
        <v>0</v>
      </c>
      <c r="R955">
        <v>0</v>
      </c>
      <c r="S955">
        <v>0</v>
      </c>
      <c r="T955" t="s">
        <v>3108</v>
      </c>
      <c r="U955" t="s">
        <v>44</v>
      </c>
      <c r="W955" t="s">
        <v>3109</v>
      </c>
      <c r="Y955">
        <v>0</v>
      </c>
      <c r="AA955" t="s">
        <v>40</v>
      </c>
      <c r="AB955" t="s">
        <v>46</v>
      </c>
      <c r="AC955" t="s">
        <v>47</v>
      </c>
      <c r="AF955" t="s">
        <v>48</v>
      </c>
      <c r="AJ955" t="s">
        <v>40</v>
      </c>
      <c r="AK955" t="s">
        <v>49</v>
      </c>
      <c r="AO955" s="1">
        <v>45960</v>
      </c>
      <c r="AP955" s="5">
        <v>0.25</v>
      </c>
      <c r="AS955">
        <v>1</v>
      </c>
    </row>
    <row r="956" spans="1:45" x14ac:dyDescent="0.2">
      <c r="A956">
        <f t="shared" si="58"/>
        <v>2025</v>
      </c>
      <c r="B956">
        <f t="shared" si="59"/>
        <v>10</v>
      </c>
      <c r="C956">
        <f t="shared" si="60"/>
        <v>44</v>
      </c>
      <c r="D956" s="2">
        <f t="shared" si="61"/>
        <v>45960</v>
      </c>
      <c r="E956" s="1">
        <v>45960.25</v>
      </c>
      <c r="F956" t="s">
        <v>3110</v>
      </c>
      <c r="G956" t="s">
        <v>36</v>
      </c>
      <c r="H956">
        <v>464655</v>
      </c>
      <c r="I956" t="s">
        <v>51</v>
      </c>
      <c r="J956" t="s">
        <v>52</v>
      </c>
      <c r="M956" t="s">
        <v>40</v>
      </c>
      <c r="N956" t="s">
        <v>41</v>
      </c>
      <c r="O956" t="s">
        <v>53</v>
      </c>
      <c r="P956">
        <v>33</v>
      </c>
      <c r="Q956">
        <v>0</v>
      </c>
      <c r="R956">
        <v>0</v>
      </c>
      <c r="S956">
        <v>0</v>
      </c>
      <c r="T956" t="s">
        <v>54</v>
      </c>
      <c r="U956" t="s">
        <v>55</v>
      </c>
      <c r="W956" t="s">
        <v>3111</v>
      </c>
      <c r="Y956">
        <v>0</v>
      </c>
      <c r="AA956" t="s">
        <v>40</v>
      </c>
      <c r="AB956" t="s">
        <v>46</v>
      </c>
      <c r="AC956" t="s">
        <v>47</v>
      </c>
      <c r="AG956" t="s">
        <v>3112</v>
      </c>
      <c r="AJ956" t="s">
        <v>40</v>
      </c>
      <c r="AK956">
        <v>5019295566</v>
      </c>
      <c r="AO956" s="1">
        <v>45960</v>
      </c>
      <c r="AP956" s="5">
        <v>0.25</v>
      </c>
      <c r="AS956">
        <v>1</v>
      </c>
    </row>
    <row r="957" spans="1:45" x14ac:dyDescent="0.2">
      <c r="A957">
        <f t="shared" si="58"/>
        <v>2025</v>
      </c>
      <c r="B957">
        <f t="shared" si="59"/>
        <v>10</v>
      </c>
      <c r="C957">
        <f t="shared" si="60"/>
        <v>44</v>
      </c>
      <c r="D957" s="2">
        <f t="shared" si="61"/>
        <v>45960</v>
      </c>
      <c r="E957" s="1">
        <v>45960.291666666664</v>
      </c>
      <c r="F957" t="s">
        <v>3113</v>
      </c>
      <c r="G957" t="s">
        <v>36</v>
      </c>
      <c r="H957" t="s">
        <v>3114</v>
      </c>
      <c r="I957" t="s">
        <v>38</v>
      </c>
      <c r="J957" t="s">
        <v>60</v>
      </c>
      <c r="M957" t="s">
        <v>40</v>
      </c>
      <c r="N957" t="s">
        <v>41</v>
      </c>
      <c r="O957" t="s">
        <v>42</v>
      </c>
      <c r="P957">
        <v>20</v>
      </c>
      <c r="Q957">
        <v>0</v>
      </c>
      <c r="R957">
        <v>0</v>
      </c>
      <c r="S957">
        <v>0</v>
      </c>
      <c r="T957" t="s">
        <v>3115</v>
      </c>
      <c r="U957" t="s">
        <v>233</v>
      </c>
      <c r="W957" t="s">
        <v>3116</v>
      </c>
      <c r="Y957">
        <v>0</v>
      </c>
      <c r="AA957" t="s">
        <v>40</v>
      </c>
      <c r="AB957" t="s">
        <v>46</v>
      </c>
      <c r="AC957" t="s">
        <v>47</v>
      </c>
      <c r="AF957" t="s">
        <v>62</v>
      </c>
      <c r="AJ957" t="s">
        <v>40</v>
      </c>
      <c r="AK957" t="s">
        <v>49</v>
      </c>
      <c r="AN957">
        <v>260366923</v>
      </c>
      <c r="AO957" s="1">
        <v>45960</v>
      </c>
      <c r="AP957" s="5">
        <v>0.29166666666666669</v>
      </c>
      <c r="AS957">
        <v>1</v>
      </c>
    </row>
    <row r="958" spans="1:45" x14ac:dyDescent="0.2">
      <c r="A958">
        <f t="shared" si="58"/>
        <v>2025</v>
      </c>
      <c r="B958">
        <f t="shared" si="59"/>
        <v>10</v>
      </c>
      <c r="C958">
        <f t="shared" si="60"/>
        <v>44</v>
      </c>
      <c r="D958" s="2">
        <f t="shared" si="61"/>
        <v>45960</v>
      </c>
      <c r="E958" s="1">
        <v>45960.291666666664</v>
      </c>
      <c r="F958" t="s">
        <v>3117</v>
      </c>
      <c r="G958" t="s">
        <v>36</v>
      </c>
      <c r="H958" t="s">
        <v>1808</v>
      </c>
      <c r="I958" t="s">
        <v>38</v>
      </c>
      <c r="J958" t="s">
        <v>99</v>
      </c>
      <c r="M958" t="s">
        <v>40</v>
      </c>
      <c r="N958" t="s">
        <v>41</v>
      </c>
      <c r="O958" t="s">
        <v>42</v>
      </c>
      <c r="P958">
        <v>23</v>
      </c>
      <c r="Q958">
        <v>0</v>
      </c>
      <c r="R958">
        <v>0</v>
      </c>
      <c r="S958">
        <v>0</v>
      </c>
      <c r="T958">
        <v>5019247206</v>
      </c>
      <c r="U958" t="s">
        <v>44</v>
      </c>
      <c r="W958" t="s">
        <v>2842</v>
      </c>
      <c r="Y958">
        <v>0</v>
      </c>
      <c r="AA958" t="s">
        <v>40</v>
      </c>
      <c r="AB958" t="s">
        <v>46</v>
      </c>
      <c r="AC958" t="s">
        <v>47</v>
      </c>
      <c r="AF958" t="s">
        <v>367</v>
      </c>
      <c r="AJ958" t="s">
        <v>40</v>
      </c>
      <c r="AK958" t="s">
        <v>49</v>
      </c>
      <c r="AM958" t="s">
        <v>1810</v>
      </c>
      <c r="AN958" t="s">
        <v>3118</v>
      </c>
      <c r="AO958" s="1">
        <v>45960</v>
      </c>
      <c r="AP958" s="5">
        <v>0.29166666666666669</v>
      </c>
      <c r="AS958">
        <v>1</v>
      </c>
    </row>
    <row r="959" spans="1:45" x14ac:dyDescent="0.2">
      <c r="A959">
        <f t="shared" si="58"/>
        <v>2025</v>
      </c>
      <c r="B959">
        <f t="shared" si="59"/>
        <v>10</v>
      </c>
      <c r="C959">
        <f t="shared" si="60"/>
        <v>44</v>
      </c>
      <c r="D959" s="2">
        <f t="shared" si="61"/>
        <v>45960</v>
      </c>
      <c r="E959" s="1">
        <v>45960.291666666664</v>
      </c>
      <c r="F959" t="s">
        <v>3119</v>
      </c>
      <c r="G959" t="s">
        <v>36</v>
      </c>
      <c r="H959" t="s">
        <v>3120</v>
      </c>
      <c r="I959" t="s">
        <v>162</v>
      </c>
      <c r="J959" t="s">
        <v>52</v>
      </c>
      <c r="M959" t="s">
        <v>40</v>
      </c>
      <c r="N959" t="s">
        <v>41</v>
      </c>
      <c r="O959" t="s">
        <v>3121</v>
      </c>
      <c r="P959">
        <v>132</v>
      </c>
      <c r="Q959">
        <v>0</v>
      </c>
      <c r="R959">
        <v>0</v>
      </c>
      <c r="S959">
        <v>0</v>
      </c>
      <c r="T959" t="s">
        <v>54</v>
      </c>
      <c r="U959" t="s">
        <v>55</v>
      </c>
      <c r="W959" t="s">
        <v>3122</v>
      </c>
      <c r="Y959">
        <v>0</v>
      </c>
      <c r="AA959" t="s">
        <v>40</v>
      </c>
      <c r="AB959" t="s">
        <v>46</v>
      </c>
      <c r="AC959" t="s">
        <v>47</v>
      </c>
      <c r="AD959" t="s">
        <v>166</v>
      </c>
      <c r="AE959" t="s">
        <v>166</v>
      </c>
      <c r="AG959" t="s">
        <v>3123</v>
      </c>
      <c r="AJ959" t="s">
        <v>40</v>
      </c>
      <c r="AK959" t="s">
        <v>3124</v>
      </c>
      <c r="AO959" s="1">
        <v>45960</v>
      </c>
      <c r="AP959" s="5">
        <v>0.29166666666666669</v>
      </c>
      <c r="AS959">
        <v>1</v>
      </c>
    </row>
    <row r="960" spans="1:45" x14ac:dyDescent="0.2">
      <c r="A960">
        <f t="shared" si="58"/>
        <v>2025</v>
      </c>
      <c r="B960">
        <f t="shared" si="59"/>
        <v>10</v>
      </c>
      <c r="C960">
        <f t="shared" si="60"/>
        <v>44</v>
      </c>
      <c r="D960" s="2">
        <f t="shared" si="61"/>
        <v>45960</v>
      </c>
      <c r="E960" s="1">
        <v>45960.291666666664</v>
      </c>
      <c r="F960" t="s">
        <v>3125</v>
      </c>
      <c r="G960" t="s">
        <v>36</v>
      </c>
      <c r="H960" t="s">
        <v>253</v>
      </c>
      <c r="I960" t="s">
        <v>38</v>
      </c>
      <c r="J960" t="s">
        <v>254</v>
      </c>
      <c r="M960" t="s">
        <v>40</v>
      </c>
      <c r="N960" t="s">
        <v>41</v>
      </c>
      <c r="O960" t="s">
        <v>42</v>
      </c>
      <c r="P960">
        <v>1</v>
      </c>
      <c r="Q960">
        <v>0</v>
      </c>
      <c r="R960">
        <v>0</v>
      </c>
      <c r="S960">
        <v>0</v>
      </c>
      <c r="T960">
        <v>5019305006</v>
      </c>
      <c r="U960" t="s">
        <v>101</v>
      </c>
      <c r="W960" t="s">
        <v>2692</v>
      </c>
      <c r="Y960">
        <v>0</v>
      </c>
      <c r="AA960" t="s">
        <v>40</v>
      </c>
      <c r="AB960" t="s">
        <v>46</v>
      </c>
      <c r="AC960" t="s">
        <v>47</v>
      </c>
      <c r="AF960" t="s">
        <v>48</v>
      </c>
      <c r="AJ960" t="s">
        <v>40</v>
      </c>
      <c r="AK960" t="s">
        <v>49</v>
      </c>
      <c r="AO960" s="1">
        <v>45960</v>
      </c>
      <c r="AP960" s="5">
        <v>0.29166666666666669</v>
      </c>
      <c r="AS960">
        <v>1</v>
      </c>
    </row>
    <row r="961" spans="1:45" x14ac:dyDescent="0.2">
      <c r="A961">
        <f t="shared" si="58"/>
        <v>2025</v>
      </c>
      <c r="B961">
        <f t="shared" si="59"/>
        <v>10</v>
      </c>
      <c r="C961">
        <f t="shared" si="60"/>
        <v>44</v>
      </c>
      <c r="D961" s="2">
        <f t="shared" si="61"/>
        <v>45960</v>
      </c>
      <c r="E961" s="1">
        <v>45960.333333333336</v>
      </c>
      <c r="F961" t="s">
        <v>3126</v>
      </c>
      <c r="G961" t="s">
        <v>36</v>
      </c>
      <c r="H961" t="s">
        <v>3127</v>
      </c>
      <c r="I961" t="s">
        <v>38</v>
      </c>
      <c r="J961" t="s">
        <v>99</v>
      </c>
      <c r="M961" t="s">
        <v>40</v>
      </c>
      <c r="N961" t="s">
        <v>41</v>
      </c>
      <c r="O961" t="s">
        <v>42</v>
      </c>
      <c r="P961">
        <v>19</v>
      </c>
      <c r="Q961">
        <v>0</v>
      </c>
      <c r="R961">
        <v>0</v>
      </c>
      <c r="S961">
        <v>0</v>
      </c>
      <c r="T961" t="s">
        <v>3128</v>
      </c>
      <c r="U961" t="s">
        <v>44</v>
      </c>
      <c r="W961" t="s">
        <v>2842</v>
      </c>
      <c r="Y961">
        <v>0</v>
      </c>
      <c r="AA961" t="s">
        <v>40</v>
      </c>
      <c r="AB961" t="s">
        <v>46</v>
      </c>
      <c r="AC961" t="s">
        <v>47</v>
      </c>
      <c r="AF961" t="s">
        <v>367</v>
      </c>
      <c r="AJ961" t="s">
        <v>40</v>
      </c>
      <c r="AK961" t="s">
        <v>49</v>
      </c>
      <c r="AM961" t="s">
        <v>3129</v>
      </c>
      <c r="AN961" t="s">
        <v>1180</v>
      </c>
      <c r="AO961" s="1">
        <v>45960</v>
      </c>
      <c r="AP961" s="5">
        <v>0.33333333333333331</v>
      </c>
      <c r="AS961">
        <v>1</v>
      </c>
    </row>
    <row r="962" spans="1:45" x14ac:dyDescent="0.2">
      <c r="A962">
        <f t="shared" ref="A962:A1025" si="62">YEAR(D962)</f>
        <v>2025</v>
      </c>
      <c r="B962">
        <f t="shared" ref="B962:B1025" si="63">MONTH(D962)</f>
        <v>10</v>
      </c>
      <c r="C962">
        <f t="shared" ref="C962:C1025" si="64">WEEKNUM(D962)</f>
        <v>44</v>
      </c>
      <c r="D962" s="2">
        <f t="shared" ref="D962:D1025" si="65">INT(E962)</f>
        <v>45960</v>
      </c>
      <c r="E962" s="1">
        <v>45960.333333333336</v>
      </c>
      <c r="F962" t="s">
        <v>3130</v>
      </c>
      <c r="G962" t="s">
        <v>36</v>
      </c>
      <c r="H962" t="s">
        <v>264</v>
      </c>
      <c r="I962" t="s">
        <v>38</v>
      </c>
      <c r="J962" t="s">
        <v>265</v>
      </c>
      <c r="M962" t="s">
        <v>40</v>
      </c>
      <c r="N962" t="s">
        <v>41</v>
      </c>
      <c r="O962" t="s">
        <v>42</v>
      </c>
      <c r="P962">
        <v>23</v>
      </c>
      <c r="Q962">
        <v>0</v>
      </c>
      <c r="R962">
        <v>0</v>
      </c>
      <c r="S962">
        <v>0</v>
      </c>
      <c r="T962" t="s">
        <v>3131</v>
      </c>
      <c r="U962" t="s">
        <v>55</v>
      </c>
      <c r="W962" t="s">
        <v>3109</v>
      </c>
      <c r="Y962">
        <v>0</v>
      </c>
      <c r="AA962" t="s">
        <v>40</v>
      </c>
      <c r="AB962" t="s">
        <v>46</v>
      </c>
      <c r="AC962" t="s">
        <v>47</v>
      </c>
      <c r="AF962" t="s">
        <v>48</v>
      </c>
      <c r="AJ962" t="s">
        <v>40</v>
      </c>
      <c r="AK962" t="s">
        <v>49</v>
      </c>
      <c r="AO962" s="1">
        <v>45960</v>
      </c>
      <c r="AP962" s="5">
        <v>0.33333333333333331</v>
      </c>
      <c r="AS962">
        <v>1</v>
      </c>
    </row>
    <row r="963" spans="1:45" x14ac:dyDescent="0.2">
      <c r="A963">
        <f t="shared" si="62"/>
        <v>2025</v>
      </c>
      <c r="B963">
        <f t="shared" si="63"/>
        <v>10</v>
      </c>
      <c r="C963">
        <f t="shared" si="64"/>
        <v>44</v>
      </c>
      <c r="D963" s="2">
        <f t="shared" si="65"/>
        <v>45960</v>
      </c>
      <c r="E963" s="1">
        <v>45960.333333333336</v>
      </c>
      <c r="F963" t="s">
        <v>3132</v>
      </c>
      <c r="G963" t="s">
        <v>36</v>
      </c>
      <c r="H963" t="s">
        <v>1808</v>
      </c>
      <c r="I963" t="s">
        <v>38</v>
      </c>
      <c r="J963" t="s">
        <v>99</v>
      </c>
      <c r="M963" t="s">
        <v>40</v>
      </c>
      <c r="N963" t="s">
        <v>41</v>
      </c>
      <c r="O963" t="s">
        <v>42</v>
      </c>
      <c r="P963">
        <v>23</v>
      </c>
      <c r="Q963">
        <v>0</v>
      </c>
      <c r="R963">
        <v>0</v>
      </c>
      <c r="S963">
        <v>0</v>
      </c>
      <c r="T963">
        <v>5019233745</v>
      </c>
      <c r="U963" t="s">
        <v>44</v>
      </c>
      <c r="W963" t="s">
        <v>3133</v>
      </c>
      <c r="Y963">
        <v>0</v>
      </c>
      <c r="AA963" t="s">
        <v>40</v>
      </c>
      <c r="AB963" t="s">
        <v>46</v>
      </c>
      <c r="AC963" t="s">
        <v>47</v>
      </c>
      <c r="AF963" t="s">
        <v>367</v>
      </c>
      <c r="AJ963" t="s">
        <v>40</v>
      </c>
      <c r="AK963" t="s">
        <v>49</v>
      </c>
      <c r="AM963" t="s">
        <v>1824</v>
      </c>
      <c r="AN963" t="s">
        <v>3118</v>
      </c>
      <c r="AO963" s="1">
        <v>45960</v>
      </c>
      <c r="AP963" s="5">
        <v>0.33333333333333331</v>
      </c>
      <c r="AS963">
        <v>1</v>
      </c>
    </row>
    <row r="964" spans="1:45" x14ac:dyDescent="0.2">
      <c r="A964">
        <f t="shared" si="62"/>
        <v>2025</v>
      </c>
      <c r="B964">
        <f t="shared" si="63"/>
        <v>10</v>
      </c>
      <c r="C964">
        <f t="shared" si="64"/>
        <v>44</v>
      </c>
      <c r="D964" s="2">
        <f t="shared" si="65"/>
        <v>45960</v>
      </c>
      <c r="E964" s="1">
        <v>45960.375</v>
      </c>
      <c r="F964" t="s">
        <v>3134</v>
      </c>
      <c r="G964" t="s">
        <v>36</v>
      </c>
      <c r="H964" t="s">
        <v>1808</v>
      </c>
      <c r="I964" t="s">
        <v>38</v>
      </c>
      <c r="J964" t="s">
        <v>99</v>
      </c>
      <c r="M964" t="s">
        <v>40</v>
      </c>
      <c r="N964" t="s">
        <v>41</v>
      </c>
      <c r="O964" t="s">
        <v>42</v>
      </c>
      <c r="P964">
        <v>23</v>
      </c>
      <c r="Q964">
        <v>0</v>
      </c>
      <c r="R964">
        <v>0</v>
      </c>
      <c r="S964">
        <v>0</v>
      </c>
      <c r="T964">
        <v>5019230302</v>
      </c>
      <c r="U964" t="s">
        <v>44</v>
      </c>
      <c r="W964" t="s">
        <v>3133</v>
      </c>
      <c r="Y964">
        <v>0</v>
      </c>
      <c r="AA964" t="s">
        <v>40</v>
      </c>
      <c r="AB964" t="s">
        <v>46</v>
      </c>
      <c r="AC964" t="s">
        <v>47</v>
      </c>
      <c r="AF964" t="s">
        <v>367</v>
      </c>
      <c r="AJ964" t="s">
        <v>40</v>
      </c>
      <c r="AK964" t="s">
        <v>49</v>
      </c>
      <c r="AM964" t="s">
        <v>2174</v>
      </c>
      <c r="AN964" t="s">
        <v>3118</v>
      </c>
      <c r="AO964" s="1">
        <v>45960</v>
      </c>
      <c r="AP964" s="5">
        <v>0.375</v>
      </c>
      <c r="AS964">
        <v>1</v>
      </c>
    </row>
    <row r="965" spans="1:45" x14ac:dyDescent="0.2">
      <c r="A965">
        <f t="shared" si="62"/>
        <v>2025</v>
      </c>
      <c r="B965">
        <f t="shared" si="63"/>
        <v>10</v>
      </c>
      <c r="C965">
        <f t="shared" si="64"/>
        <v>44</v>
      </c>
      <c r="D965" s="2">
        <f t="shared" si="65"/>
        <v>45960</v>
      </c>
      <c r="E965" s="1">
        <v>45960.375</v>
      </c>
      <c r="F965" t="s">
        <v>3135</v>
      </c>
      <c r="G965" t="s">
        <v>36</v>
      </c>
      <c r="H965">
        <v>466325</v>
      </c>
      <c r="I965" t="s">
        <v>51</v>
      </c>
      <c r="J965" t="s">
        <v>52</v>
      </c>
      <c r="M965" t="s">
        <v>40</v>
      </c>
      <c r="N965" t="s">
        <v>41</v>
      </c>
      <c r="O965" t="s">
        <v>433</v>
      </c>
      <c r="P965">
        <v>33</v>
      </c>
      <c r="Q965">
        <v>0</v>
      </c>
      <c r="R965">
        <v>0</v>
      </c>
      <c r="S965">
        <v>0</v>
      </c>
      <c r="T965" t="s">
        <v>54</v>
      </c>
      <c r="U965" t="s">
        <v>55</v>
      </c>
      <c r="W965" t="s">
        <v>3136</v>
      </c>
      <c r="Y965">
        <v>0</v>
      </c>
      <c r="AA965" t="s">
        <v>40</v>
      </c>
      <c r="AB965" t="s">
        <v>46</v>
      </c>
      <c r="AC965" t="s">
        <v>47</v>
      </c>
      <c r="AG965" t="s">
        <v>3137</v>
      </c>
      <c r="AJ965" t="s">
        <v>40</v>
      </c>
      <c r="AK965">
        <v>5019295844</v>
      </c>
      <c r="AO965" s="1">
        <v>45960</v>
      </c>
      <c r="AP965" s="5">
        <v>0.375</v>
      </c>
      <c r="AS965">
        <v>1</v>
      </c>
    </row>
    <row r="966" spans="1:45" x14ac:dyDescent="0.2">
      <c r="A966">
        <f t="shared" si="62"/>
        <v>2025</v>
      </c>
      <c r="B966">
        <f t="shared" si="63"/>
        <v>10</v>
      </c>
      <c r="C966">
        <f t="shared" si="64"/>
        <v>44</v>
      </c>
      <c r="D966" s="2">
        <f t="shared" si="65"/>
        <v>45960</v>
      </c>
      <c r="E966" s="1">
        <v>45960.416666666664</v>
      </c>
      <c r="F966" t="s">
        <v>3138</v>
      </c>
      <c r="G966" t="s">
        <v>36</v>
      </c>
      <c r="H966" t="s">
        <v>3139</v>
      </c>
      <c r="I966" t="s">
        <v>38</v>
      </c>
      <c r="J966" t="s">
        <v>60</v>
      </c>
      <c r="M966" t="s">
        <v>40</v>
      </c>
      <c r="N966" t="s">
        <v>41</v>
      </c>
      <c r="O966" t="s">
        <v>42</v>
      </c>
      <c r="P966">
        <v>20</v>
      </c>
      <c r="Q966">
        <v>0</v>
      </c>
      <c r="R966">
        <v>0</v>
      </c>
      <c r="S966">
        <v>0</v>
      </c>
      <c r="T966">
        <v>5019242326</v>
      </c>
      <c r="U966" t="s">
        <v>44</v>
      </c>
      <c r="W966" t="s">
        <v>3140</v>
      </c>
      <c r="Y966">
        <v>0</v>
      </c>
      <c r="AA966" t="s">
        <v>40</v>
      </c>
      <c r="AB966" t="s">
        <v>46</v>
      </c>
      <c r="AC966" t="s">
        <v>47</v>
      </c>
      <c r="AF966" t="s">
        <v>62</v>
      </c>
      <c r="AJ966" t="s">
        <v>40</v>
      </c>
      <c r="AK966" t="s">
        <v>49</v>
      </c>
      <c r="AN966">
        <v>260356170</v>
      </c>
      <c r="AO966" s="1">
        <v>45960</v>
      </c>
      <c r="AP966" s="5">
        <v>0.41666666666666669</v>
      </c>
      <c r="AS966">
        <v>1</v>
      </c>
    </row>
    <row r="967" spans="1:45" x14ac:dyDescent="0.2">
      <c r="A967">
        <f t="shared" si="62"/>
        <v>2025</v>
      </c>
      <c r="B967">
        <f t="shared" si="63"/>
        <v>10</v>
      </c>
      <c r="C967">
        <f t="shared" si="64"/>
        <v>44</v>
      </c>
      <c r="D967" s="2">
        <f t="shared" si="65"/>
        <v>45960</v>
      </c>
      <c r="E967" s="1">
        <v>45960.416666666664</v>
      </c>
      <c r="F967" t="s">
        <v>3141</v>
      </c>
      <c r="G967" t="s">
        <v>36</v>
      </c>
      <c r="H967" t="s">
        <v>37</v>
      </c>
      <c r="I967" t="s">
        <v>38</v>
      </c>
      <c r="J967" t="s">
        <v>112</v>
      </c>
      <c r="M967" t="s">
        <v>40</v>
      </c>
      <c r="N967" t="s">
        <v>41</v>
      </c>
      <c r="O967" t="s">
        <v>42</v>
      </c>
      <c r="P967">
        <v>23</v>
      </c>
      <c r="Q967">
        <v>0</v>
      </c>
      <c r="R967">
        <v>0</v>
      </c>
      <c r="S967">
        <v>0</v>
      </c>
      <c r="T967" t="s">
        <v>3142</v>
      </c>
      <c r="U967" t="s">
        <v>44</v>
      </c>
      <c r="W967" t="s">
        <v>3109</v>
      </c>
      <c r="Y967">
        <v>0</v>
      </c>
      <c r="AA967" t="s">
        <v>40</v>
      </c>
      <c r="AB967" t="s">
        <v>46</v>
      </c>
      <c r="AC967" t="s">
        <v>47</v>
      </c>
      <c r="AF967" t="s">
        <v>48</v>
      </c>
      <c r="AJ967" t="s">
        <v>40</v>
      </c>
      <c r="AK967" t="s">
        <v>49</v>
      </c>
      <c r="AO967" s="1">
        <v>45960</v>
      </c>
      <c r="AP967" s="5">
        <v>0.41666666666666669</v>
      </c>
      <c r="AS967">
        <v>1</v>
      </c>
    </row>
    <row r="968" spans="1:45" x14ac:dyDescent="0.2">
      <c r="A968">
        <f t="shared" si="62"/>
        <v>2025</v>
      </c>
      <c r="B968">
        <f t="shared" si="63"/>
        <v>10</v>
      </c>
      <c r="C968">
        <f t="shared" si="64"/>
        <v>44</v>
      </c>
      <c r="D968" s="2">
        <f t="shared" si="65"/>
        <v>45960</v>
      </c>
      <c r="E968" s="1">
        <v>45960.416666666664</v>
      </c>
      <c r="F968" t="s">
        <v>3143</v>
      </c>
      <c r="G968" t="s">
        <v>36</v>
      </c>
      <c r="H968" t="s">
        <v>1808</v>
      </c>
      <c r="I968" t="s">
        <v>38</v>
      </c>
      <c r="J968" t="s">
        <v>99</v>
      </c>
      <c r="M968" t="s">
        <v>40</v>
      </c>
      <c r="N968" t="s">
        <v>41</v>
      </c>
      <c r="O968" t="s">
        <v>42</v>
      </c>
      <c r="P968">
        <v>23</v>
      </c>
      <c r="Q968">
        <v>0</v>
      </c>
      <c r="R968">
        <v>0</v>
      </c>
      <c r="S968">
        <v>0</v>
      </c>
      <c r="T968">
        <v>5019245477</v>
      </c>
      <c r="U968" t="s">
        <v>44</v>
      </c>
      <c r="W968" t="s">
        <v>3133</v>
      </c>
      <c r="Y968">
        <v>0</v>
      </c>
      <c r="AA968" t="s">
        <v>40</v>
      </c>
      <c r="AB968" t="s">
        <v>46</v>
      </c>
      <c r="AC968" t="s">
        <v>47</v>
      </c>
      <c r="AF968" t="s">
        <v>367</v>
      </c>
      <c r="AJ968" t="s">
        <v>40</v>
      </c>
      <c r="AK968" t="s">
        <v>49</v>
      </c>
      <c r="AM968" t="s">
        <v>2179</v>
      </c>
      <c r="AN968" t="s">
        <v>3118</v>
      </c>
      <c r="AO968" s="1">
        <v>45960</v>
      </c>
      <c r="AP968" s="5">
        <v>0.41666666666666669</v>
      </c>
      <c r="AS968">
        <v>1</v>
      </c>
    </row>
    <row r="969" spans="1:45" x14ac:dyDescent="0.2">
      <c r="A969">
        <f t="shared" si="62"/>
        <v>2025</v>
      </c>
      <c r="B969">
        <f t="shared" si="63"/>
        <v>10</v>
      </c>
      <c r="C969">
        <f t="shared" si="64"/>
        <v>44</v>
      </c>
      <c r="D969" s="2">
        <f t="shared" si="65"/>
        <v>45960</v>
      </c>
      <c r="E969" s="1">
        <v>45960.416666666664</v>
      </c>
      <c r="F969" t="s">
        <v>3144</v>
      </c>
      <c r="G969" t="s">
        <v>36</v>
      </c>
      <c r="H969">
        <v>464669</v>
      </c>
      <c r="I969" t="s">
        <v>51</v>
      </c>
      <c r="J969" t="s">
        <v>52</v>
      </c>
      <c r="M969" t="s">
        <v>40</v>
      </c>
      <c r="N969" t="s">
        <v>41</v>
      </c>
      <c r="O969" t="s">
        <v>53</v>
      </c>
      <c r="P969">
        <v>33</v>
      </c>
      <c r="Q969">
        <v>0</v>
      </c>
      <c r="R969">
        <v>0</v>
      </c>
      <c r="S969">
        <v>0</v>
      </c>
      <c r="T969" t="s">
        <v>54</v>
      </c>
      <c r="U969" t="s">
        <v>55</v>
      </c>
      <c r="W969" t="s">
        <v>2754</v>
      </c>
      <c r="Y969">
        <v>0</v>
      </c>
      <c r="AA969" t="s">
        <v>40</v>
      </c>
      <c r="AB969" t="s">
        <v>46</v>
      </c>
      <c r="AC969" t="s">
        <v>47</v>
      </c>
      <c r="AG969" t="s">
        <v>3145</v>
      </c>
      <c r="AJ969" t="s">
        <v>40</v>
      </c>
      <c r="AK969">
        <v>5019277505</v>
      </c>
      <c r="AO969" s="1">
        <v>45960</v>
      </c>
      <c r="AP969" s="5">
        <v>0.41666666666666669</v>
      </c>
      <c r="AS969">
        <v>1</v>
      </c>
    </row>
    <row r="970" spans="1:45" x14ac:dyDescent="0.2">
      <c r="A970">
        <f t="shared" si="62"/>
        <v>2025</v>
      </c>
      <c r="B970">
        <f t="shared" si="63"/>
        <v>10</v>
      </c>
      <c r="C970">
        <f t="shared" si="64"/>
        <v>44</v>
      </c>
      <c r="D970" s="2">
        <f t="shared" si="65"/>
        <v>45960</v>
      </c>
      <c r="E970" s="1">
        <v>45960.458333333336</v>
      </c>
      <c r="F970" t="s">
        <v>3146</v>
      </c>
      <c r="G970" t="s">
        <v>36</v>
      </c>
      <c r="H970" t="s">
        <v>3147</v>
      </c>
      <c r="I970" t="s">
        <v>38</v>
      </c>
      <c r="J970" t="s">
        <v>99</v>
      </c>
      <c r="M970" t="s">
        <v>40</v>
      </c>
      <c r="N970" t="s">
        <v>41</v>
      </c>
      <c r="O970" t="s">
        <v>42</v>
      </c>
      <c r="P970">
        <v>20</v>
      </c>
      <c r="Q970">
        <v>0</v>
      </c>
      <c r="R970">
        <v>0</v>
      </c>
      <c r="S970">
        <v>0</v>
      </c>
      <c r="T970">
        <v>5019230273</v>
      </c>
      <c r="U970" t="s">
        <v>44</v>
      </c>
      <c r="W970" t="s">
        <v>2842</v>
      </c>
      <c r="Y970">
        <v>0</v>
      </c>
      <c r="AA970" t="s">
        <v>40</v>
      </c>
      <c r="AB970" t="s">
        <v>46</v>
      </c>
      <c r="AC970" t="s">
        <v>47</v>
      </c>
      <c r="AF970" t="s">
        <v>367</v>
      </c>
      <c r="AJ970" t="s">
        <v>40</v>
      </c>
      <c r="AK970" t="s">
        <v>49</v>
      </c>
      <c r="AM970" t="s">
        <v>3148</v>
      </c>
      <c r="AN970" t="s">
        <v>1180</v>
      </c>
      <c r="AO970" s="1">
        <v>45960</v>
      </c>
      <c r="AP970" s="5">
        <v>0.45833333333333331</v>
      </c>
      <c r="AS970">
        <v>1</v>
      </c>
    </row>
    <row r="971" spans="1:45" x14ac:dyDescent="0.2">
      <c r="A971">
        <f t="shared" si="62"/>
        <v>2025</v>
      </c>
      <c r="B971">
        <f t="shared" si="63"/>
        <v>10</v>
      </c>
      <c r="C971">
        <f t="shared" si="64"/>
        <v>44</v>
      </c>
      <c r="D971" s="2">
        <f t="shared" si="65"/>
        <v>45960</v>
      </c>
      <c r="E971" s="1">
        <v>45960.458333333336</v>
      </c>
      <c r="F971" t="s">
        <v>3149</v>
      </c>
      <c r="G971" t="s">
        <v>36</v>
      </c>
      <c r="H971" t="s">
        <v>3150</v>
      </c>
      <c r="I971" t="s">
        <v>162</v>
      </c>
      <c r="J971" t="s">
        <v>144</v>
      </c>
      <c r="M971" t="s">
        <v>40</v>
      </c>
      <c r="N971" t="s">
        <v>41</v>
      </c>
      <c r="O971" t="s">
        <v>1234</v>
      </c>
      <c r="P971">
        <v>132</v>
      </c>
      <c r="Q971">
        <v>0</v>
      </c>
      <c r="R971">
        <v>0</v>
      </c>
      <c r="S971">
        <v>0</v>
      </c>
      <c r="T971" t="s">
        <v>54</v>
      </c>
      <c r="U971" t="s">
        <v>55</v>
      </c>
      <c r="W971" t="s">
        <v>3151</v>
      </c>
      <c r="X971" t="s">
        <v>3152</v>
      </c>
      <c r="Y971">
        <v>0</v>
      </c>
      <c r="AA971" t="s">
        <v>40</v>
      </c>
      <c r="AB971" t="s">
        <v>46</v>
      </c>
      <c r="AC971" t="s">
        <v>47</v>
      </c>
      <c r="AD971" t="s">
        <v>166</v>
      </c>
      <c r="AE971" t="s">
        <v>166</v>
      </c>
      <c r="AG971" t="s">
        <v>3153</v>
      </c>
      <c r="AJ971" t="s">
        <v>40</v>
      </c>
      <c r="AK971" t="s">
        <v>3154</v>
      </c>
      <c r="AL971" t="s">
        <v>3155</v>
      </c>
      <c r="AM971" t="s">
        <v>3156</v>
      </c>
      <c r="AO971" s="1">
        <v>45960</v>
      </c>
      <c r="AP971" s="5">
        <v>0.45833333333333331</v>
      </c>
      <c r="AS971">
        <v>1</v>
      </c>
    </row>
    <row r="972" spans="1:45" x14ac:dyDescent="0.2">
      <c r="A972">
        <f t="shared" si="62"/>
        <v>2025</v>
      </c>
      <c r="B972">
        <f t="shared" si="63"/>
        <v>10</v>
      </c>
      <c r="C972">
        <f t="shared" si="64"/>
        <v>44</v>
      </c>
      <c r="D972" s="2">
        <f t="shared" si="65"/>
        <v>45960</v>
      </c>
      <c r="E972" s="1">
        <v>45960.458333333336</v>
      </c>
      <c r="F972" t="s">
        <v>3157</v>
      </c>
      <c r="G972" t="s">
        <v>36</v>
      </c>
      <c r="H972" t="s">
        <v>37</v>
      </c>
      <c r="I972" t="s">
        <v>38</v>
      </c>
      <c r="J972" t="s">
        <v>112</v>
      </c>
      <c r="M972" t="s">
        <v>40</v>
      </c>
      <c r="N972" t="s">
        <v>41</v>
      </c>
      <c r="O972" t="s">
        <v>42</v>
      </c>
      <c r="P972">
        <v>23</v>
      </c>
      <c r="Q972">
        <v>0</v>
      </c>
      <c r="R972">
        <v>0</v>
      </c>
      <c r="S972">
        <v>0</v>
      </c>
      <c r="T972" t="s">
        <v>3158</v>
      </c>
      <c r="U972" t="s">
        <v>44</v>
      </c>
      <c r="W972" t="s">
        <v>3109</v>
      </c>
      <c r="Y972">
        <v>0</v>
      </c>
      <c r="AA972" t="s">
        <v>40</v>
      </c>
      <c r="AB972" t="s">
        <v>46</v>
      </c>
      <c r="AC972" t="s">
        <v>47</v>
      </c>
      <c r="AF972" t="s">
        <v>48</v>
      </c>
      <c r="AJ972" t="s">
        <v>40</v>
      </c>
      <c r="AK972" t="s">
        <v>49</v>
      </c>
      <c r="AO972" s="1">
        <v>45960</v>
      </c>
      <c r="AP972" s="5">
        <v>0.45833333333333331</v>
      </c>
      <c r="AS972">
        <v>1</v>
      </c>
    </row>
    <row r="973" spans="1:45" x14ac:dyDescent="0.2">
      <c r="A973">
        <f t="shared" si="62"/>
        <v>2025</v>
      </c>
      <c r="B973">
        <f t="shared" si="63"/>
        <v>10</v>
      </c>
      <c r="C973">
        <f t="shared" si="64"/>
        <v>44</v>
      </c>
      <c r="D973" s="2">
        <f t="shared" si="65"/>
        <v>45960</v>
      </c>
      <c r="E973" s="1">
        <v>45960.458333333336</v>
      </c>
      <c r="F973" t="s">
        <v>3159</v>
      </c>
      <c r="G973" t="s">
        <v>36</v>
      </c>
      <c r="H973" t="s">
        <v>2975</v>
      </c>
      <c r="I973" t="s">
        <v>38</v>
      </c>
      <c r="J973" t="s">
        <v>39</v>
      </c>
      <c r="M973" t="s">
        <v>40</v>
      </c>
      <c r="N973" t="s">
        <v>41</v>
      </c>
      <c r="O973" t="s">
        <v>42</v>
      </c>
      <c r="P973">
        <v>13</v>
      </c>
      <c r="Q973">
        <v>0</v>
      </c>
      <c r="R973">
        <v>0</v>
      </c>
      <c r="S973">
        <v>0</v>
      </c>
      <c r="T973" t="s">
        <v>3160</v>
      </c>
      <c r="U973" t="s">
        <v>44</v>
      </c>
      <c r="W973" t="s">
        <v>3109</v>
      </c>
      <c r="Y973">
        <v>0</v>
      </c>
      <c r="AA973" t="s">
        <v>40</v>
      </c>
      <c r="AB973" t="s">
        <v>46</v>
      </c>
      <c r="AC973" t="s">
        <v>47</v>
      </c>
      <c r="AF973" t="s">
        <v>48</v>
      </c>
      <c r="AJ973" t="s">
        <v>40</v>
      </c>
      <c r="AK973" t="s">
        <v>49</v>
      </c>
      <c r="AO973" s="1">
        <v>45960</v>
      </c>
      <c r="AP973" s="5">
        <v>0.45833333333333331</v>
      </c>
      <c r="AS973">
        <v>1</v>
      </c>
    </row>
    <row r="974" spans="1:45" x14ac:dyDescent="0.2">
      <c r="A974">
        <f t="shared" si="62"/>
        <v>2025</v>
      </c>
      <c r="B974">
        <f t="shared" si="63"/>
        <v>10</v>
      </c>
      <c r="C974">
        <f t="shared" si="64"/>
        <v>44</v>
      </c>
      <c r="D974" s="2">
        <f t="shared" si="65"/>
        <v>45960</v>
      </c>
      <c r="E974" s="1">
        <v>45960.458333333336</v>
      </c>
      <c r="F974" t="s">
        <v>3161</v>
      </c>
      <c r="G974" t="s">
        <v>36</v>
      </c>
      <c r="H974" t="s">
        <v>1054</v>
      </c>
      <c r="I974" t="s">
        <v>38</v>
      </c>
      <c r="J974" t="s">
        <v>451</v>
      </c>
      <c r="M974" t="s">
        <v>40</v>
      </c>
      <c r="N974" t="s">
        <v>41</v>
      </c>
      <c r="O974" t="s">
        <v>42</v>
      </c>
      <c r="P974">
        <v>6</v>
      </c>
      <c r="Q974">
        <v>0</v>
      </c>
      <c r="R974">
        <v>0</v>
      </c>
      <c r="S974">
        <v>0</v>
      </c>
      <c r="T974" t="s">
        <v>3162</v>
      </c>
      <c r="U974" t="s">
        <v>101</v>
      </c>
      <c r="W974" t="s">
        <v>3163</v>
      </c>
      <c r="Y974">
        <v>0</v>
      </c>
      <c r="AA974" t="s">
        <v>40</v>
      </c>
      <c r="AB974" t="s">
        <v>46</v>
      </c>
      <c r="AC974" t="s">
        <v>47</v>
      </c>
      <c r="AF974" t="s">
        <v>48</v>
      </c>
      <c r="AJ974" t="s">
        <v>40</v>
      </c>
      <c r="AK974" t="s">
        <v>49</v>
      </c>
      <c r="AO974" s="1">
        <v>45960</v>
      </c>
      <c r="AP974" s="5">
        <v>0.45833333333333331</v>
      </c>
      <c r="AS974">
        <v>1</v>
      </c>
    </row>
    <row r="975" spans="1:45" x14ac:dyDescent="0.2">
      <c r="A975">
        <f t="shared" si="62"/>
        <v>2025</v>
      </c>
      <c r="B975">
        <f t="shared" si="63"/>
        <v>10</v>
      </c>
      <c r="C975">
        <f t="shared" si="64"/>
        <v>44</v>
      </c>
      <c r="D975" s="2">
        <f t="shared" si="65"/>
        <v>45960</v>
      </c>
      <c r="E975" s="1">
        <v>45960.5</v>
      </c>
      <c r="F975" t="s">
        <v>3164</v>
      </c>
      <c r="G975" t="s">
        <v>36</v>
      </c>
      <c r="H975">
        <v>464639</v>
      </c>
      <c r="I975" t="s">
        <v>51</v>
      </c>
      <c r="J975" t="s">
        <v>52</v>
      </c>
      <c r="M975" t="s">
        <v>40</v>
      </c>
      <c r="N975" t="s">
        <v>41</v>
      </c>
      <c r="O975" t="s">
        <v>53</v>
      </c>
      <c r="P975">
        <v>33</v>
      </c>
      <c r="Q975">
        <v>0</v>
      </c>
      <c r="R975">
        <v>0</v>
      </c>
      <c r="S975">
        <v>0</v>
      </c>
      <c r="T975" t="s">
        <v>54</v>
      </c>
      <c r="U975" t="s">
        <v>55</v>
      </c>
      <c r="W975" t="s">
        <v>2615</v>
      </c>
      <c r="Y975">
        <v>0</v>
      </c>
      <c r="AA975" t="s">
        <v>40</v>
      </c>
      <c r="AB975" t="s">
        <v>46</v>
      </c>
      <c r="AC975" t="s">
        <v>47</v>
      </c>
      <c r="AG975" t="s">
        <v>3165</v>
      </c>
      <c r="AJ975" t="s">
        <v>40</v>
      </c>
      <c r="AK975">
        <v>5019219356</v>
      </c>
      <c r="AO975" s="1">
        <v>45960</v>
      </c>
      <c r="AP975" s="5">
        <v>0.5</v>
      </c>
      <c r="AS975">
        <v>1</v>
      </c>
    </row>
    <row r="976" spans="1:45" x14ac:dyDescent="0.2">
      <c r="A976">
        <f t="shared" si="62"/>
        <v>2025</v>
      </c>
      <c r="B976">
        <f t="shared" si="63"/>
        <v>10</v>
      </c>
      <c r="C976">
        <f t="shared" si="64"/>
        <v>44</v>
      </c>
      <c r="D976" s="2">
        <f t="shared" si="65"/>
        <v>45960</v>
      </c>
      <c r="E976" s="1">
        <v>45960.5</v>
      </c>
      <c r="F976" t="s">
        <v>3166</v>
      </c>
      <c r="G976" t="s">
        <v>36</v>
      </c>
      <c r="H976" t="s">
        <v>106</v>
      </c>
      <c r="I976" t="s">
        <v>38</v>
      </c>
      <c r="J976" t="s">
        <v>107</v>
      </c>
      <c r="M976" t="s">
        <v>40</v>
      </c>
      <c r="N976" t="s">
        <v>41</v>
      </c>
      <c r="O976" t="s">
        <v>42</v>
      </c>
      <c r="P976">
        <v>33</v>
      </c>
      <c r="Q976">
        <v>0</v>
      </c>
      <c r="R976">
        <v>0</v>
      </c>
      <c r="S976">
        <v>0</v>
      </c>
      <c r="T976">
        <v>5019254553</v>
      </c>
      <c r="U976" t="s">
        <v>44</v>
      </c>
      <c r="W976" t="s">
        <v>3133</v>
      </c>
      <c r="Y976">
        <v>0</v>
      </c>
      <c r="AA976" t="s">
        <v>40</v>
      </c>
      <c r="AB976" t="s">
        <v>46</v>
      </c>
      <c r="AC976" t="s">
        <v>47</v>
      </c>
      <c r="AF976" t="s">
        <v>109</v>
      </c>
      <c r="AJ976" t="s">
        <v>40</v>
      </c>
      <c r="AK976" t="s">
        <v>49</v>
      </c>
      <c r="AO976" s="1">
        <v>45960</v>
      </c>
      <c r="AP976" s="5">
        <v>0.5</v>
      </c>
      <c r="AS976">
        <v>1</v>
      </c>
    </row>
    <row r="977" spans="1:45" x14ac:dyDescent="0.2">
      <c r="A977">
        <f t="shared" si="62"/>
        <v>2025</v>
      </c>
      <c r="B977">
        <f t="shared" si="63"/>
        <v>10</v>
      </c>
      <c r="C977">
        <f t="shared" si="64"/>
        <v>44</v>
      </c>
      <c r="D977" s="2">
        <f t="shared" si="65"/>
        <v>45960</v>
      </c>
      <c r="E977" s="1">
        <v>45960.5</v>
      </c>
      <c r="F977" t="s">
        <v>3167</v>
      </c>
      <c r="G977" t="s">
        <v>36</v>
      </c>
      <c r="H977">
        <v>464635</v>
      </c>
      <c r="I977" t="s">
        <v>51</v>
      </c>
      <c r="J977" t="s">
        <v>52</v>
      </c>
      <c r="M977" t="s">
        <v>40</v>
      </c>
      <c r="N977" t="s">
        <v>41</v>
      </c>
      <c r="O977" t="s">
        <v>53</v>
      </c>
      <c r="P977">
        <v>33</v>
      </c>
      <c r="Q977">
        <v>0</v>
      </c>
      <c r="R977">
        <v>0</v>
      </c>
      <c r="S977">
        <v>0</v>
      </c>
      <c r="T977" t="s">
        <v>54</v>
      </c>
      <c r="U977" t="s">
        <v>55</v>
      </c>
      <c r="W977" t="s">
        <v>3111</v>
      </c>
      <c r="Y977">
        <v>0</v>
      </c>
      <c r="AA977" t="s">
        <v>40</v>
      </c>
      <c r="AB977" t="s">
        <v>46</v>
      </c>
      <c r="AC977" t="s">
        <v>47</v>
      </c>
      <c r="AG977" t="s">
        <v>3168</v>
      </c>
      <c r="AJ977" t="s">
        <v>40</v>
      </c>
      <c r="AK977">
        <v>5019272997</v>
      </c>
      <c r="AO977" s="1">
        <v>45960</v>
      </c>
      <c r="AP977" s="5">
        <v>0.5</v>
      </c>
      <c r="AS977">
        <v>1</v>
      </c>
    </row>
    <row r="978" spans="1:45" x14ac:dyDescent="0.2">
      <c r="A978">
        <f t="shared" si="62"/>
        <v>2025</v>
      </c>
      <c r="B978">
        <f t="shared" si="63"/>
        <v>10</v>
      </c>
      <c r="C978">
        <f t="shared" si="64"/>
        <v>44</v>
      </c>
      <c r="D978" s="2">
        <f t="shared" si="65"/>
        <v>45960</v>
      </c>
      <c r="E978" s="1">
        <v>45960.5</v>
      </c>
      <c r="F978" t="s">
        <v>3169</v>
      </c>
      <c r="G978" t="s">
        <v>36</v>
      </c>
      <c r="H978" t="s">
        <v>111</v>
      </c>
      <c r="I978" t="s">
        <v>38</v>
      </c>
      <c r="J978" t="s">
        <v>112</v>
      </c>
      <c r="M978" t="s">
        <v>40</v>
      </c>
      <c r="N978" t="s">
        <v>41</v>
      </c>
      <c r="O978" t="s">
        <v>42</v>
      </c>
      <c r="P978">
        <v>23</v>
      </c>
      <c r="Q978">
        <v>0</v>
      </c>
      <c r="R978">
        <v>0</v>
      </c>
      <c r="S978">
        <v>0</v>
      </c>
      <c r="T978" t="s">
        <v>3170</v>
      </c>
      <c r="U978" t="s">
        <v>44</v>
      </c>
      <c r="W978" t="s">
        <v>3109</v>
      </c>
      <c r="Y978">
        <v>0</v>
      </c>
      <c r="AA978" t="s">
        <v>40</v>
      </c>
      <c r="AB978" t="s">
        <v>46</v>
      </c>
      <c r="AC978" t="s">
        <v>47</v>
      </c>
      <c r="AF978" t="s">
        <v>48</v>
      </c>
      <c r="AJ978" t="s">
        <v>40</v>
      </c>
      <c r="AK978" t="s">
        <v>49</v>
      </c>
      <c r="AO978" s="1">
        <v>45960</v>
      </c>
      <c r="AP978" s="5">
        <v>0.5</v>
      </c>
      <c r="AS978">
        <v>1</v>
      </c>
    </row>
    <row r="979" spans="1:45" x14ac:dyDescent="0.2">
      <c r="A979">
        <f t="shared" si="62"/>
        <v>2025</v>
      </c>
      <c r="B979">
        <f t="shared" si="63"/>
        <v>10</v>
      </c>
      <c r="C979">
        <f t="shared" si="64"/>
        <v>44</v>
      </c>
      <c r="D979" s="2">
        <f t="shared" si="65"/>
        <v>45960</v>
      </c>
      <c r="E979" s="1">
        <v>45960.541666666664</v>
      </c>
      <c r="F979" t="s">
        <v>3171</v>
      </c>
      <c r="G979" t="s">
        <v>36</v>
      </c>
      <c r="H979" t="s">
        <v>3147</v>
      </c>
      <c r="I979" t="s">
        <v>38</v>
      </c>
      <c r="J979" t="s">
        <v>99</v>
      </c>
      <c r="M979" t="s">
        <v>40</v>
      </c>
      <c r="N979" t="s">
        <v>41</v>
      </c>
      <c r="O979" t="s">
        <v>42</v>
      </c>
      <c r="P979">
        <v>20</v>
      </c>
      <c r="Q979">
        <v>0</v>
      </c>
      <c r="R979">
        <v>0</v>
      </c>
      <c r="S979">
        <v>0</v>
      </c>
      <c r="T979">
        <v>5019242858</v>
      </c>
      <c r="U979" t="s">
        <v>44</v>
      </c>
      <c r="W979" t="s">
        <v>2842</v>
      </c>
      <c r="Y979">
        <v>0</v>
      </c>
      <c r="AA979" t="s">
        <v>40</v>
      </c>
      <c r="AB979" t="s">
        <v>46</v>
      </c>
      <c r="AC979" t="s">
        <v>47</v>
      </c>
      <c r="AF979" t="s">
        <v>367</v>
      </c>
      <c r="AJ979" t="s">
        <v>40</v>
      </c>
      <c r="AK979" t="s">
        <v>49</v>
      </c>
      <c r="AM979" t="s">
        <v>3148</v>
      </c>
      <c r="AN979" t="s">
        <v>1180</v>
      </c>
      <c r="AO979" s="1">
        <v>45960</v>
      </c>
      <c r="AP979" s="5">
        <v>0.54166666666666663</v>
      </c>
      <c r="AS979">
        <v>1</v>
      </c>
    </row>
    <row r="980" spans="1:45" x14ac:dyDescent="0.2">
      <c r="A980">
        <f t="shared" si="62"/>
        <v>2025</v>
      </c>
      <c r="B980">
        <f t="shared" si="63"/>
        <v>10</v>
      </c>
      <c r="C980">
        <f t="shared" si="64"/>
        <v>44</v>
      </c>
      <c r="D980" s="2">
        <f t="shared" si="65"/>
        <v>45960</v>
      </c>
      <c r="E980" s="1">
        <v>45960.541666666664</v>
      </c>
      <c r="F980" t="s">
        <v>3172</v>
      </c>
      <c r="G980" t="s">
        <v>36</v>
      </c>
      <c r="H980">
        <v>464627</v>
      </c>
      <c r="I980" t="s">
        <v>51</v>
      </c>
      <c r="J980" t="s">
        <v>154</v>
      </c>
      <c r="M980" t="s">
        <v>40</v>
      </c>
      <c r="N980" t="s">
        <v>41</v>
      </c>
      <c r="O980" t="s">
        <v>53</v>
      </c>
      <c r="P980">
        <v>33</v>
      </c>
      <c r="Q980">
        <v>0</v>
      </c>
      <c r="R980">
        <v>0</v>
      </c>
      <c r="S980">
        <v>0</v>
      </c>
      <c r="T980" t="s">
        <v>54</v>
      </c>
      <c r="U980" t="s">
        <v>55</v>
      </c>
      <c r="W980" t="s">
        <v>3173</v>
      </c>
      <c r="Y980">
        <v>0</v>
      </c>
      <c r="AA980" t="s">
        <v>40</v>
      </c>
      <c r="AB980" t="s">
        <v>46</v>
      </c>
      <c r="AC980" t="s">
        <v>47</v>
      </c>
      <c r="AG980" t="s">
        <v>3174</v>
      </c>
      <c r="AJ980" t="s">
        <v>40</v>
      </c>
      <c r="AK980">
        <v>5019286458</v>
      </c>
      <c r="AO980" s="1">
        <v>45960</v>
      </c>
      <c r="AP980" s="5">
        <v>0.54166666666666663</v>
      </c>
      <c r="AS980">
        <v>1</v>
      </c>
    </row>
    <row r="981" spans="1:45" x14ac:dyDescent="0.2">
      <c r="A981">
        <f t="shared" si="62"/>
        <v>2025</v>
      </c>
      <c r="B981">
        <f t="shared" si="63"/>
        <v>10</v>
      </c>
      <c r="C981">
        <f t="shared" si="64"/>
        <v>44</v>
      </c>
      <c r="D981" s="2">
        <f t="shared" si="65"/>
        <v>45960</v>
      </c>
      <c r="E981" s="1">
        <v>45960.541666666664</v>
      </c>
      <c r="F981" t="s">
        <v>3175</v>
      </c>
      <c r="G981" t="s">
        <v>36</v>
      </c>
      <c r="H981" t="s">
        <v>37</v>
      </c>
      <c r="I981" t="s">
        <v>38</v>
      </c>
      <c r="J981" t="s">
        <v>112</v>
      </c>
      <c r="M981" t="s">
        <v>40</v>
      </c>
      <c r="N981" t="s">
        <v>41</v>
      </c>
      <c r="O981" t="s">
        <v>42</v>
      </c>
      <c r="P981">
        <v>15</v>
      </c>
      <c r="Q981">
        <v>0</v>
      </c>
      <c r="R981">
        <v>0</v>
      </c>
      <c r="S981">
        <v>0</v>
      </c>
      <c r="T981" t="s">
        <v>3176</v>
      </c>
      <c r="U981" t="s">
        <v>44</v>
      </c>
      <c r="W981" t="s">
        <v>3109</v>
      </c>
      <c r="Y981">
        <v>0</v>
      </c>
      <c r="AA981" t="s">
        <v>40</v>
      </c>
      <c r="AB981" t="s">
        <v>46</v>
      </c>
      <c r="AC981" t="s">
        <v>47</v>
      </c>
      <c r="AF981" t="s">
        <v>48</v>
      </c>
      <c r="AJ981" t="s">
        <v>40</v>
      </c>
      <c r="AK981" t="s">
        <v>49</v>
      </c>
      <c r="AO981" s="1">
        <v>45960</v>
      </c>
      <c r="AP981" s="5">
        <v>0.54166666666666663</v>
      </c>
      <c r="AS981">
        <v>1</v>
      </c>
    </row>
    <row r="982" spans="1:45" x14ac:dyDescent="0.2">
      <c r="A982">
        <f t="shared" si="62"/>
        <v>2025</v>
      </c>
      <c r="B982">
        <f t="shared" si="63"/>
        <v>10</v>
      </c>
      <c r="C982">
        <f t="shared" si="64"/>
        <v>44</v>
      </c>
      <c r="D982" s="2">
        <f t="shared" si="65"/>
        <v>45960</v>
      </c>
      <c r="E982" s="1">
        <v>45960.541666666664</v>
      </c>
      <c r="F982" t="s">
        <v>3177</v>
      </c>
      <c r="G982" t="s">
        <v>36</v>
      </c>
      <c r="H982" t="s">
        <v>1586</v>
      </c>
      <c r="I982" t="s">
        <v>38</v>
      </c>
      <c r="J982" t="s">
        <v>39</v>
      </c>
      <c r="M982" t="s">
        <v>40</v>
      </c>
      <c r="N982" t="s">
        <v>41</v>
      </c>
      <c r="O982" t="s">
        <v>42</v>
      </c>
      <c r="P982">
        <v>27</v>
      </c>
      <c r="Q982">
        <v>0</v>
      </c>
      <c r="R982">
        <v>0</v>
      </c>
      <c r="S982">
        <v>0</v>
      </c>
      <c r="T982" t="s">
        <v>3178</v>
      </c>
      <c r="U982" t="s">
        <v>44</v>
      </c>
      <c r="W982" t="s">
        <v>3109</v>
      </c>
      <c r="Y982">
        <v>0</v>
      </c>
      <c r="AA982" t="s">
        <v>40</v>
      </c>
      <c r="AB982" t="s">
        <v>46</v>
      </c>
      <c r="AC982" t="s">
        <v>47</v>
      </c>
      <c r="AF982" t="s">
        <v>48</v>
      </c>
      <c r="AJ982" t="s">
        <v>40</v>
      </c>
      <c r="AK982" t="s">
        <v>49</v>
      </c>
      <c r="AO982" s="1">
        <v>45960</v>
      </c>
      <c r="AP982" s="5">
        <v>0.54166666666666663</v>
      </c>
      <c r="AS982">
        <v>1</v>
      </c>
    </row>
    <row r="983" spans="1:45" x14ac:dyDescent="0.2">
      <c r="A983">
        <f t="shared" si="62"/>
        <v>2025</v>
      </c>
      <c r="B983">
        <f t="shared" si="63"/>
        <v>10</v>
      </c>
      <c r="C983">
        <f t="shared" si="64"/>
        <v>44</v>
      </c>
      <c r="D983" s="2">
        <f t="shared" si="65"/>
        <v>45960</v>
      </c>
      <c r="E983" s="1">
        <v>45960.583333333336</v>
      </c>
      <c r="F983" t="s">
        <v>3179</v>
      </c>
      <c r="G983" t="s">
        <v>36</v>
      </c>
      <c r="H983" t="s">
        <v>111</v>
      </c>
      <c r="I983" t="s">
        <v>38</v>
      </c>
      <c r="J983" t="s">
        <v>112</v>
      </c>
      <c r="M983" t="s">
        <v>40</v>
      </c>
      <c r="N983" t="s">
        <v>41</v>
      </c>
      <c r="O983" t="s">
        <v>42</v>
      </c>
      <c r="P983">
        <v>23</v>
      </c>
      <c r="Q983">
        <v>0</v>
      </c>
      <c r="R983">
        <v>0</v>
      </c>
      <c r="S983">
        <v>0</v>
      </c>
      <c r="T983" t="s">
        <v>3180</v>
      </c>
      <c r="U983" t="s">
        <v>44</v>
      </c>
      <c r="W983" t="s">
        <v>3109</v>
      </c>
      <c r="Y983">
        <v>0</v>
      </c>
      <c r="AA983" t="s">
        <v>40</v>
      </c>
      <c r="AB983" t="s">
        <v>46</v>
      </c>
      <c r="AC983" t="s">
        <v>47</v>
      </c>
      <c r="AF983" t="s">
        <v>48</v>
      </c>
      <c r="AJ983" t="s">
        <v>40</v>
      </c>
      <c r="AK983" t="s">
        <v>49</v>
      </c>
      <c r="AO983" s="1">
        <v>45960</v>
      </c>
      <c r="AP983" s="5">
        <v>0.58333333333333337</v>
      </c>
      <c r="AS983">
        <v>1</v>
      </c>
    </row>
    <row r="984" spans="1:45" x14ac:dyDescent="0.2">
      <c r="A984">
        <f t="shared" si="62"/>
        <v>2025</v>
      </c>
      <c r="B984">
        <f t="shared" si="63"/>
        <v>10</v>
      </c>
      <c r="C984">
        <f t="shared" si="64"/>
        <v>44</v>
      </c>
      <c r="D984" s="2">
        <f t="shared" si="65"/>
        <v>45960</v>
      </c>
      <c r="E984" s="1">
        <v>45960.583333333336</v>
      </c>
      <c r="F984" t="s">
        <v>3181</v>
      </c>
      <c r="G984" t="s">
        <v>36</v>
      </c>
      <c r="H984">
        <v>464637</v>
      </c>
      <c r="I984" t="s">
        <v>51</v>
      </c>
      <c r="J984" t="s">
        <v>52</v>
      </c>
      <c r="M984" t="s">
        <v>40</v>
      </c>
      <c r="N984" t="s">
        <v>41</v>
      </c>
      <c r="O984" t="s">
        <v>53</v>
      </c>
      <c r="P984">
        <v>33</v>
      </c>
      <c r="Q984">
        <v>0</v>
      </c>
      <c r="R984">
        <v>0</v>
      </c>
      <c r="S984">
        <v>0</v>
      </c>
      <c r="T984" t="s">
        <v>54</v>
      </c>
      <c r="U984" t="s">
        <v>55</v>
      </c>
      <c r="W984" t="s">
        <v>3111</v>
      </c>
      <c r="Y984">
        <v>0</v>
      </c>
      <c r="AA984" t="s">
        <v>40</v>
      </c>
      <c r="AB984" t="s">
        <v>46</v>
      </c>
      <c r="AC984" t="s">
        <v>47</v>
      </c>
      <c r="AG984" t="s">
        <v>3182</v>
      </c>
      <c r="AJ984" t="s">
        <v>40</v>
      </c>
      <c r="AK984">
        <v>5019243255</v>
      </c>
      <c r="AO984" s="1">
        <v>45960</v>
      </c>
      <c r="AP984" s="5">
        <v>0.58333333333333337</v>
      </c>
      <c r="AS984">
        <v>1</v>
      </c>
    </row>
    <row r="985" spans="1:45" x14ac:dyDescent="0.2">
      <c r="A985">
        <f t="shared" si="62"/>
        <v>2025</v>
      </c>
      <c r="B985">
        <f t="shared" si="63"/>
        <v>10</v>
      </c>
      <c r="C985">
        <f t="shared" si="64"/>
        <v>44</v>
      </c>
      <c r="D985" s="2">
        <f t="shared" si="65"/>
        <v>45960</v>
      </c>
      <c r="E985" s="1">
        <v>45960.583333333336</v>
      </c>
      <c r="F985" t="s">
        <v>3183</v>
      </c>
      <c r="G985" t="s">
        <v>36</v>
      </c>
      <c r="H985" t="s">
        <v>37</v>
      </c>
      <c r="I985" t="s">
        <v>38</v>
      </c>
      <c r="J985" t="s">
        <v>112</v>
      </c>
      <c r="M985" t="s">
        <v>40</v>
      </c>
      <c r="N985" t="s">
        <v>41</v>
      </c>
      <c r="O985" t="s">
        <v>42</v>
      </c>
      <c r="P985">
        <v>9</v>
      </c>
      <c r="Q985">
        <v>0</v>
      </c>
      <c r="R985">
        <v>0</v>
      </c>
      <c r="S985">
        <v>0</v>
      </c>
      <c r="T985" t="s">
        <v>3184</v>
      </c>
      <c r="U985" t="s">
        <v>101</v>
      </c>
      <c r="W985" t="s">
        <v>3109</v>
      </c>
      <c r="Y985">
        <v>0</v>
      </c>
      <c r="AA985" t="s">
        <v>40</v>
      </c>
      <c r="AB985" t="s">
        <v>46</v>
      </c>
      <c r="AC985" t="s">
        <v>47</v>
      </c>
      <c r="AF985" t="s">
        <v>48</v>
      </c>
      <c r="AJ985" t="s">
        <v>40</v>
      </c>
      <c r="AK985" t="s">
        <v>49</v>
      </c>
      <c r="AO985" s="1">
        <v>45960</v>
      </c>
      <c r="AP985" s="5">
        <v>0.58333333333333337</v>
      </c>
      <c r="AS985">
        <v>1</v>
      </c>
    </row>
    <row r="986" spans="1:45" x14ac:dyDescent="0.2">
      <c r="A986">
        <f t="shared" si="62"/>
        <v>2025</v>
      </c>
      <c r="B986">
        <f t="shared" si="63"/>
        <v>10</v>
      </c>
      <c r="C986">
        <f t="shared" si="64"/>
        <v>44</v>
      </c>
      <c r="D986" s="2">
        <f t="shared" si="65"/>
        <v>45960</v>
      </c>
      <c r="E986" s="1">
        <v>45960.625</v>
      </c>
      <c r="F986" t="s">
        <v>3185</v>
      </c>
      <c r="G986" t="s">
        <v>36</v>
      </c>
      <c r="H986" t="s">
        <v>1167</v>
      </c>
      <c r="I986" t="s">
        <v>38</v>
      </c>
      <c r="J986" t="s">
        <v>1168</v>
      </c>
      <c r="M986" t="s">
        <v>40</v>
      </c>
      <c r="N986" t="s">
        <v>41</v>
      </c>
      <c r="O986" t="s">
        <v>42</v>
      </c>
      <c r="P986">
        <v>1</v>
      </c>
      <c r="Q986">
        <v>0</v>
      </c>
      <c r="R986">
        <v>0</v>
      </c>
      <c r="S986">
        <v>0</v>
      </c>
      <c r="T986">
        <v>5019242328</v>
      </c>
      <c r="U986" t="s">
        <v>101</v>
      </c>
      <c r="W986" t="s">
        <v>3133</v>
      </c>
      <c r="Y986">
        <v>0</v>
      </c>
      <c r="AA986" t="s">
        <v>40</v>
      </c>
      <c r="AB986" t="s">
        <v>46</v>
      </c>
      <c r="AC986" t="s">
        <v>47</v>
      </c>
      <c r="AF986" t="s">
        <v>2882</v>
      </c>
      <c r="AJ986" t="s">
        <v>40</v>
      </c>
      <c r="AK986" t="s">
        <v>49</v>
      </c>
      <c r="AO986" s="1">
        <v>45960</v>
      </c>
      <c r="AP986" s="5">
        <v>0.625</v>
      </c>
      <c r="AS986">
        <v>1</v>
      </c>
    </row>
    <row r="987" spans="1:45" x14ac:dyDescent="0.2">
      <c r="A987">
        <f t="shared" si="62"/>
        <v>2025</v>
      </c>
      <c r="B987">
        <f t="shared" si="63"/>
        <v>10</v>
      </c>
      <c r="C987">
        <f t="shared" si="64"/>
        <v>44</v>
      </c>
      <c r="D987" s="2">
        <f t="shared" si="65"/>
        <v>45960</v>
      </c>
      <c r="E987" s="1">
        <v>45960.625</v>
      </c>
      <c r="F987" t="s">
        <v>3186</v>
      </c>
      <c r="G987" t="s">
        <v>36</v>
      </c>
      <c r="H987" t="s">
        <v>111</v>
      </c>
      <c r="I987" t="s">
        <v>38</v>
      </c>
      <c r="J987" t="s">
        <v>112</v>
      </c>
      <c r="M987" t="s">
        <v>40</v>
      </c>
      <c r="N987" t="s">
        <v>41</v>
      </c>
      <c r="O987" t="s">
        <v>42</v>
      </c>
      <c r="P987">
        <v>23</v>
      </c>
      <c r="Q987">
        <v>0</v>
      </c>
      <c r="R987">
        <v>0</v>
      </c>
      <c r="S987">
        <v>0</v>
      </c>
      <c r="T987" t="s">
        <v>3187</v>
      </c>
      <c r="U987" t="s">
        <v>44</v>
      </c>
      <c r="W987" t="s">
        <v>3109</v>
      </c>
      <c r="Y987">
        <v>0</v>
      </c>
      <c r="AA987" t="s">
        <v>40</v>
      </c>
      <c r="AB987" t="s">
        <v>46</v>
      </c>
      <c r="AC987" t="s">
        <v>47</v>
      </c>
      <c r="AF987" t="s">
        <v>48</v>
      </c>
      <c r="AJ987" t="s">
        <v>40</v>
      </c>
      <c r="AK987" t="s">
        <v>49</v>
      </c>
      <c r="AO987" s="1">
        <v>45960</v>
      </c>
      <c r="AP987" s="5">
        <v>0.625</v>
      </c>
      <c r="AS987">
        <v>1</v>
      </c>
    </row>
    <row r="988" spans="1:45" x14ac:dyDescent="0.2">
      <c r="A988">
        <f t="shared" si="62"/>
        <v>2025</v>
      </c>
      <c r="B988">
        <f t="shared" si="63"/>
        <v>10</v>
      </c>
      <c r="C988">
        <f t="shared" si="64"/>
        <v>44</v>
      </c>
      <c r="D988" s="2">
        <f t="shared" si="65"/>
        <v>45960</v>
      </c>
      <c r="E988" s="1">
        <v>45960.625</v>
      </c>
      <c r="F988" t="s">
        <v>3188</v>
      </c>
      <c r="G988" t="s">
        <v>36</v>
      </c>
      <c r="H988">
        <v>462578</v>
      </c>
      <c r="I988" t="s">
        <v>51</v>
      </c>
      <c r="J988" t="s">
        <v>188</v>
      </c>
      <c r="M988" t="s">
        <v>40</v>
      </c>
      <c r="N988" t="s">
        <v>41</v>
      </c>
      <c r="O988" t="s">
        <v>189</v>
      </c>
      <c r="P988">
        <v>33</v>
      </c>
      <c r="Q988">
        <v>0</v>
      </c>
      <c r="R988">
        <v>0</v>
      </c>
      <c r="S988">
        <v>0</v>
      </c>
      <c r="T988" t="s">
        <v>54</v>
      </c>
      <c r="U988" t="s">
        <v>55</v>
      </c>
      <c r="W988" t="s">
        <v>3189</v>
      </c>
      <c r="Y988">
        <v>0</v>
      </c>
      <c r="AA988" t="s">
        <v>40</v>
      </c>
      <c r="AB988" t="s">
        <v>46</v>
      </c>
      <c r="AC988" t="s">
        <v>47</v>
      </c>
      <c r="AG988" t="s">
        <v>3190</v>
      </c>
      <c r="AJ988" t="s">
        <v>40</v>
      </c>
      <c r="AK988">
        <v>5019282104</v>
      </c>
      <c r="AO988" s="1">
        <v>45960</v>
      </c>
      <c r="AP988" s="5">
        <v>0.625</v>
      </c>
      <c r="AS988">
        <v>1</v>
      </c>
    </row>
    <row r="989" spans="1:45" x14ac:dyDescent="0.2">
      <c r="A989">
        <f t="shared" si="62"/>
        <v>2025</v>
      </c>
      <c r="B989">
        <f t="shared" si="63"/>
        <v>10</v>
      </c>
      <c r="C989">
        <f t="shared" si="64"/>
        <v>44</v>
      </c>
      <c r="D989" s="2">
        <f t="shared" si="65"/>
        <v>45960</v>
      </c>
      <c r="E989" s="1">
        <v>45960.666666666664</v>
      </c>
      <c r="F989" t="s">
        <v>3191</v>
      </c>
      <c r="G989" t="s">
        <v>36</v>
      </c>
      <c r="H989" t="s">
        <v>111</v>
      </c>
      <c r="I989" t="s">
        <v>38</v>
      </c>
      <c r="J989" t="s">
        <v>112</v>
      </c>
      <c r="M989" t="s">
        <v>40</v>
      </c>
      <c r="N989" t="s">
        <v>41</v>
      </c>
      <c r="O989" t="s">
        <v>42</v>
      </c>
      <c r="P989">
        <v>23</v>
      </c>
      <c r="Q989">
        <v>0</v>
      </c>
      <c r="R989">
        <v>0</v>
      </c>
      <c r="S989">
        <v>0</v>
      </c>
      <c r="T989" t="s">
        <v>3192</v>
      </c>
      <c r="U989" t="s">
        <v>44</v>
      </c>
      <c r="W989" t="s">
        <v>3109</v>
      </c>
      <c r="Y989">
        <v>0</v>
      </c>
      <c r="AA989" t="s">
        <v>40</v>
      </c>
      <c r="AB989" t="s">
        <v>46</v>
      </c>
      <c r="AC989" t="s">
        <v>47</v>
      </c>
      <c r="AF989" t="s">
        <v>48</v>
      </c>
      <c r="AJ989" t="s">
        <v>40</v>
      </c>
      <c r="AK989" t="s">
        <v>49</v>
      </c>
      <c r="AO989" s="1">
        <v>45960</v>
      </c>
      <c r="AP989" s="5">
        <v>0.66666666666666663</v>
      </c>
      <c r="AS989">
        <v>1</v>
      </c>
    </row>
    <row r="990" spans="1:45" x14ac:dyDescent="0.2">
      <c r="A990">
        <f t="shared" si="62"/>
        <v>2025</v>
      </c>
      <c r="B990">
        <f t="shared" si="63"/>
        <v>10</v>
      </c>
      <c r="C990">
        <f t="shared" si="64"/>
        <v>44</v>
      </c>
      <c r="D990" s="2">
        <f t="shared" si="65"/>
        <v>45960</v>
      </c>
      <c r="E990" s="1">
        <v>45960.666666666664</v>
      </c>
      <c r="F990" t="s">
        <v>3193</v>
      </c>
      <c r="G990" t="s">
        <v>36</v>
      </c>
      <c r="H990">
        <v>462551</v>
      </c>
      <c r="I990" t="s">
        <v>51</v>
      </c>
      <c r="J990" t="s">
        <v>188</v>
      </c>
      <c r="M990" t="s">
        <v>40</v>
      </c>
      <c r="N990" t="s">
        <v>41</v>
      </c>
      <c r="O990" t="s">
        <v>189</v>
      </c>
      <c r="P990">
        <v>33</v>
      </c>
      <c r="Q990">
        <v>0</v>
      </c>
      <c r="R990">
        <v>0</v>
      </c>
      <c r="S990">
        <v>0</v>
      </c>
      <c r="T990" t="s">
        <v>54</v>
      </c>
      <c r="U990" t="s">
        <v>55</v>
      </c>
      <c r="W990" t="s">
        <v>3194</v>
      </c>
      <c r="Y990">
        <v>0</v>
      </c>
      <c r="AA990" t="s">
        <v>40</v>
      </c>
      <c r="AB990" t="s">
        <v>46</v>
      </c>
      <c r="AC990" t="s">
        <v>47</v>
      </c>
      <c r="AG990" t="s">
        <v>3195</v>
      </c>
      <c r="AJ990" t="s">
        <v>40</v>
      </c>
      <c r="AK990">
        <v>5019296003</v>
      </c>
      <c r="AO990" s="1">
        <v>45960</v>
      </c>
      <c r="AP990" s="5">
        <v>0.66666666666666663</v>
      </c>
      <c r="AS990">
        <v>1</v>
      </c>
    </row>
    <row r="991" spans="1:45" x14ac:dyDescent="0.2">
      <c r="A991">
        <f t="shared" si="62"/>
        <v>2025</v>
      </c>
      <c r="B991">
        <f t="shared" si="63"/>
        <v>10</v>
      </c>
      <c r="C991">
        <f t="shared" si="64"/>
        <v>44</v>
      </c>
      <c r="D991" s="2">
        <f t="shared" si="65"/>
        <v>45960</v>
      </c>
      <c r="E991" s="1">
        <v>45960.666666666664</v>
      </c>
      <c r="F991" t="s">
        <v>3196</v>
      </c>
      <c r="G991" t="s">
        <v>36</v>
      </c>
      <c r="H991">
        <v>466349</v>
      </c>
      <c r="I991" t="s">
        <v>51</v>
      </c>
      <c r="J991" t="s">
        <v>188</v>
      </c>
      <c r="M991" t="s">
        <v>40</v>
      </c>
      <c r="N991" t="s">
        <v>41</v>
      </c>
      <c r="O991" t="s">
        <v>172</v>
      </c>
      <c r="P991">
        <v>33</v>
      </c>
      <c r="Q991">
        <v>0</v>
      </c>
      <c r="R991">
        <v>0</v>
      </c>
      <c r="S991">
        <v>0</v>
      </c>
      <c r="T991" t="s">
        <v>54</v>
      </c>
      <c r="U991" t="s">
        <v>55</v>
      </c>
      <c r="W991" t="s">
        <v>3197</v>
      </c>
      <c r="X991" t="s">
        <v>3198</v>
      </c>
      <c r="Y991">
        <v>0</v>
      </c>
      <c r="AA991" t="s">
        <v>40</v>
      </c>
      <c r="AB991" t="s">
        <v>46</v>
      </c>
      <c r="AC991" t="s">
        <v>47</v>
      </c>
      <c r="AG991" t="s">
        <v>3199</v>
      </c>
      <c r="AJ991" t="s">
        <v>40</v>
      </c>
      <c r="AK991">
        <v>5019295886</v>
      </c>
      <c r="AL991" t="s">
        <v>3200</v>
      </c>
      <c r="AM991" t="s">
        <v>3201</v>
      </c>
      <c r="AO991" s="1">
        <v>45960</v>
      </c>
      <c r="AP991" s="5">
        <v>0.66666666666666663</v>
      </c>
      <c r="AS991">
        <v>1</v>
      </c>
    </row>
    <row r="992" spans="1:45" x14ac:dyDescent="0.2">
      <c r="A992">
        <f t="shared" si="62"/>
        <v>2025</v>
      </c>
      <c r="B992">
        <f t="shared" si="63"/>
        <v>10</v>
      </c>
      <c r="C992">
        <f t="shared" si="64"/>
        <v>44</v>
      </c>
      <c r="D992" s="2">
        <f t="shared" si="65"/>
        <v>45960</v>
      </c>
      <c r="E992" s="1">
        <v>45960.708333333336</v>
      </c>
      <c r="F992" t="s">
        <v>3202</v>
      </c>
      <c r="G992" t="s">
        <v>36</v>
      </c>
      <c r="H992">
        <v>462558</v>
      </c>
      <c r="I992" t="s">
        <v>51</v>
      </c>
      <c r="J992" t="s">
        <v>154</v>
      </c>
      <c r="M992" t="s">
        <v>40</v>
      </c>
      <c r="N992" t="s">
        <v>41</v>
      </c>
      <c r="O992" t="s">
        <v>155</v>
      </c>
      <c r="P992">
        <v>33</v>
      </c>
      <c r="Q992">
        <v>0</v>
      </c>
      <c r="R992">
        <v>0</v>
      </c>
      <c r="S992">
        <v>0</v>
      </c>
      <c r="T992" t="s">
        <v>54</v>
      </c>
      <c r="U992" t="s">
        <v>55</v>
      </c>
      <c r="W992" t="s">
        <v>2842</v>
      </c>
      <c r="Y992">
        <v>0</v>
      </c>
      <c r="AA992" t="s">
        <v>40</v>
      </c>
      <c r="AB992" t="s">
        <v>46</v>
      </c>
      <c r="AC992" t="s">
        <v>47</v>
      </c>
      <c r="AG992" t="s">
        <v>3203</v>
      </c>
      <c r="AJ992" t="s">
        <v>40</v>
      </c>
      <c r="AK992">
        <v>5019289496</v>
      </c>
      <c r="AO992" s="1">
        <v>45960</v>
      </c>
      <c r="AP992" s="5">
        <v>0.70833333333333337</v>
      </c>
      <c r="AS992">
        <v>1</v>
      </c>
    </row>
    <row r="993" spans="1:45" x14ac:dyDescent="0.2">
      <c r="A993">
        <f t="shared" si="62"/>
        <v>2025</v>
      </c>
      <c r="B993">
        <f t="shared" si="63"/>
        <v>10</v>
      </c>
      <c r="C993">
        <f t="shared" si="64"/>
        <v>44</v>
      </c>
      <c r="D993" s="2">
        <f t="shared" si="65"/>
        <v>45960</v>
      </c>
      <c r="E993" s="1">
        <v>45960.708333333336</v>
      </c>
      <c r="F993" t="s">
        <v>3204</v>
      </c>
      <c r="G993" t="s">
        <v>36</v>
      </c>
      <c r="H993">
        <v>466350</v>
      </c>
      <c r="I993" t="s">
        <v>51</v>
      </c>
      <c r="J993" t="s">
        <v>219</v>
      </c>
      <c r="M993" t="s">
        <v>40</v>
      </c>
      <c r="N993" t="s">
        <v>41</v>
      </c>
      <c r="O993" t="s">
        <v>90</v>
      </c>
      <c r="P993">
        <v>33</v>
      </c>
      <c r="Q993">
        <v>0</v>
      </c>
      <c r="R993">
        <v>0</v>
      </c>
      <c r="S993">
        <v>0</v>
      </c>
      <c r="T993" t="s">
        <v>54</v>
      </c>
      <c r="U993" t="s">
        <v>55</v>
      </c>
      <c r="W993" t="s">
        <v>3205</v>
      </c>
      <c r="X993" t="s">
        <v>222</v>
      </c>
      <c r="Y993">
        <v>0</v>
      </c>
      <c r="AA993" t="s">
        <v>40</v>
      </c>
      <c r="AB993" t="s">
        <v>46</v>
      </c>
      <c r="AC993" t="s">
        <v>47</v>
      </c>
      <c r="AG993" t="s">
        <v>3206</v>
      </c>
      <c r="AJ993" t="s">
        <v>40</v>
      </c>
      <c r="AK993">
        <v>5019272998</v>
      </c>
      <c r="AL993" t="s">
        <v>226</v>
      </c>
      <c r="AM993" t="s">
        <v>227</v>
      </c>
      <c r="AO993" s="1">
        <v>45960</v>
      </c>
      <c r="AP993" s="5">
        <v>0.70833333333333337</v>
      </c>
      <c r="AS993">
        <v>1</v>
      </c>
    </row>
    <row r="994" spans="1:45" x14ac:dyDescent="0.2">
      <c r="A994">
        <f t="shared" si="62"/>
        <v>2025</v>
      </c>
      <c r="B994">
        <f t="shared" si="63"/>
        <v>10</v>
      </c>
      <c r="C994">
        <f t="shared" si="64"/>
        <v>44</v>
      </c>
      <c r="D994" s="2">
        <f t="shared" si="65"/>
        <v>45960</v>
      </c>
      <c r="E994" s="1">
        <v>45960.708333333336</v>
      </c>
      <c r="F994" t="s">
        <v>3207</v>
      </c>
      <c r="G994" t="s">
        <v>36</v>
      </c>
      <c r="H994">
        <v>466351</v>
      </c>
      <c r="I994" t="s">
        <v>51</v>
      </c>
      <c r="J994" t="s">
        <v>219</v>
      </c>
      <c r="M994" t="s">
        <v>40</v>
      </c>
      <c r="N994" t="s">
        <v>41</v>
      </c>
      <c r="O994" t="s">
        <v>90</v>
      </c>
      <c r="P994">
        <v>33</v>
      </c>
      <c r="Q994">
        <v>0</v>
      </c>
      <c r="R994">
        <v>0</v>
      </c>
      <c r="S994">
        <v>0</v>
      </c>
      <c r="T994" t="s">
        <v>54</v>
      </c>
      <c r="U994" t="s">
        <v>55</v>
      </c>
      <c r="W994" t="s">
        <v>3208</v>
      </c>
      <c r="X994" t="s">
        <v>3209</v>
      </c>
      <c r="Y994">
        <v>0</v>
      </c>
      <c r="AA994" t="s">
        <v>40</v>
      </c>
      <c r="AB994" t="s">
        <v>46</v>
      </c>
      <c r="AC994" t="s">
        <v>47</v>
      </c>
      <c r="AG994" t="s">
        <v>3210</v>
      </c>
      <c r="AJ994" t="s">
        <v>40</v>
      </c>
      <c r="AK994">
        <v>5019285030</v>
      </c>
      <c r="AL994" t="s">
        <v>3211</v>
      </c>
      <c r="AM994" t="s">
        <v>3212</v>
      </c>
      <c r="AO994" s="1">
        <v>45960</v>
      </c>
      <c r="AP994" s="5">
        <v>0.70833333333333337</v>
      </c>
      <c r="AS994">
        <v>1</v>
      </c>
    </row>
    <row r="995" spans="1:45" x14ac:dyDescent="0.2">
      <c r="A995">
        <f t="shared" si="62"/>
        <v>2025</v>
      </c>
      <c r="B995">
        <f t="shared" si="63"/>
        <v>10</v>
      </c>
      <c r="C995">
        <f t="shared" si="64"/>
        <v>44</v>
      </c>
      <c r="D995" s="2">
        <f t="shared" si="65"/>
        <v>45960</v>
      </c>
      <c r="E995" s="1">
        <v>45960.75</v>
      </c>
      <c r="F995" t="s">
        <v>3213</v>
      </c>
      <c r="G995" t="s">
        <v>36</v>
      </c>
      <c r="H995">
        <v>462589</v>
      </c>
      <c r="I995" t="s">
        <v>51</v>
      </c>
      <c r="J995" t="s">
        <v>219</v>
      </c>
      <c r="M995" t="s">
        <v>40</v>
      </c>
      <c r="N995" t="s">
        <v>41</v>
      </c>
      <c r="O995" t="s">
        <v>90</v>
      </c>
      <c r="P995">
        <v>33</v>
      </c>
      <c r="Q995">
        <v>0</v>
      </c>
      <c r="R995">
        <v>0</v>
      </c>
      <c r="S995">
        <v>0</v>
      </c>
      <c r="T995" t="s">
        <v>54</v>
      </c>
      <c r="U995" t="s">
        <v>55</v>
      </c>
      <c r="W995" t="s">
        <v>3101</v>
      </c>
      <c r="X995" t="s">
        <v>3214</v>
      </c>
      <c r="Y995">
        <v>0</v>
      </c>
      <c r="AA995" t="s">
        <v>40</v>
      </c>
      <c r="AB995" t="s">
        <v>46</v>
      </c>
      <c r="AC995" t="s">
        <v>47</v>
      </c>
      <c r="AG995" t="s">
        <v>3215</v>
      </c>
      <c r="AJ995" t="s">
        <v>40</v>
      </c>
      <c r="AK995">
        <v>5019281863</v>
      </c>
      <c r="AL995" t="s">
        <v>3216</v>
      </c>
      <c r="AM995" t="s">
        <v>3217</v>
      </c>
      <c r="AO995" s="1">
        <v>45960</v>
      </c>
      <c r="AP995" s="5">
        <v>0.75</v>
      </c>
      <c r="AS995">
        <v>1</v>
      </c>
    </row>
    <row r="996" spans="1:45" x14ac:dyDescent="0.2">
      <c r="A996">
        <f t="shared" si="62"/>
        <v>2025</v>
      </c>
      <c r="B996">
        <f t="shared" si="63"/>
        <v>10</v>
      </c>
      <c r="C996">
        <f t="shared" si="64"/>
        <v>44</v>
      </c>
      <c r="D996" s="2">
        <f t="shared" si="65"/>
        <v>45960</v>
      </c>
      <c r="E996" s="1">
        <v>45960.75</v>
      </c>
      <c r="F996" t="s">
        <v>3218</v>
      </c>
      <c r="G996" t="s">
        <v>36</v>
      </c>
      <c r="H996">
        <v>462596</v>
      </c>
      <c r="I996" t="s">
        <v>51</v>
      </c>
      <c r="J996" t="s">
        <v>126</v>
      </c>
      <c r="M996" t="s">
        <v>40</v>
      </c>
      <c r="N996" t="s">
        <v>41</v>
      </c>
      <c r="O996" t="s">
        <v>90</v>
      </c>
      <c r="P996">
        <v>33</v>
      </c>
      <c r="Q996">
        <v>0</v>
      </c>
      <c r="R996">
        <v>0</v>
      </c>
      <c r="S996">
        <v>0</v>
      </c>
      <c r="T996" t="s">
        <v>54</v>
      </c>
      <c r="U996" t="s">
        <v>55</v>
      </c>
      <c r="W996" t="s">
        <v>3219</v>
      </c>
      <c r="Y996">
        <v>0</v>
      </c>
      <c r="AA996" t="s">
        <v>40</v>
      </c>
      <c r="AB996" t="s">
        <v>46</v>
      </c>
      <c r="AC996" t="s">
        <v>47</v>
      </c>
      <c r="AG996" t="s">
        <v>3220</v>
      </c>
      <c r="AJ996" t="s">
        <v>40</v>
      </c>
      <c r="AK996">
        <v>5019285666</v>
      </c>
      <c r="AO996" s="1">
        <v>45960</v>
      </c>
      <c r="AP996" s="5">
        <v>0.75</v>
      </c>
      <c r="AS996">
        <v>1</v>
      </c>
    </row>
    <row r="997" spans="1:45" x14ac:dyDescent="0.2">
      <c r="A997">
        <f t="shared" si="62"/>
        <v>2025</v>
      </c>
      <c r="B997">
        <f t="shared" si="63"/>
        <v>10</v>
      </c>
      <c r="C997">
        <f t="shared" si="64"/>
        <v>44</v>
      </c>
      <c r="D997" s="2">
        <f t="shared" si="65"/>
        <v>45960</v>
      </c>
      <c r="E997" s="1">
        <v>45960.75</v>
      </c>
      <c r="F997" t="s">
        <v>3221</v>
      </c>
      <c r="G997" t="s">
        <v>36</v>
      </c>
      <c r="H997">
        <v>462576</v>
      </c>
      <c r="I997" t="s">
        <v>51</v>
      </c>
      <c r="J997" t="s">
        <v>194</v>
      </c>
      <c r="M997" t="s">
        <v>40</v>
      </c>
      <c r="N997" t="s">
        <v>41</v>
      </c>
      <c r="O997" t="s">
        <v>189</v>
      </c>
      <c r="P997">
        <v>33</v>
      </c>
      <c r="Q997">
        <v>0</v>
      </c>
      <c r="R997">
        <v>0</v>
      </c>
      <c r="S997">
        <v>0</v>
      </c>
      <c r="T997" t="s">
        <v>54</v>
      </c>
      <c r="U997" t="s">
        <v>55</v>
      </c>
      <c r="W997" t="s">
        <v>3096</v>
      </c>
      <c r="Y997">
        <v>0</v>
      </c>
      <c r="AA997" t="s">
        <v>40</v>
      </c>
      <c r="AB997" t="s">
        <v>46</v>
      </c>
      <c r="AC997" t="s">
        <v>47</v>
      </c>
      <c r="AG997" t="s">
        <v>3222</v>
      </c>
      <c r="AJ997" t="s">
        <v>40</v>
      </c>
      <c r="AK997">
        <v>5019280228</v>
      </c>
      <c r="AO997" s="1">
        <v>45960</v>
      </c>
      <c r="AP997" s="5">
        <v>0.75</v>
      </c>
      <c r="AS997">
        <v>1</v>
      </c>
    </row>
    <row r="998" spans="1:45" x14ac:dyDescent="0.2">
      <c r="A998">
        <f t="shared" si="62"/>
        <v>2025</v>
      </c>
      <c r="B998">
        <f t="shared" si="63"/>
        <v>10</v>
      </c>
      <c r="C998">
        <f t="shared" si="64"/>
        <v>44</v>
      </c>
      <c r="D998" s="2">
        <f t="shared" si="65"/>
        <v>45960</v>
      </c>
      <c r="E998" s="1">
        <v>45960.791666666664</v>
      </c>
      <c r="F998" t="s">
        <v>3223</v>
      </c>
      <c r="G998" t="s">
        <v>36</v>
      </c>
      <c r="H998">
        <v>462593</v>
      </c>
      <c r="I998" t="s">
        <v>51</v>
      </c>
      <c r="J998" t="s">
        <v>188</v>
      </c>
      <c r="M998" t="s">
        <v>40</v>
      </c>
      <c r="N998" t="s">
        <v>41</v>
      </c>
      <c r="O998" t="s">
        <v>172</v>
      </c>
      <c r="P998">
        <v>33</v>
      </c>
      <c r="Q998">
        <v>0</v>
      </c>
      <c r="R998">
        <v>0</v>
      </c>
      <c r="S998">
        <v>0</v>
      </c>
      <c r="T998" t="s">
        <v>54</v>
      </c>
      <c r="U998" t="s">
        <v>55</v>
      </c>
      <c r="W998" t="s">
        <v>3224</v>
      </c>
      <c r="Y998">
        <v>0</v>
      </c>
      <c r="AA998" t="s">
        <v>40</v>
      </c>
      <c r="AB998" t="s">
        <v>46</v>
      </c>
      <c r="AC998" t="s">
        <v>47</v>
      </c>
      <c r="AG998" t="s">
        <v>3225</v>
      </c>
      <c r="AJ998" t="s">
        <v>40</v>
      </c>
      <c r="AK998">
        <v>5019290406</v>
      </c>
      <c r="AO998" s="1">
        <v>45960</v>
      </c>
      <c r="AP998" s="5">
        <v>0.79166666666666663</v>
      </c>
      <c r="AS998">
        <v>1</v>
      </c>
    </row>
    <row r="999" spans="1:45" x14ac:dyDescent="0.2">
      <c r="A999">
        <f t="shared" si="62"/>
        <v>2025</v>
      </c>
      <c r="B999">
        <f t="shared" si="63"/>
        <v>10</v>
      </c>
      <c r="C999">
        <f t="shared" si="64"/>
        <v>44</v>
      </c>
      <c r="D999" s="2">
        <f t="shared" si="65"/>
        <v>45960</v>
      </c>
      <c r="E999" s="1">
        <v>45960.791666666664</v>
      </c>
      <c r="F999" t="s">
        <v>3226</v>
      </c>
      <c r="G999" t="s">
        <v>36</v>
      </c>
      <c r="H999">
        <v>462574</v>
      </c>
      <c r="I999" t="s">
        <v>51</v>
      </c>
      <c r="J999" t="s">
        <v>188</v>
      </c>
      <c r="M999" t="s">
        <v>40</v>
      </c>
      <c r="N999" t="s">
        <v>41</v>
      </c>
      <c r="O999" t="s">
        <v>172</v>
      </c>
      <c r="P999">
        <v>33</v>
      </c>
      <c r="Q999">
        <v>0</v>
      </c>
      <c r="R999">
        <v>0</v>
      </c>
      <c r="S999">
        <v>0</v>
      </c>
      <c r="T999" t="s">
        <v>54</v>
      </c>
      <c r="U999" t="s">
        <v>55</v>
      </c>
      <c r="W999" t="s">
        <v>3224</v>
      </c>
      <c r="Y999">
        <v>0</v>
      </c>
      <c r="AA999" t="s">
        <v>40</v>
      </c>
      <c r="AB999" t="s">
        <v>46</v>
      </c>
      <c r="AC999" t="s">
        <v>47</v>
      </c>
      <c r="AG999" t="s">
        <v>3227</v>
      </c>
      <c r="AJ999" t="s">
        <v>40</v>
      </c>
      <c r="AK999">
        <v>5019286182</v>
      </c>
      <c r="AO999" s="1">
        <v>45960</v>
      </c>
      <c r="AP999" s="5">
        <v>0.79166666666666663</v>
      </c>
      <c r="AS999">
        <v>1</v>
      </c>
    </row>
    <row r="1000" spans="1:45" x14ac:dyDescent="0.2">
      <c r="A1000">
        <f t="shared" si="62"/>
        <v>2025</v>
      </c>
      <c r="B1000">
        <f t="shared" si="63"/>
        <v>10</v>
      </c>
      <c r="C1000">
        <f t="shared" si="64"/>
        <v>44</v>
      </c>
      <c r="D1000" s="2">
        <f t="shared" si="65"/>
        <v>45960</v>
      </c>
      <c r="E1000" s="1">
        <v>45960.791666666664</v>
      </c>
      <c r="F1000" t="s">
        <v>3228</v>
      </c>
      <c r="G1000" t="s">
        <v>36</v>
      </c>
      <c r="H1000" t="s">
        <v>3229</v>
      </c>
      <c r="I1000" t="s">
        <v>78</v>
      </c>
      <c r="J1000" t="s">
        <v>375</v>
      </c>
      <c r="M1000" t="s">
        <v>40</v>
      </c>
      <c r="N1000" t="s">
        <v>41</v>
      </c>
      <c r="O1000" t="s">
        <v>554</v>
      </c>
      <c r="P1000">
        <v>66</v>
      </c>
      <c r="Q1000">
        <v>0</v>
      </c>
      <c r="R1000">
        <v>0</v>
      </c>
      <c r="S1000">
        <v>0</v>
      </c>
      <c r="T1000" t="s">
        <v>54</v>
      </c>
      <c r="U1000" t="s">
        <v>55</v>
      </c>
      <c r="W1000" t="s">
        <v>3061</v>
      </c>
      <c r="X1000" t="s">
        <v>3230</v>
      </c>
      <c r="Y1000">
        <v>0</v>
      </c>
      <c r="AA1000" t="s">
        <v>40</v>
      </c>
      <c r="AB1000" t="s">
        <v>46</v>
      </c>
      <c r="AC1000" t="s">
        <v>47</v>
      </c>
      <c r="AD1000" t="s">
        <v>81</v>
      </c>
      <c r="AE1000" t="s">
        <v>81</v>
      </c>
      <c r="AG1000" t="s">
        <v>3231</v>
      </c>
      <c r="AJ1000" t="s">
        <v>40</v>
      </c>
      <c r="AK1000" t="s">
        <v>3232</v>
      </c>
      <c r="AL1000" t="s">
        <v>3233</v>
      </c>
      <c r="AM1000" t="s">
        <v>3234</v>
      </c>
      <c r="AO1000" s="1">
        <v>45960</v>
      </c>
      <c r="AP1000" s="5">
        <v>0.79166666666666663</v>
      </c>
      <c r="AS1000">
        <v>1</v>
      </c>
    </row>
    <row r="1001" spans="1:45" x14ac:dyDescent="0.2">
      <c r="A1001">
        <f t="shared" si="62"/>
        <v>2025</v>
      </c>
      <c r="B1001">
        <f t="shared" si="63"/>
        <v>10</v>
      </c>
      <c r="C1001">
        <f t="shared" si="64"/>
        <v>44</v>
      </c>
      <c r="D1001" s="2">
        <f t="shared" si="65"/>
        <v>45960</v>
      </c>
      <c r="E1001" s="1">
        <v>45960.833333333336</v>
      </c>
      <c r="F1001" t="s">
        <v>3235</v>
      </c>
      <c r="G1001" t="s">
        <v>36</v>
      </c>
      <c r="H1001">
        <v>462582</v>
      </c>
      <c r="I1001" t="s">
        <v>51</v>
      </c>
      <c r="J1001" t="s">
        <v>144</v>
      </c>
      <c r="M1001" t="s">
        <v>40</v>
      </c>
      <c r="N1001" t="s">
        <v>41</v>
      </c>
      <c r="O1001" t="s">
        <v>2801</v>
      </c>
      <c r="P1001">
        <v>33</v>
      </c>
      <c r="Q1001">
        <v>0</v>
      </c>
      <c r="R1001">
        <v>0</v>
      </c>
      <c r="S1001">
        <v>0</v>
      </c>
      <c r="T1001" t="s">
        <v>54</v>
      </c>
      <c r="U1001" t="s">
        <v>55</v>
      </c>
      <c r="W1001" t="s">
        <v>3163</v>
      </c>
      <c r="X1001" t="s">
        <v>3236</v>
      </c>
      <c r="Y1001">
        <v>0</v>
      </c>
      <c r="AA1001" t="s">
        <v>40</v>
      </c>
      <c r="AB1001" t="s">
        <v>46</v>
      </c>
      <c r="AC1001" t="s">
        <v>47</v>
      </c>
      <c r="AG1001" t="s">
        <v>3237</v>
      </c>
      <c r="AJ1001" t="s">
        <v>40</v>
      </c>
      <c r="AK1001">
        <v>5019288131</v>
      </c>
      <c r="AL1001" t="s">
        <v>3238</v>
      </c>
      <c r="AM1001" t="s">
        <v>3239</v>
      </c>
      <c r="AO1001" s="1">
        <v>45960</v>
      </c>
      <c r="AP1001" s="5">
        <v>0.83333333333333337</v>
      </c>
      <c r="AS1001">
        <v>1</v>
      </c>
    </row>
    <row r="1002" spans="1:45" x14ac:dyDescent="0.2">
      <c r="A1002">
        <f t="shared" si="62"/>
        <v>2025</v>
      </c>
      <c r="B1002">
        <f t="shared" si="63"/>
        <v>10</v>
      </c>
      <c r="C1002">
        <f t="shared" si="64"/>
        <v>44</v>
      </c>
      <c r="D1002" s="2">
        <f t="shared" si="65"/>
        <v>45961</v>
      </c>
      <c r="E1002" s="1">
        <v>45961.25</v>
      </c>
      <c r="F1002" t="s">
        <v>3240</v>
      </c>
      <c r="G1002" t="s">
        <v>36</v>
      </c>
      <c r="H1002" t="s">
        <v>3241</v>
      </c>
      <c r="I1002" t="s">
        <v>78</v>
      </c>
      <c r="J1002" t="s">
        <v>52</v>
      </c>
      <c r="M1002" t="s">
        <v>40</v>
      </c>
      <c r="N1002" t="s">
        <v>41</v>
      </c>
      <c r="O1002" t="s">
        <v>145</v>
      </c>
      <c r="P1002">
        <v>66</v>
      </c>
      <c r="Q1002">
        <v>0</v>
      </c>
      <c r="R1002">
        <v>0</v>
      </c>
      <c r="S1002">
        <v>0</v>
      </c>
      <c r="T1002" t="s">
        <v>54</v>
      </c>
      <c r="U1002" t="s">
        <v>55</v>
      </c>
      <c r="W1002" t="s">
        <v>3242</v>
      </c>
      <c r="Y1002">
        <v>0</v>
      </c>
      <c r="AA1002" t="s">
        <v>40</v>
      </c>
      <c r="AB1002" t="s">
        <v>46</v>
      </c>
      <c r="AC1002" t="s">
        <v>47</v>
      </c>
      <c r="AD1002" t="s">
        <v>81</v>
      </c>
      <c r="AE1002" t="s">
        <v>81</v>
      </c>
      <c r="AG1002" t="s">
        <v>3243</v>
      </c>
      <c r="AJ1002" t="s">
        <v>40</v>
      </c>
      <c r="AK1002" t="s">
        <v>3244</v>
      </c>
      <c r="AO1002" s="1">
        <v>45961</v>
      </c>
      <c r="AP1002" s="5">
        <v>0.25</v>
      </c>
      <c r="AS1002">
        <v>1</v>
      </c>
    </row>
    <row r="1003" spans="1:45" x14ac:dyDescent="0.2">
      <c r="A1003">
        <f t="shared" si="62"/>
        <v>2025</v>
      </c>
      <c r="B1003">
        <f t="shared" si="63"/>
        <v>10</v>
      </c>
      <c r="C1003">
        <f t="shared" si="64"/>
        <v>44</v>
      </c>
      <c r="D1003" s="2">
        <f t="shared" si="65"/>
        <v>45961</v>
      </c>
      <c r="E1003" s="1">
        <v>45961.25</v>
      </c>
      <c r="F1003" t="s">
        <v>3245</v>
      </c>
      <c r="G1003" t="s">
        <v>36</v>
      </c>
      <c r="H1003" t="s">
        <v>3246</v>
      </c>
      <c r="I1003" t="s">
        <v>38</v>
      </c>
      <c r="J1003" t="s">
        <v>60</v>
      </c>
      <c r="M1003" t="s">
        <v>40</v>
      </c>
      <c r="N1003" t="s">
        <v>41</v>
      </c>
      <c r="O1003" t="s">
        <v>42</v>
      </c>
      <c r="P1003">
        <v>20</v>
      </c>
      <c r="Q1003">
        <v>0</v>
      </c>
      <c r="R1003">
        <v>0</v>
      </c>
      <c r="S1003">
        <v>0</v>
      </c>
      <c r="T1003">
        <v>5019230266</v>
      </c>
      <c r="U1003" t="s">
        <v>44</v>
      </c>
      <c r="W1003" t="s">
        <v>3247</v>
      </c>
      <c r="Y1003">
        <v>0</v>
      </c>
      <c r="AA1003" t="s">
        <v>40</v>
      </c>
      <c r="AB1003" t="s">
        <v>46</v>
      </c>
      <c r="AC1003" t="s">
        <v>47</v>
      </c>
      <c r="AF1003" t="s">
        <v>62</v>
      </c>
      <c r="AJ1003" t="s">
        <v>40</v>
      </c>
      <c r="AK1003" t="s">
        <v>49</v>
      </c>
      <c r="AN1003">
        <v>260356170</v>
      </c>
      <c r="AO1003" s="1">
        <v>45961</v>
      </c>
      <c r="AP1003" s="5">
        <v>0.25</v>
      </c>
      <c r="AS1003">
        <v>1</v>
      </c>
    </row>
    <row r="1004" spans="1:45" x14ac:dyDescent="0.2">
      <c r="A1004">
        <f t="shared" si="62"/>
        <v>2025</v>
      </c>
      <c r="B1004">
        <f t="shared" si="63"/>
        <v>10</v>
      </c>
      <c r="C1004">
        <f t="shared" si="64"/>
        <v>44</v>
      </c>
      <c r="D1004" s="2">
        <f t="shared" si="65"/>
        <v>45961</v>
      </c>
      <c r="E1004" s="1">
        <v>45961.291666666664</v>
      </c>
      <c r="F1004" t="s">
        <v>3248</v>
      </c>
      <c r="G1004" t="s">
        <v>36</v>
      </c>
      <c r="H1004" t="s">
        <v>3249</v>
      </c>
      <c r="I1004" t="s">
        <v>38</v>
      </c>
      <c r="J1004" t="s">
        <v>60</v>
      </c>
      <c r="M1004" t="s">
        <v>40</v>
      </c>
      <c r="N1004" t="s">
        <v>41</v>
      </c>
      <c r="O1004" t="s">
        <v>42</v>
      </c>
      <c r="P1004">
        <v>20</v>
      </c>
      <c r="Q1004">
        <v>0</v>
      </c>
      <c r="R1004">
        <v>0</v>
      </c>
      <c r="S1004">
        <v>0</v>
      </c>
      <c r="T1004">
        <v>5019235781</v>
      </c>
      <c r="U1004" t="s">
        <v>44</v>
      </c>
      <c r="W1004" t="s">
        <v>3247</v>
      </c>
      <c r="Y1004">
        <v>0</v>
      </c>
      <c r="AA1004" t="s">
        <v>40</v>
      </c>
      <c r="AB1004" t="s">
        <v>46</v>
      </c>
      <c r="AC1004" t="s">
        <v>47</v>
      </c>
      <c r="AF1004" t="s">
        <v>62</v>
      </c>
      <c r="AJ1004" t="s">
        <v>40</v>
      </c>
      <c r="AK1004" t="s">
        <v>49</v>
      </c>
      <c r="AN1004">
        <v>260356170</v>
      </c>
      <c r="AO1004" s="1">
        <v>45961</v>
      </c>
      <c r="AP1004" s="5">
        <v>0.29166666666666669</v>
      </c>
      <c r="AS1004">
        <v>1</v>
      </c>
    </row>
    <row r="1005" spans="1:45" x14ac:dyDescent="0.2">
      <c r="A1005">
        <f t="shared" si="62"/>
        <v>2025</v>
      </c>
      <c r="B1005">
        <f t="shared" si="63"/>
        <v>10</v>
      </c>
      <c r="C1005">
        <f t="shared" si="64"/>
        <v>44</v>
      </c>
      <c r="D1005" s="2">
        <f t="shared" si="65"/>
        <v>45961</v>
      </c>
      <c r="E1005" s="1">
        <v>45961.291666666664</v>
      </c>
      <c r="F1005" t="s">
        <v>3250</v>
      </c>
      <c r="G1005" t="s">
        <v>36</v>
      </c>
      <c r="H1005" t="s">
        <v>253</v>
      </c>
      <c r="I1005" t="s">
        <v>38</v>
      </c>
      <c r="J1005" t="s">
        <v>254</v>
      </c>
      <c r="M1005" t="s">
        <v>40</v>
      </c>
      <c r="N1005" t="s">
        <v>41</v>
      </c>
      <c r="O1005" t="s">
        <v>42</v>
      </c>
      <c r="P1005">
        <v>1</v>
      </c>
      <c r="Q1005">
        <v>0</v>
      </c>
      <c r="R1005">
        <v>0</v>
      </c>
      <c r="S1005">
        <v>0</v>
      </c>
      <c r="T1005">
        <v>5019309617</v>
      </c>
      <c r="U1005" t="s">
        <v>101</v>
      </c>
      <c r="W1005" t="s">
        <v>3251</v>
      </c>
      <c r="Y1005">
        <v>0</v>
      </c>
      <c r="AA1005" t="s">
        <v>40</v>
      </c>
      <c r="AB1005" t="s">
        <v>46</v>
      </c>
      <c r="AC1005" t="s">
        <v>47</v>
      </c>
      <c r="AF1005" t="s">
        <v>48</v>
      </c>
      <c r="AJ1005" t="s">
        <v>40</v>
      </c>
      <c r="AK1005" t="s">
        <v>49</v>
      </c>
      <c r="AO1005" s="1">
        <v>45961</v>
      </c>
      <c r="AP1005" s="5">
        <v>0.29166666666666669</v>
      </c>
      <c r="AS1005">
        <v>1</v>
      </c>
    </row>
    <row r="1006" spans="1:45" x14ac:dyDescent="0.2">
      <c r="A1006">
        <f t="shared" si="62"/>
        <v>2025</v>
      </c>
      <c r="B1006">
        <f t="shared" si="63"/>
        <v>10</v>
      </c>
      <c r="C1006">
        <f t="shared" si="64"/>
        <v>44</v>
      </c>
      <c r="D1006" s="2">
        <f t="shared" si="65"/>
        <v>45961</v>
      </c>
      <c r="E1006" s="1">
        <v>45961.291666666664</v>
      </c>
      <c r="F1006" t="s">
        <v>3252</v>
      </c>
      <c r="G1006" t="s">
        <v>36</v>
      </c>
      <c r="H1006" t="s">
        <v>1167</v>
      </c>
      <c r="I1006" t="s">
        <v>38</v>
      </c>
      <c r="J1006" t="s">
        <v>1168</v>
      </c>
      <c r="M1006" t="s">
        <v>40</v>
      </c>
      <c r="N1006" t="s">
        <v>41</v>
      </c>
      <c r="O1006" t="s">
        <v>42</v>
      </c>
      <c r="P1006">
        <v>1</v>
      </c>
      <c r="Q1006">
        <v>0</v>
      </c>
      <c r="R1006">
        <v>0</v>
      </c>
      <c r="S1006">
        <v>0</v>
      </c>
      <c r="T1006">
        <v>5019242857</v>
      </c>
      <c r="U1006" t="s">
        <v>44</v>
      </c>
      <c r="W1006" t="s">
        <v>3253</v>
      </c>
      <c r="Y1006">
        <v>0</v>
      </c>
      <c r="AA1006" t="s">
        <v>40</v>
      </c>
      <c r="AB1006" t="s">
        <v>46</v>
      </c>
      <c r="AC1006" t="s">
        <v>47</v>
      </c>
      <c r="AF1006" t="s">
        <v>2882</v>
      </c>
      <c r="AJ1006" t="s">
        <v>40</v>
      </c>
      <c r="AK1006" t="s">
        <v>49</v>
      </c>
      <c r="AO1006" s="1">
        <v>45961</v>
      </c>
      <c r="AP1006" s="5">
        <v>0.29166666666666669</v>
      </c>
      <c r="AS1006">
        <v>1</v>
      </c>
    </row>
    <row r="1007" spans="1:45" x14ac:dyDescent="0.2">
      <c r="A1007">
        <f t="shared" si="62"/>
        <v>2025</v>
      </c>
      <c r="B1007">
        <f t="shared" si="63"/>
        <v>10</v>
      </c>
      <c r="C1007">
        <f t="shared" si="64"/>
        <v>44</v>
      </c>
      <c r="D1007" s="2">
        <f t="shared" si="65"/>
        <v>45961</v>
      </c>
      <c r="E1007" s="1">
        <v>45961.333333333336</v>
      </c>
      <c r="F1007" t="s">
        <v>3254</v>
      </c>
      <c r="G1007" t="s">
        <v>36</v>
      </c>
      <c r="H1007" t="s">
        <v>37</v>
      </c>
      <c r="I1007" t="s">
        <v>38</v>
      </c>
      <c r="J1007" t="s">
        <v>112</v>
      </c>
      <c r="M1007" t="s">
        <v>40</v>
      </c>
      <c r="N1007" t="s">
        <v>41</v>
      </c>
      <c r="O1007" t="s">
        <v>42</v>
      </c>
      <c r="P1007">
        <v>23</v>
      </c>
      <c r="Q1007">
        <v>0</v>
      </c>
      <c r="R1007">
        <v>0</v>
      </c>
      <c r="S1007">
        <v>0</v>
      </c>
      <c r="T1007" t="s">
        <v>3255</v>
      </c>
      <c r="U1007" t="s">
        <v>44</v>
      </c>
      <c r="W1007" t="s">
        <v>3256</v>
      </c>
      <c r="Y1007">
        <v>0</v>
      </c>
      <c r="AA1007" t="s">
        <v>40</v>
      </c>
      <c r="AB1007" t="s">
        <v>46</v>
      </c>
      <c r="AC1007" t="s">
        <v>47</v>
      </c>
      <c r="AF1007" t="s">
        <v>48</v>
      </c>
      <c r="AJ1007" t="s">
        <v>40</v>
      </c>
      <c r="AK1007" t="s">
        <v>49</v>
      </c>
      <c r="AO1007" s="1">
        <v>45961</v>
      </c>
      <c r="AP1007" s="5">
        <v>0.33333333333333331</v>
      </c>
      <c r="AS1007">
        <v>1</v>
      </c>
    </row>
    <row r="1008" spans="1:45" x14ac:dyDescent="0.2">
      <c r="A1008">
        <f t="shared" si="62"/>
        <v>2025</v>
      </c>
      <c r="B1008">
        <f t="shared" si="63"/>
        <v>10</v>
      </c>
      <c r="C1008">
        <f t="shared" si="64"/>
        <v>44</v>
      </c>
      <c r="D1008" s="2">
        <f t="shared" si="65"/>
        <v>45961</v>
      </c>
      <c r="E1008" s="1">
        <v>45961.333333333336</v>
      </c>
      <c r="F1008" t="s">
        <v>3257</v>
      </c>
      <c r="G1008" t="s">
        <v>36</v>
      </c>
      <c r="H1008" t="s">
        <v>37</v>
      </c>
      <c r="I1008" t="s">
        <v>38</v>
      </c>
      <c r="J1008" t="s">
        <v>112</v>
      </c>
      <c r="M1008" t="s">
        <v>40</v>
      </c>
      <c r="N1008" t="s">
        <v>41</v>
      </c>
      <c r="O1008" t="s">
        <v>42</v>
      </c>
      <c r="P1008">
        <v>23</v>
      </c>
      <c r="Q1008">
        <v>0</v>
      </c>
      <c r="R1008">
        <v>0</v>
      </c>
      <c r="S1008">
        <v>0</v>
      </c>
      <c r="T1008" t="s">
        <v>3258</v>
      </c>
      <c r="U1008" t="s">
        <v>44</v>
      </c>
      <c r="W1008" t="s">
        <v>3256</v>
      </c>
      <c r="Y1008">
        <v>0</v>
      </c>
      <c r="AA1008" t="s">
        <v>40</v>
      </c>
      <c r="AB1008" t="s">
        <v>46</v>
      </c>
      <c r="AC1008" t="s">
        <v>47</v>
      </c>
      <c r="AF1008" t="s">
        <v>48</v>
      </c>
      <c r="AJ1008" t="s">
        <v>40</v>
      </c>
      <c r="AK1008" t="s">
        <v>49</v>
      </c>
      <c r="AO1008" s="1">
        <v>45961</v>
      </c>
      <c r="AP1008" s="5">
        <v>0.33333333333333331</v>
      </c>
      <c r="AS1008">
        <v>1</v>
      </c>
    </row>
    <row r="1009" spans="1:45" x14ac:dyDescent="0.2">
      <c r="A1009">
        <f t="shared" si="62"/>
        <v>2025</v>
      </c>
      <c r="B1009">
        <f t="shared" si="63"/>
        <v>10</v>
      </c>
      <c r="C1009">
        <f t="shared" si="64"/>
        <v>44</v>
      </c>
      <c r="D1009" s="2">
        <f t="shared" si="65"/>
        <v>45961</v>
      </c>
      <c r="E1009" s="1">
        <v>45961.333333333336</v>
      </c>
      <c r="F1009" t="s">
        <v>3259</v>
      </c>
      <c r="G1009" t="s">
        <v>36</v>
      </c>
      <c r="H1009">
        <v>464628</v>
      </c>
      <c r="I1009" t="s">
        <v>51</v>
      </c>
      <c r="J1009" t="s">
        <v>52</v>
      </c>
      <c r="M1009" t="s">
        <v>40</v>
      </c>
      <c r="N1009" t="s">
        <v>41</v>
      </c>
      <c r="O1009" t="s">
        <v>53</v>
      </c>
      <c r="P1009">
        <v>33</v>
      </c>
      <c r="Q1009">
        <v>0</v>
      </c>
      <c r="R1009">
        <v>0</v>
      </c>
      <c r="S1009">
        <v>0</v>
      </c>
      <c r="T1009" t="s">
        <v>54</v>
      </c>
      <c r="U1009" t="s">
        <v>55</v>
      </c>
      <c r="W1009" t="s">
        <v>3111</v>
      </c>
      <c r="Y1009">
        <v>0</v>
      </c>
      <c r="AA1009" t="s">
        <v>40</v>
      </c>
      <c r="AB1009" t="s">
        <v>46</v>
      </c>
      <c r="AC1009" t="s">
        <v>47</v>
      </c>
      <c r="AG1009" t="s">
        <v>3260</v>
      </c>
      <c r="AJ1009" t="s">
        <v>40</v>
      </c>
      <c r="AK1009">
        <v>5019291428</v>
      </c>
      <c r="AO1009" s="1">
        <v>45961</v>
      </c>
      <c r="AP1009" s="5">
        <v>0.33333333333333331</v>
      </c>
      <c r="AS1009">
        <v>1</v>
      </c>
    </row>
    <row r="1010" spans="1:45" x14ac:dyDescent="0.2">
      <c r="A1010">
        <f t="shared" si="62"/>
        <v>2025</v>
      </c>
      <c r="B1010">
        <f t="shared" si="63"/>
        <v>10</v>
      </c>
      <c r="C1010">
        <f t="shared" si="64"/>
        <v>44</v>
      </c>
      <c r="D1010" s="2">
        <f t="shared" si="65"/>
        <v>45961</v>
      </c>
      <c r="E1010" s="1">
        <v>45961.333333333336</v>
      </c>
      <c r="F1010" t="s">
        <v>3261</v>
      </c>
      <c r="G1010" t="s">
        <v>36</v>
      </c>
      <c r="H1010">
        <v>467436</v>
      </c>
      <c r="I1010" t="s">
        <v>51</v>
      </c>
      <c r="J1010" t="s">
        <v>808</v>
      </c>
      <c r="M1010" t="s">
        <v>40</v>
      </c>
      <c r="N1010" t="s">
        <v>41</v>
      </c>
      <c r="O1010" t="s">
        <v>809</v>
      </c>
      <c r="P1010">
        <v>22</v>
      </c>
      <c r="Q1010">
        <v>0</v>
      </c>
      <c r="R1010">
        <v>0</v>
      </c>
      <c r="S1010">
        <v>0</v>
      </c>
      <c r="T1010" t="s">
        <v>54</v>
      </c>
      <c r="U1010" t="s">
        <v>392</v>
      </c>
      <c r="W1010" t="s">
        <v>3262</v>
      </c>
      <c r="Y1010">
        <v>0</v>
      </c>
      <c r="AA1010" t="s">
        <v>40</v>
      </c>
      <c r="AB1010" t="s">
        <v>46</v>
      </c>
      <c r="AC1010" t="s">
        <v>47</v>
      </c>
      <c r="AG1010" t="s">
        <v>3263</v>
      </c>
      <c r="AJ1010" t="s">
        <v>40</v>
      </c>
      <c r="AK1010" t="s">
        <v>3264</v>
      </c>
      <c r="AO1010" s="1">
        <v>45961</v>
      </c>
      <c r="AP1010" s="5">
        <v>0.33333333333333331</v>
      </c>
      <c r="AS1010">
        <v>1</v>
      </c>
    </row>
    <row r="1011" spans="1:45" x14ac:dyDescent="0.2">
      <c r="A1011">
        <f t="shared" si="62"/>
        <v>2025</v>
      </c>
      <c r="B1011">
        <f t="shared" si="63"/>
        <v>10</v>
      </c>
      <c r="C1011">
        <f t="shared" si="64"/>
        <v>44</v>
      </c>
      <c r="D1011" s="2">
        <f t="shared" si="65"/>
        <v>45961</v>
      </c>
      <c r="E1011" s="1">
        <v>45961.375</v>
      </c>
      <c r="F1011" t="s">
        <v>3265</v>
      </c>
      <c r="G1011" t="s">
        <v>36</v>
      </c>
      <c r="H1011" t="s">
        <v>37</v>
      </c>
      <c r="I1011" t="s">
        <v>38</v>
      </c>
      <c r="J1011" t="s">
        <v>112</v>
      </c>
      <c r="N1011" t="s">
        <v>41</v>
      </c>
      <c r="O1011" t="s">
        <v>42</v>
      </c>
      <c r="P1011">
        <v>23</v>
      </c>
      <c r="Q1011">
        <v>0</v>
      </c>
      <c r="R1011">
        <v>0</v>
      </c>
      <c r="S1011">
        <v>0</v>
      </c>
      <c r="T1011" t="s">
        <v>3266</v>
      </c>
      <c r="U1011" t="s">
        <v>44</v>
      </c>
      <c r="W1011" t="s">
        <v>3256</v>
      </c>
      <c r="Y1011">
        <v>0</v>
      </c>
      <c r="AA1011" t="s">
        <v>40</v>
      </c>
      <c r="AB1011" t="s">
        <v>102</v>
      </c>
      <c r="AC1011" t="s">
        <v>47</v>
      </c>
      <c r="AF1011" t="s">
        <v>48</v>
      </c>
      <c r="AJ1011" t="s">
        <v>40</v>
      </c>
      <c r="AK1011" t="s">
        <v>49</v>
      </c>
      <c r="AO1011" s="1">
        <v>45961</v>
      </c>
      <c r="AP1011" s="5">
        <v>0.375</v>
      </c>
      <c r="AS1011">
        <v>1</v>
      </c>
    </row>
    <row r="1012" spans="1:45" x14ac:dyDescent="0.2">
      <c r="A1012">
        <f t="shared" si="62"/>
        <v>2025</v>
      </c>
      <c r="B1012">
        <f t="shared" si="63"/>
        <v>10</v>
      </c>
      <c r="C1012">
        <f t="shared" si="64"/>
        <v>44</v>
      </c>
      <c r="D1012" s="2">
        <f t="shared" si="65"/>
        <v>45961</v>
      </c>
      <c r="E1012" s="1">
        <v>45961.375</v>
      </c>
      <c r="F1012" t="s">
        <v>3267</v>
      </c>
      <c r="G1012" t="s">
        <v>36</v>
      </c>
      <c r="H1012" t="s">
        <v>864</v>
      </c>
      <c r="I1012" t="s">
        <v>38</v>
      </c>
      <c r="J1012" t="s">
        <v>99</v>
      </c>
      <c r="M1012" t="s">
        <v>40</v>
      </c>
      <c r="N1012" t="s">
        <v>41</v>
      </c>
      <c r="O1012" t="s">
        <v>42</v>
      </c>
      <c r="P1012">
        <v>11</v>
      </c>
      <c r="Q1012">
        <v>0</v>
      </c>
      <c r="R1012">
        <v>0</v>
      </c>
      <c r="S1012">
        <v>0</v>
      </c>
      <c r="T1012" t="s">
        <v>3268</v>
      </c>
      <c r="U1012" t="s">
        <v>44</v>
      </c>
      <c r="W1012" t="s">
        <v>3269</v>
      </c>
      <c r="Y1012">
        <v>0</v>
      </c>
      <c r="AA1012" t="s">
        <v>40</v>
      </c>
      <c r="AB1012" t="s">
        <v>46</v>
      </c>
      <c r="AC1012" t="s">
        <v>47</v>
      </c>
      <c r="AF1012" t="s">
        <v>677</v>
      </c>
      <c r="AJ1012" t="s">
        <v>40</v>
      </c>
      <c r="AK1012" t="s">
        <v>49</v>
      </c>
      <c r="AO1012" s="1">
        <v>45961</v>
      </c>
      <c r="AP1012" s="5">
        <v>0.375</v>
      </c>
      <c r="AS1012">
        <v>1</v>
      </c>
    </row>
    <row r="1013" spans="1:45" x14ac:dyDescent="0.2">
      <c r="A1013">
        <f t="shared" si="62"/>
        <v>2025</v>
      </c>
      <c r="B1013">
        <f t="shared" si="63"/>
        <v>10</v>
      </c>
      <c r="C1013">
        <f t="shared" si="64"/>
        <v>44</v>
      </c>
      <c r="D1013" s="2">
        <f t="shared" si="65"/>
        <v>45961</v>
      </c>
      <c r="E1013" s="1">
        <v>45961.375</v>
      </c>
      <c r="F1013" t="s">
        <v>3270</v>
      </c>
      <c r="G1013" t="s">
        <v>36</v>
      </c>
      <c r="H1013" t="s">
        <v>3271</v>
      </c>
      <c r="I1013" t="s">
        <v>38</v>
      </c>
      <c r="J1013" t="s">
        <v>3272</v>
      </c>
      <c r="L1013" t="s">
        <v>3273</v>
      </c>
      <c r="N1013" t="s">
        <v>41</v>
      </c>
      <c r="O1013" t="s">
        <v>42</v>
      </c>
      <c r="P1013">
        <v>2</v>
      </c>
      <c r="Q1013">
        <v>0</v>
      </c>
      <c r="R1013">
        <v>0</v>
      </c>
      <c r="S1013">
        <v>0</v>
      </c>
      <c r="T1013" t="s">
        <v>3274</v>
      </c>
      <c r="U1013" t="s">
        <v>392</v>
      </c>
      <c r="W1013" t="s">
        <v>3275</v>
      </c>
      <c r="Y1013">
        <v>0</v>
      </c>
      <c r="AA1013" t="s">
        <v>40</v>
      </c>
      <c r="AC1013" t="s">
        <v>47</v>
      </c>
      <c r="AF1013" t="s">
        <v>393</v>
      </c>
      <c r="AJ1013" t="s">
        <v>40</v>
      </c>
      <c r="AK1013" t="s">
        <v>49</v>
      </c>
      <c r="AO1013" s="1">
        <v>45961</v>
      </c>
      <c r="AP1013" s="5">
        <v>0.375</v>
      </c>
      <c r="AS1013">
        <v>1</v>
      </c>
    </row>
    <row r="1014" spans="1:45" x14ac:dyDescent="0.2">
      <c r="A1014">
        <f t="shared" si="62"/>
        <v>2025</v>
      </c>
      <c r="B1014">
        <f t="shared" si="63"/>
        <v>10</v>
      </c>
      <c r="C1014">
        <f t="shared" si="64"/>
        <v>44</v>
      </c>
      <c r="D1014" s="2">
        <f t="shared" si="65"/>
        <v>45961</v>
      </c>
      <c r="E1014" s="1">
        <v>45961.375</v>
      </c>
      <c r="F1014" t="s">
        <v>3276</v>
      </c>
      <c r="G1014" t="s">
        <v>36</v>
      </c>
      <c r="H1014">
        <v>464638</v>
      </c>
      <c r="I1014" t="s">
        <v>51</v>
      </c>
      <c r="J1014" t="s">
        <v>52</v>
      </c>
      <c r="M1014" t="s">
        <v>40</v>
      </c>
      <c r="N1014" t="s">
        <v>41</v>
      </c>
      <c r="O1014" t="s">
        <v>53</v>
      </c>
      <c r="P1014">
        <v>33</v>
      </c>
      <c r="Q1014">
        <v>0</v>
      </c>
      <c r="R1014">
        <v>0</v>
      </c>
      <c r="S1014">
        <v>0</v>
      </c>
      <c r="T1014" t="s">
        <v>54</v>
      </c>
      <c r="U1014" t="s">
        <v>55</v>
      </c>
      <c r="W1014" t="s">
        <v>2754</v>
      </c>
      <c r="Y1014">
        <v>0</v>
      </c>
      <c r="AA1014" t="s">
        <v>40</v>
      </c>
      <c r="AB1014" t="s">
        <v>46</v>
      </c>
      <c r="AC1014" t="s">
        <v>47</v>
      </c>
      <c r="AG1014" t="s">
        <v>3277</v>
      </c>
      <c r="AJ1014" t="s">
        <v>40</v>
      </c>
      <c r="AK1014">
        <v>5019285399</v>
      </c>
      <c r="AO1014" s="1">
        <v>45961</v>
      </c>
      <c r="AP1014" s="5">
        <v>0.375</v>
      </c>
      <c r="AS1014">
        <v>1</v>
      </c>
    </row>
    <row r="1015" spans="1:45" x14ac:dyDescent="0.2">
      <c r="A1015">
        <f t="shared" si="62"/>
        <v>2025</v>
      </c>
      <c r="B1015">
        <f t="shared" si="63"/>
        <v>10</v>
      </c>
      <c r="C1015">
        <f t="shared" si="64"/>
        <v>44</v>
      </c>
      <c r="D1015" s="2">
        <f t="shared" si="65"/>
        <v>45961</v>
      </c>
      <c r="E1015" s="1">
        <v>45961.416666666664</v>
      </c>
      <c r="F1015" t="s">
        <v>3278</v>
      </c>
      <c r="G1015" t="s">
        <v>36</v>
      </c>
      <c r="H1015">
        <v>462559</v>
      </c>
      <c r="I1015" t="s">
        <v>51</v>
      </c>
      <c r="J1015" t="s">
        <v>2580</v>
      </c>
      <c r="M1015" t="s">
        <v>40</v>
      </c>
      <c r="N1015" t="s">
        <v>41</v>
      </c>
      <c r="O1015" t="s">
        <v>127</v>
      </c>
      <c r="P1015">
        <v>33</v>
      </c>
      <c r="Q1015">
        <v>0</v>
      </c>
      <c r="R1015">
        <v>0</v>
      </c>
      <c r="S1015">
        <v>0</v>
      </c>
      <c r="T1015" t="s">
        <v>54</v>
      </c>
      <c r="U1015" t="s">
        <v>55</v>
      </c>
      <c r="W1015" t="s">
        <v>3279</v>
      </c>
      <c r="Y1015">
        <v>0</v>
      </c>
      <c r="AA1015" t="s">
        <v>40</v>
      </c>
      <c r="AB1015" t="s">
        <v>46</v>
      </c>
      <c r="AC1015" t="s">
        <v>47</v>
      </c>
      <c r="AG1015" t="s">
        <v>3280</v>
      </c>
      <c r="AJ1015" t="s">
        <v>40</v>
      </c>
      <c r="AK1015">
        <v>5019303894</v>
      </c>
      <c r="AO1015" s="1">
        <v>45961</v>
      </c>
      <c r="AP1015" s="5">
        <v>0.41666666666666669</v>
      </c>
      <c r="AS1015">
        <v>1</v>
      </c>
    </row>
    <row r="1016" spans="1:45" x14ac:dyDescent="0.2">
      <c r="A1016">
        <f t="shared" si="62"/>
        <v>2025</v>
      </c>
      <c r="B1016">
        <f t="shared" si="63"/>
        <v>10</v>
      </c>
      <c r="C1016">
        <f t="shared" si="64"/>
        <v>44</v>
      </c>
      <c r="D1016" s="2">
        <f t="shared" si="65"/>
        <v>45961</v>
      </c>
      <c r="E1016" s="1">
        <v>45961.416666666664</v>
      </c>
      <c r="F1016" t="s">
        <v>3281</v>
      </c>
      <c r="G1016" t="s">
        <v>36</v>
      </c>
      <c r="H1016" t="s">
        <v>3282</v>
      </c>
      <c r="I1016" t="s">
        <v>38</v>
      </c>
      <c r="J1016" t="s">
        <v>140</v>
      </c>
      <c r="N1016" t="s">
        <v>41</v>
      </c>
      <c r="O1016" t="s">
        <v>42</v>
      </c>
      <c r="P1016">
        <v>10</v>
      </c>
      <c r="Q1016">
        <v>0</v>
      </c>
      <c r="R1016">
        <v>0</v>
      </c>
      <c r="S1016">
        <v>0</v>
      </c>
      <c r="T1016">
        <v>5019313101</v>
      </c>
      <c r="U1016" t="s">
        <v>101</v>
      </c>
      <c r="W1016" t="s">
        <v>3251</v>
      </c>
      <c r="Y1016">
        <v>0</v>
      </c>
      <c r="AA1016" t="s">
        <v>40</v>
      </c>
      <c r="AB1016" t="s">
        <v>102</v>
      </c>
      <c r="AC1016" t="s">
        <v>47</v>
      </c>
      <c r="AF1016" t="s">
        <v>48</v>
      </c>
      <c r="AJ1016" t="s">
        <v>40</v>
      </c>
      <c r="AK1016" t="s">
        <v>49</v>
      </c>
      <c r="AO1016" s="1">
        <v>45961</v>
      </c>
      <c r="AP1016" s="5">
        <v>0.41666666666666669</v>
      </c>
      <c r="AS1016">
        <v>1</v>
      </c>
    </row>
    <row r="1017" spans="1:45" x14ac:dyDescent="0.2">
      <c r="A1017">
        <f t="shared" si="62"/>
        <v>2025</v>
      </c>
      <c r="B1017">
        <f t="shared" si="63"/>
        <v>10</v>
      </c>
      <c r="C1017">
        <f t="shared" si="64"/>
        <v>44</v>
      </c>
      <c r="D1017" s="2">
        <f t="shared" si="65"/>
        <v>45961</v>
      </c>
      <c r="E1017" s="1">
        <v>45961.416666666664</v>
      </c>
      <c r="F1017" t="s">
        <v>3283</v>
      </c>
      <c r="G1017" t="s">
        <v>36</v>
      </c>
      <c r="H1017" t="s">
        <v>3284</v>
      </c>
      <c r="I1017" t="s">
        <v>78</v>
      </c>
      <c r="J1017" t="s">
        <v>52</v>
      </c>
      <c r="M1017" t="s">
        <v>40</v>
      </c>
      <c r="N1017" t="s">
        <v>41</v>
      </c>
      <c r="O1017" t="s">
        <v>1288</v>
      </c>
      <c r="P1017">
        <v>66</v>
      </c>
      <c r="Q1017">
        <v>0</v>
      </c>
      <c r="R1017">
        <v>0</v>
      </c>
      <c r="S1017">
        <v>0</v>
      </c>
      <c r="T1017" t="s">
        <v>54</v>
      </c>
      <c r="U1017" t="s">
        <v>55</v>
      </c>
      <c r="W1017" t="s">
        <v>3285</v>
      </c>
      <c r="Y1017">
        <v>0</v>
      </c>
      <c r="AA1017" t="s">
        <v>40</v>
      </c>
      <c r="AB1017" t="s">
        <v>46</v>
      </c>
      <c r="AC1017" t="s">
        <v>47</v>
      </c>
      <c r="AD1017" t="s">
        <v>81</v>
      </c>
      <c r="AE1017" t="s">
        <v>81</v>
      </c>
      <c r="AG1017" t="s">
        <v>3286</v>
      </c>
      <c r="AJ1017" t="s">
        <v>40</v>
      </c>
      <c r="AK1017" t="s">
        <v>3287</v>
      </c>
      <c r="AO1017" s="1">
        <v>45961</v>
      </c>
      <c r="AP1017" s="5">
        <v>0.41666666666666669</v>
      </c>
      <c r="AS1017">
        <v>1</v>
      </c>
    </row>
    <row r="1018" spans="1:45" x14ac:dyDescent="0.2">
      <c r="A1018">
        <f t="shared" si="62"/>
        <v>2025</v>
      </c>
      <c r="B1018">
        <f t="shared" si="63"/>
        <v>10</v>
      </c>
      <c r="C1018">
        <f t="shared" si="64"/>
        <v>44</v>
      </c>
      <c r="D1018" s="2">
        <f t="shared" si="65"/>
        <v>45961</v>
      </c>
      <c r="E1018" s="1">
        <v>45961.416666666664</v>
      </c>
      <c r="F1018" t="s">
        <v>3288</v>
      </c>
      <c r="G1018" t="s">
        <v>36</v>
      </c>
      <c r="H1018" t="s">
        <v>3289</v>
      </c>
      <c r="I1018" t="s">
        <v>38</v>
      </c>
      <c r="J1018" t="s">
        <v>60</v>
      </c>
      <c r="M1018" t="s">
        <v>40</v>
      </c>
      <c r="N1018" t="s">
        <v>41</v>
      </c>
      <c r="O1018" t="s">
        <v>42</v>
      </c>
      <c r="P1018">
        <v>20</v>
      </c>
      <c r="Q1018">
        <v>0</v>
      </c>
      <c r="R1018">
        <v>0</v>
      </c>
      <c r="S1018">
        <v>0</v>
      </c>
      <c r="T1018" t="s">
        <v>3290</v>
      </c>
      <c r="U1018" t="s">
        <v>44</v>
      </c>
      <c r="W1018" t="s">
        <v>3247</v>
      </c>
      <c r="Y1018">
        <v>0</v>
      </c>
      <c r="AA1018" t="s">
        <v>40</v>
      </c>
      <c r="AB1018" t="s">
        <v>46</v>
      </c>
      <c r="AC1018" t="s">
        <v>47</v>
      </c>
      <c r="AF1018" t="s">
        <v>62</v>
      </c>
      <c r="AJ1018" t="s">
        <v>40</v>
      </c>
      <c r="AK1018" t="s">
        <v>49</v>
      </c>
      <c r="AN1018">
        <v>260356373</v>
      </c>
      <c r="AO1018" s="1">
        <v>45961</v>
      </c>
      <c r="AP1018" s="5">
        <v>0.41666666666666669</v>
      </c>
      <c r="AS1018">
        <v>1</v>
      </c>
    </row>
    <row r="1019" spans="1:45" x14ac:dyDescent="0.2">
      <c r="A1019">
        <f t="shared" si="62"/>
        <v>2025</v>
      </c>
      <c r="B1019">
        <f t="shared" si="63"/>
        <v>10</v>
      </c>
      <c r="C1019">
        <f t="shared" si="64"/>
        <v>44</v>
      </c>
      <c r="D1019" s="2">
        <f t="shared" si="65"/>
        <v>45961</v>
      </c>
      <c r="E1019" s="1">
        <v>45961.416666666664</v>
      </c>
      <c r="F1019" t="s">
        <v>3291</v>
      </c>
      <c r="G1019" t="s">
        <v>36</v>
      </c>
      <c r="H1019" t="s">
        <v>2074</v>
      </c>
      <c r="I1019" t="s">
        <v>38</v>
      </c>
      <c r="J1019" t="s">
        <v>99</v>
      </c>
      <c r="M1019" t="s">
        <v>40</v>
      </c>
      <c r="N1019" t="s">
        <v>41</v>
      </c>
      <c r="O1019" t="s">
        <v>42</v>
      </c>
      <c r="P1019">
        <v>20</v>
      </c>
      <c r="Q1019">
        <v>0</v>
      </c>
      <c r="R1019">
        <v>0</v>
      </c>
      <c r="S1019">
        <v>0</v>
      </c>
      <c r="T1019" t="s">
        <v>3292</v>
      </c>
      <c r="U1019" t="s">
        <v>44</v>
      </c>
      <c r="W1019" t="s">
        <v>3269</v>
      </c>
      <c r="Y1019">
        <v>0</v>
      </c>
      <c r="AA1019" t="s">
        <v>40</v>
      </c>
      <c r="AB1019" t="s">
        <v>46</v>
      </c>
      <c r="AC1019" t="s">
        <v>47</v>
      </c>
      <c r="AF1019" t="s">
        <v>367</v>
      </c>
      <c r="AJ1019" t="s">
        <v>40</v>
      </c>
      <c r="AK1019" t="s">
        <v>49</v>
      </c>
      <c r="AM1019" t="s">
        <v>2077</v>
      </c>
      <c r="AN1019" t="s">
        <v>3293</v>
      </c>
      <c r="AO1019" s="1">
        <v>45961</v>
      </c>
      <c r="AP1019" s="5">
        <v>0.41666666666666669</v>
      </c>
      <c r="AS1019">
        <v>1</v>
      </c>
    </row>
    <row r="1020" spans="1:45" x14ac:dyDescent="0.2">
      <c r="A1020">
        <f t="shared" si="62"/>
        <v>2025</v>
      </c>
      <c r="B1020">
        <f t="shared" si="63"/>
        <v>10</v>
      </c>
      <c r="C1020">
        <f t="shared" si="64"/>
        <v>44</v>
      </c>
      <c r="D1020" s="2">
        <f t="shared" si="65"/>
        <v>45961</v>
      </c>
      <c r="E1020" s="1">
        <v>45961.458333333336</v>
      </c>
      <c r="F1020" t="s">
        <v>3294</v>
      </c>
      <c r="G1020" t="s">
        <v>36</v>
      </c>
      <c r="H1020">
        <v>462603</v>
      </c>
      <c r="I1020" t="s">
        <v>51</v>
      </c>
      <c r="J1020" t="s">
        <v>89</v>
      </c>
      <c r="M1020" t="s">
        <v>40</v>
      </c>
      <c r="N1020" t="s">
        <v>41</v>
      </c>
      <c r="O1020" t="s">
        <v>127</v>
      </c>
      <c r="P1020">
        <v>33</v>
      </c>
      <c r="Q1020">
        <v>0</v>
      </c>
      <c r="R1020">
        <v>0</v>
      </c>
      <c r="S1020">
        <v>0</v>
      </c>
      <c r="T1020" t="s">
        <v>54</v>
      </c>
      <c r="U1020" t="s">
        <v>55</v>
      </c>
      <c r="W1020" t="s">
        <v>3295</v>
      </c>
      <c r="Y1020">
        <v>0</v>
      </c>
      <c r="AA1020" t="s">
        <v>40</v>
      </c>
      <c r="AB1020" t="s">
        <v>46</v>
      </c>
      <c r="AC1020" t="s">
        <v>47</v>
      </c>
      <c r="AG1020" t="s">
        <v>3296</v>
      </c>
      <c r="AJ1020" t="s">
        <v>40</v>
      </c>
      <c r="AK1020">
        <v>5019302291</v>
      </c>
      <c r="AO1020" s="1">
        <v>45961</v>
      </c>
      <c r="AP1020" s="5">
        <v>0.45833333333333331</v>
      </c>
      <c r="AS1020">
        <v>1</v>
      </c>
    </row>
    <row r="1021" spans="1:45" x14ac:dyDescent="0.2">
      <c r="A1021">
        <f t="shared" si="62"/>
        <v>2025</v>
      </c>
      <c r="B1021">
        <f t="shared" si="63"/>
        <v>10</v>
      </c>
      <c r="C1021">
        <f t="shared" si="64"/>
        <v>44</v>
      </c>
      <c r="D1021" s="2">
        <f t="shared" si="65"/>
        <v>45961</v>
      </c>
      <c r="E1021" s="1">
        <v>45961.458333333336</v>
      </c>
      <c r="F1021" t="s">
        <v>3297</v>
      </c>
      <c r="G1021" t="s">
        <v>36</v>
      </c>
      <c r="H1021">
        <v>466886</v>
      </c>
      <c r="I1021" t="s">
        <v>51</v>
      </c>
      <c r="J1021" t="s">
        <v>1059</v>
      </c>
      <c r="M1021" t="s">
        <v>40</v>
      </c>
      <c r="N1021" t="s">
        <v>41</v>
      </c>
      <c r="O1021" t="s">
        <v>1060</v>
      </c>
      <c r="P1021">
        <v>33</v>
      </c>
      <c r="Q1021">
        <v>0</v>
      </c>
      <c r="R1021">
        <v>0</v>
      </c>
      <c r="S1021">
        <v>0</v>
      </c>
      <c r="T1021" t="s">
        <v>54</v>
      </c>
      <c r="U1021" t="s">
        <v>55</v>
      </c>
      <c r="W1021" t="s">
        <v>3298</v>
      </c>
      <c r="X1021" t="s">
        <v>3299</v>
      </c>
      <c r="Y1021">
        <v>0</v>
      </c>
      <c r="AA1021" t="s">
        <v>40</v>
      </c>
      <c r="AB1021" t="s">
        <v>46</v>
      </c>
      <c r="AC1021" t="s">
        <v>47</v>
      </c>
      <c r="AG1021" t="s">
        <v>3300</v>
      </c>
      <c r="AJ1021" t="s">
        <v>40</v>
      </c>
      <c r="AK1021">
        <v>5019297051</v>
      </c>
      <c r="AL1021" t="s">
        <v>3301</v>
      </c>
      <c r="AO1021" s="1">
        <v>45961</v>
      </c>
      <c r="AP1021" s="5">
        <v>0.45833333333333331</v>
      </c>
      <c r="AS1021">
        <v>1</v>
      </c>
    </row>
    <row r="1022" spans="1:45" x14ac:dyDescent="0.2">
      <c r="A1022">
        <f t="shared" si="62"/>
        <v>2025</v>
      </c>
      <c r="B1022">
        <f t="shared" si="63"/>
        <v>10</v>
      </c>
      <c r="C1022">
        <f t="shared" si="64"/>
        <v>44</v>
      </c>
      <c r="D1022" s="2">
        <f t="shared" si="65"/>
        <v>45961</v>
      </c>
      <c r="E1022" s="1">
        <v>45961.458333333336</v>
      </c>
      <c r="F1022" t="s">
        <v>3302</v>
      </c>
      <c r="G1022" t="s">
        <v>36</v>
      </c>
      <c r="H1022" t="s">
        <v>3147</v>
      </c>
      <c r="I1022" t="s">
        <v>38</v>
      </c>
      <c r="J1022" t="s">
        <v>99</v>
      </c>
      <c r="M1022" t="s">
        <v>40</v>
      </c>
      <c r="N1022" t="s">
        <v>41</v>
      </c>
      <c r="O1022" t="s">
        <v>42</v>
      </c>
      <c r="P1022">
        <v>20</v>
      </c>
      <c r="Q1022">
        <v>0</v>
      </c>
      <c r="R1022">
        <v>0</v>
      </c>
      <c r="S1022">
        <v>0</v>
      </c>
      <c r="T1022" t="s">
        <v>3303</v>
      </c>
      <c r="U1022" t="s">
        <v>44</v>
      </c>
      <c r="W1022" t="s">
        <v>3269</v>
      </c>
      <c r="Y1022">
        <v>0</v>
      </c>
      <c r="AA1022" t="s">
        <v>40</v>
      </c>
      <c r="AB1022" t="s">
        <v>46</v>
      </c>
      <c r="AC1022" t="s">
        <v>47</v>
      </c>
      <c r="AF1022" t="s">
        <v>367</v>
      </c>
      <c r="AJ1022" t="s">
        <v>40</v>
      </c>
      <c r="AK1022" t="s">
        <v>49</v>
      </c>
      <c r="AM1022" t="s">
        <v>3304</v>
      </c>
      <c r="AN1022" t="s">
        <v>3305</v>
      </c>
      <c r="AO1022" s="1">
        <v>45961</v>
      </c>
      <c r="AP1022" s="5">
        <v>0.45833333333333331</v>
      </c>
      <c r="AS1022">
        <v>1</v>
      </c>
    </row>
    <row r="1023" spans="1:45" x14ac:dyDescent="0.2">
      <c r="A1023">
        <f t="shared" si="62"/>
        <v>2025</v>
      </c>
      <c r="B1023">
        <f t="shared" si="63"/>
        <v>10</v>
      </c>
      <c r="C1023">
        <f t="shared" si="64"/>
        <v>44</v>
      </c>
      <c r="D1023" s="2">
        <f t="shared" si="65"/>
        <v>45961</v>
      </c>
      <c r="E1023" s="1">
        <v>45961.458333333336</v>
      </c>
      <c r="F1023" t="s">
        <v>3306</v>
      </c>
      <c r="G1023" t="s">
        <v>36</v>
      </c>
      <c r="H1023">
        <v>464659</v>
      </c>
      <c r="I1023" t="s">
        <v>51</v>
      </c>
      <c r="J1023" t="s">
        <v>52</v>
      </c>
      <c r="M1023" t="s">
        <v>40</v>
      </c>
      <c r="N1023" t="s">
        <v>41</v>
      </c>
      <c r="O1023" t="s">
        <v>53</v>
      </c>
      <c r="P1023">
        <v>33</v>
      </c>
      <c r="Q1023">
        <v>0</v>
      </c>
      <c r="R1023">
        <v>0</v>
      </c>
      <c r="S1023">
        <v>0</v>
      </c>
      <c r="T1023" t="s">
        <v>54</v>
      </c>
      <c r="U1023" t="s">
        <v>55</v>
      </c>
      <c r="W1023" t="s">
        <v>3111</v>
      </c>
      <c r="Y1023">
        <v>0</v>
      </c>
      <c r="AA1023" t="s">
        <v>40</v>
      </c>
      <c r="AB1023" t="s">
        <v>46</v>
      </c>
      <c r="AC1023" t="s">
        <v>47</v>
      </c>
      <c r="AG1023" t="s">
        <v>3307</v>
      </c>
      <c r="AJ1023" t="s">
        <v>40</v>
      </c>
      <c r="AK1023">
        <v>5019306407</v>
      </c>
      <c r="AO1023" s="1">
        <v>45961</v>
      </c>
      <c r="AP1023" s="5">
        <v>0.45833333333333331</v>
      </c>
      <c r="AS1023">
        <v>1</v>
      </c>
    </row>
    <row r="1024" spans="1:45" x14ac:dyDescent="0.2">
      <c r="A1024">
        <f t="shared" si="62"/>
        <v>2025</v>
      </c>
      <c r="B1024">
        <f t="shared" si="63"/>
        <v>10</v>
      </c>
      <c r="C1024">
        <f t="shared" si="64"/>
        <v>44</v>
      </c>
      <c r="D1024" s="2">
        <f t="shared" si="65"/>
        <v>45961</v>
      </c>
      <c r="E1024" s="1">
        <v>45961.5</v>
      </c>
      <c r="F1024" t="s">
        <v>3308</v>
      </c>
      <c r="G1024" t="s">
        <v>36</v>
      </c>
      <c r="H1024" t="s">
        <v>320</v>
      </c>
      <c r="I1024" t="s">
        <v>38</v>
      </c>
      <c r="J1024" t="s">
        <v>321</v>
      </c>
      <c r="M1024" t="s">
        <v>40</v>
      </c>
      <c r="N1024" t="s">
        <v>41</v>
      </c>
      <c r="O1024" t="s">
        <v>42</v>
      </c>
      <c r="P1024">
        <v>33</v>
      </c>
      <c r="Q1024">
        <v>0</v>
      </c>
      <c r="R1024">
        <v>0</v>
      </c>
      <c r="S1024">
        <v>0</v>
      </c>
      <c r="T1024">
        <v>5019245523</v>
      </c>
      <c r="U1024" t="s">
        <v>44</v>
      </c>
      <c r="W1024" t="s">
        <v>3253</v>
      </c>
      <c r="Y1024">
        <v>0</v>
      </c>
      <c r="AA1024" t="s">
        <v>40</v>
      </c>
      <c r="AB1024" t="s">
        <v>46</v>
      </c>
      <c r="AC1024" t="s">
        <v>47</v>
      </c>
      <c r="AF1024" t="s">
        <v>322</v>
      </c>
      <c r="AJ1024" t="s">
        <v>40</v>
      </c>
      <c r="AK1024" t="s">
        <v>49</v>
      </c>
      <c r="AO1024" s="1">
        <v>45961</v>
      </c>
      <c r="AP1024" s="5">
        <v>0.5</v>
      </c>
      <c r="AS1024">
        <v>1</v>
      </c>
    </row>
    <row r="1025" spans="1:45" x14ac:dyDescent="0.2">
      <c r="A1025">
        <f t="shared" si="62"/>
        <v>2025</v>
      </c>
      <c r="B1025">
        <f t="shared" si="63"/>
        <v>10</v>
      </c>
      <c r="C1025">
        <f t="shared" si="64"/>
        <v>44</v>
      </c>
      <c r="D1025" s="2">
        <f t="shared" si="65"/>
        <v>45961</v>
      </c>
      <c r="E1025" s="1">
        <v>45961.5</v>
      </c>
      <c r="F1025" t="s">
        <v>3309</v>
      </c>
      <c r="G1025" t="s">
        <v>36</v>
      </c>
      <c r="H1025" t="s">
        <v>1167</v>
      </c>
      <c r="I1025" t="s">
        <v>38</v>
      </c>
      <c r="J1025" t="s">
        <v>2724</v>
      </c>
      <c r="L1025" t="s">
        <v>3310</v>
      </c>
      <c r="M1025" t="s">
        <v>40</v>
      </c>
      <c r="N1025" t="s">
        <v>41</v>
      </c>
      <c r="O1025" t="s">
        <v>42</v>
      </c>
      <c r="P1025">
        <v>25</v>
      </c>
      <c r="Q1025">
        <v>0</v>
      </c>
      <c r="R1025">
        <v>0</v>
      </c>
      <c r="S1025">
        <v>0</v>
      </c>
      <c r="T1025">
        <v>5019228719</v>
      </c>
      <c r="U1025" t="s">
        <v>44</v>
      </c>
      <c r="W1025" t="s">
        <v>3253</v>
      </c>
      <c r="Y1025">
        <v>0</v>
      </c>
      <c r="AA1025" t="s">
        <v>40</v>
      </c>
      <c r="AB1025" t="s">
        <v>46</v>
      </c>
      <c r="AC1025" t="s">
        <v>47</v>
      </c>
      <c r="AF1025" t="s">
        <v>3311</v>
      </c>
      <c r="AJ1025" t="s">
        <v>40</v>
      </c>
      <c r="AK1025" t="s">
        <v>49</v>
      </c>
      <c r="AO1025" s="1">
        <v>45961</v>
      </c>
      <c r="AP1025" s="5">
        <v>0.5</v>
      </c>
      <c r="AS1025">
        <v>1</v>
      </c>
    </row>
    <row r="1026" spans="1:45" x14ac:dyDescent="0.2">
      <c r="A1026">
        <f t="shared" ref="A1026:A1089" si="66">YEAR(D1026)</f>
        <v>2025</v>
      </c>
      <c r="B1026">
        <f t="shared" ref="B1026:B1089" si="67">MONTH(D1026)</f>
        <v>10</v>
      </c>
      <c r="C1026">
        <f t="shared" ref="C1026:C1089" si="68">WEEKNUM(D1026)</f>
        <v>44</v>
      </c>
      <c r="D1026" s="2">
        <f t="shared" ref="D1026:D1089" si="69">INT(E1026)</f>
        <v>45961</v>
      </c>
      <c r="E1026" s="1">
        <v>45961.5</v>
      </c>
      <c r="F1026" t="s">
        <v>3312</v>
      </c>
      <c r="G1026" t="s">
        <v>36</v>
      </c>
      <c r="H1026" t="s">
        <v>3313</v>
      </c>
      <c r="I1026" t="s">
        <v>78</v>
      </c>
      <c r="J1026" t="s">
        <v>144</v>
      </c>
      <c r="M1026" t="s">
        <v>40</v>
      </c>
      <c r="N1026" t="s">
        <v>41</v>
      </c>
      <c r="O1026" t="s">
        <v>145</v>
      </c>
      <c r="P1026">
        <v>66</v>
      </c>
      <c r="Q1026">
        <v>0</v>
      </c>
      <c r="R1026">
        <v>0</v>
      </c>
      <c r="S1026">
        <v>0</v>
      </c>
      <c r="T1026" t="s">
        <v>54</v>
      </c>
      <c r="U1026" t="s">
        <v>55</v>
      </c>
      <c r="W1026" t="s">
        <v>3314</v>
      </c>
      <c r="Y1026">
        <v>0</v>
      </c>
      <c r="AA1026" t="s">
        <v>40</v>
      </c>
      <c r="AB1026" t="s">
        <v>46</v>
      </c>
      <c r="AC1026" t="s">
        <v>47</v>
      </c>
      <c r="AD1026" t="s">
        <v>81</v>
      </c>
      <c r="AE1026" t="s">
        <v>81</v>
      </c>
      <c r="AG1026" t="s">
        <v>3315</v>
      </c>
      <c r="AJ1026" t="s">
        <v>40</v>
      </c>
      <c r="AK1026" t="s">
        <v>3316</v>
      </c>
      <c r="AO1026" s="1">
        <v>45961</v>
      </c>
      <c r="AP1026" s="5">
        <v>0.5</v>
      </c>
      <c r="AS1026">
        <v>1</v>
      </c>
    </row>
    <row r="1027" spans="1:45" x14ac:dyDescent="0.2">
      <c r="A1027">
        <f t="shared" si="66"/>
        <v>2025</v>
      </c>
      <c r="B1027">
        <f t="shared" si="67"/>
        <v>10</v>
      </c>
      <c r="C1027">
        <f t="shared" si="68"/>
        <v>44</v>
      </c>
      <c r="D1027" s="2">
        <f t="shared" si="69"/>
        <v>45961</v>
      </c>
      <c r="E1027" s="1">
        <v>45961.5</v>
      </c>
      <c r="F1027" t="s">
        <v>3317</v>
      </c>
      <c r="G1027" t="s">
        <v>36</v>
      </c>
      <c r="H1027" t="s">
        <v>111</v>
      </c>
      <c r="I1027" t="s">
        <v>38</v>
      </c>
      <c r="J1027" t="s">
        <v>112</v>
      </c>
      <c r="M1027" t="s">
        <v>40</v>
      </c>
      <c r="N1027" t="s">
        <v>41</v>
      </c>
      <c r="O1027" t="s">
        <v>42</v>
      </c>
      <c r="P1027">
        <v>23</v>
      </c>
      <c r="Q1027">
        <v>0</v>
      </c>
      <c r="R1027">
        <v>0</v>
      </c>
      <c r="S1027">
        <v>0</v>
      </c>
      <c r="T1027" t="s">
        <v>3318</v>
      </c>
      <c r="U1027" t="s">
        <v>44</v>
      </c>
      <c r="W1027" t="s">
        <v>3256</v>
      </c>
      <c r="Y1027">
        <v>0</v>
      </c>
      <c r="AA1027" t="s">
        <v>40</v>
      </c>
      <c r="AB1027" t="s">
        <v>46</v>
      </c>
      <c r="AC1027" t="s">
        <v>47</v>
      </c>
      <c r="AF1027" t="s">
        <v>48</v>
      </c>
      <c r="AJ1027" t="s">
        <v>40</v>
      </c>
      <c r="AK1027" t="s">
        <v>49</v>
      </c>
      <c r="AO1027" s="1">
        <v>45961</v>
      </c>
      <c r="AP1027" s="5">
        <v>0.5</v>
      </c>
      <c r="AS1027">
        <v>1</v>
      </c>
    </row>
    <row r="1028" spans="1:45" x14ac:dyDescent="0.2">
      <c r="A1028">
        <f t="shared" si="66"/>
        <v>2025</v>
      </c>
      <c r="B1028">
        <f t="shared" si="67"/>
        <v>10</v>
      </c>
      <c r="C1028">
        <f t="shared" si="68"/>
        <v>44</v>
      </c>
      <c r="D1028" s="2">
        <f t="shared" si="69"/>
        <v>45961</v>
      </c>
      <c r="E1028" s="1">
        <v>45961.541666666664</v>
      </c>
      <c r="F1028" t="s">
        <v>3319</v>
      </c>
      <c r="G1028" t="s">
        <v>36</v>
      </c>
      <c r="H1028" t="s">
        <v>320</v>
      </c>
      <c r="I1028" t="s">
        <v>38</v>
      </c>
      <c r="J1028" t="s">
        <v>321</v>
      </c>
      <c r="M1028" t="s">
        <v>40</v>
      </c>
      <c r="N1028" t="s">
        <v>41</v>
      </c>
      <c r="O1028" t="s">
        <v>42</v>
      </c>
      <c r="P1028">
        <v>33</v>
      </c>
      <c r="Q1028">
        <v>0</v>
      </c>
      <c r="R1028">
        <v>0</v>
      </c>
      <c r="S1028">
        <v>0</v>
      </c>
      <c r="T1028">
        <v>5019262069</v>
      </c>
      <c r="U1028" t="s">
        <v>44</v>
      </c>
      <c r="W1028" t="s">
        <v>3253</v>
      </c>
      <c r="Y1028">
        <v>0</v>
      </c>
      <c r="AA1028" t="s">
        <v>40</v>
      </c>
      <c r="AB1028" t="s">
        <v>46</v>
      </c>
      <c r="AC1028" t="s">
        <v>47</v>
      </c>
      <c r="AF1028" t="s">
        <v>322</v>
      </c>
      <c r="AJ1028" t="s">
        <v>40</v>
      </c>
      <c r="AK1028" t="s">
        <v>49</v>
      </c>
      <c r="AO1028" s="1">
        <v>45961</v>
      </c>
      <c r="AP1028" s="5">
        <v>0.54166666666666663</v>
      </c>
      <c r="AS1028">
        <v>1</v>
      </c>
    </row>
    <row r="1029" spans="1:45" x14ac:dyDescent="0.2">
      <c r="A1029">
        <f t="shared" si="66"/>
        <v>2025</v>
      </c>
      <c r="B1029">
        <f t="shared" si="67"/>
        <v>10</v>
      </c>
      <c r="C1029">
        <f t="shared" si="68"/>
        <v>44</v>
      </c>
      <c r="D1029" s="2">
        <f t="shared" si="69"/>
        <v>45961</v>
      </c>
      <c r="E1029" s="1">
        <v>45961.541666666664</v>
      </c>
      <c r="F1029" t="s">
        <v>3320</v>
      </c>
      <c r="G1029" t="s">
        <v>36</v>
      </c>
      <c r="H1029">
        <v>462580</v>
      </c>
      <c r="I1029" t="s">
        <v>51</v>
      </c>
      <c r="J1029" t="s">
        <v>163</v>
      </c>
      <c r="M1029" t="s">
        <v>40</v>
      </c>
      <c r="N1029" t="s">
        <v>41</v>
      </c>
      <c r="O1029" t="s">
        <v>530</v>
      </c>
      <c r="P1029">
        <v>33</v>
      </c>
      <c r="Q1029">
        <v>0</v>
      </c>
      <c r="R1029">
        <v>0</v>
      </c>
      <c r="S1029">
        <v>0</v>
      </c>
      <c r="T1029" t="s">
        <v>54</v>
      </c>
      <c r="U1029" t="s">
        <v>55</v>
      </c>
      <c r="W1029" t="s">
        <v>3321</v>
      </c>
      <c r="Y1029">
        <v>0</v>
      </c>
      <c r="AA1029" t="s">
        <v>40</v>
      </c>
      <c r="AB1029" t="s">
        <v>46</v>
      </c>
      <c r="AC1029" t="s">
        <v>47</v>
      </c>
      <c r="AG1029" t="s">
        <v>3322</v>
      </c>
      <c r="AJ1029" t="s">
        <v>40</v>
      </c>
      <c r="AK1029">
        <v>5019305408</v>
      </c>
      <c r="AO1029" s="1">
        <v>45961</v>
      </c>
      <c r="AP1029" s="5">
        <v>0.54166666666666663</v>
      </c>
      <c r="AS1029">
        <v>1</v>
      </c>
    </row>
    <row r="1030" spans="1:45" x14ac:dyDescent="0.2">
      <c r="A1030">
        <f t="shared" si="66"/>
        <v>2025</v>
      </c>
      <c r="B1030">
        <f t="shared" si="67"/>
        <v>10</v>
      </c>
      <c r="C1030">
        <f t="shared" si="68"/>
        <v>44</v>
      </c>
      <c r="D1030" s="2">
        <f t="shared" si="69"/>
        <v>45961</v>
      </c>
      <c r="E1030" s="1">
        <v>45961.541666666664</v>
      </c>
      <c r="F1030" t="s">
        <v>3323</v>
      </c>
      <c r="G1030" t="s">
        <v>36</v>
      </c>
      <c r="H1030" t="s">
        <v>111</v>
      </c>
      <c r="I1030" t="s">
        <v>38</v>
      </c>
      <c r="J1030" t="s">
        <v>112</v>
      </c>
      <c r="M1030" t="s">
        <v>40</v>
      </c>
      <c r="N1030" t="s">
        <v>41</v>
      </c>
      <c r="O1030" t="s">
        <v>42</v>
      </c>
      <c r="P1030">
        <v>23</v>
      </c>
      <c r="Q1030">
        <v>0</v>
      </c>
      <c r="R1030">
        <v>0</v>
      </c>
      <c r="S1030">
        <v>0</v>
      </c>
      <c r="T1030" t="s">
        <v>3324</v>
      </c>
      <c r="U1030" t="s">
        <v>44</v>
      </c>
      <c r="W1030" t="s">
        <v>3256</v>
      </c>
      <c r="Y1030">
        <v>0</v>
      </c>
      <c r="AA1030" t="s">
        <v>40</v>
      </c>
      <c r="AB1030" t="s">
        <v>46</v>
      </c>
      <c r="AC1030" t="s">
        <v>47</v>
      </c>
      <c r="AF1030" t="s">
        <v>48</v>
      </c>
      <c r="AJ1030" t="s">
        <v>40</v>
      </c>
      <c r="AK1030" t="s">
        <v>49</v>
      </c>
      <c r="AO1030" s="1">
        <v>45961</v>
      </c>
      <c r="AP1030" s="5">
        <v>0.54166666666666663</v>
      </c>
      <c r="AS1030">
        <v>1</v>
      </c>
    </row>
    <row r="1031" spans="1:45" x14ac:dyDescent="0.2">
      <c r="A1031">
        <f t="shared" si="66"/>
        <v>2025</v>
      </c>
      <c r="B1031">
        <f t="shared" si="67"/>
        <v>10</v>
      </c>
      <c r="C1031">
        <f t="shared" si="68"/>
        <v>44</v>
      </c>
      <c r="D1031" s="2">
        <f t="shared" si="69"/>
        <v>45961</v>
      </c>
      <c r="E1031" s="1">
        <v>45961.583333333336</v>
      </c>
      <c r="F1031" t="s">
        <v>3325</v>
      </c>
      <c r="G1031" t="s">
        <v>36</v>
      </c>
      <c r="H1031">
        <v>462560</v>
      </c>
      <c r="I1031" t="s">
        <v>51</v>
      </c>
      <c r="J1031" t="s">
        <v>154</v>
      </c>
      <c r="M1031" t="s">
        <v>40</v>
      </c>
      <c r="N1031" t="s">
        <v>41</v>
      </c>
      <c r="O1031" t="s">
        <v>155</v>
      </c>
      <c r="P1031">
        <v>33</v>
      </c>
      <c r="Q1031">
        <v>0</v>
      </c>
      <c r="R1031">
        <v>0</v>
      </c>
      <c r="S1031">
        <v>0</v>
      </c>
      <c r="T1031" t="s">
        <v>54</v>
      </c>
      <c r="U1031" t="s">
        <v>55</v>
      </c>
      <c r="W1031" t="s">
        <v>3279</v>
      </c>
      <c r="Y1031">
        <v>0</v>
      </c>
      <c r="AA1031" t="s">
        <v>40</v>
      </c>
      <c r="AB1031" t="s">
        <v>46</v>
      </c>
      <c r="AC1031" t="s">
        <v>47</v>
      </c>
      <c r="AG1031" t="s">
        <v>3326</v>
      </c>
      <c r="AJ1031" t="s">
        <v>40</v>
      </c>
      <c r="AK1031">
        <v>5019304285</v>
      </c>
      <c r="AO1031" s="1">
        <v>45961</v>
      </c>
      <c r="AP1031" s="5">
        <v>0.58333333333333337</v>
      </c>
      <c r="AS1031">
        <v>1</v>
      </c>
    </row>
    <row r="1032" spans="1:45" x14ac:dyDescent="0.2">
      <c r="A1032">
        <f t="shared" si="66"/>
        <v>2025</v>
      </c>
      <c r="B1032">
        <f t="shared" si="67"/>
        <v>10</v>
      </c>
      <c r="C1032">
        <f t="shared" si="68"/>
        <v>44</v>
      </c>
      <c r="D1032" s="2">
        <f t="shared" si="69"/>
        <v>45961</v>
      </c>
      <c r="E1032" s="1">
        <v>45961.583333333336</v>
      </c>
      <c r="F1032" t="s">
        <v>3327</v>
      </c>
      <c r="G1032" t="s">
        <v>36</v>
      </c>
      <c r="H1032" t="s">
        <v>3328</v>
      </c>
      <c r="I1032" t="s">
        <v>38</v>
      </c>
      <c r="J1032" t="s">
        <v>99</v>
      </c>
      <c r="L1032" t="s">
        <v>3329</v>
      </c>
      <c r="M1032" t="s">
        <v>40</v>
      </c>
      <c r="N1032" t="s">
        <v>41</v>
      </c>
      <c r="O1032" t="s">
        <v>42</v>
      </c>
      <c r="P1032">
        <v>3</v>
      </c>
      <c r="Q1032">
        <v>0</v>
      </c>
      <c r="R1032">
        <v>0</v>
      </c>
      <c r="S1032">
        <v>0</v>
      </c>
      <c r="T1032" t="s">
        <v>3330</v>
      </c>
      <c r="U1032" t="s">
        <v>101</v>
      </c>
      <c r="W1032" t="s">
        <v>3269</v>
      </c>
      <c r="Y1032">
        <v>0</v>
      </c>
      <c r="AA1032" t="s">
        <v>40</v>
      </c>
      <c r="AB1032" t="s">
        <v>820</v>
      </c>
      <c r="AC1032" t="s">
        <v>47</v>
      </c>
      <c r="AF1032" t="s">
        <v>677</v>
      </c>
      <c r="AJ1032" t="s">
        <v>40</v>
      </c>
      <c r="AK1032" t="s">
        <v>49</v>
      </c>
      <c r="AN1032" t="s">
        <v>3331</v>
      </c>
      <c r="AO1032" s="1">
        <v>45961</v>
      </c>
      <c r="AP1032" s="5">
        <v>0.58333333333333337</v>
      </c>
      <c r="AS1032">
        <v>1</v>
      </c>
    </row>
    <row r="1033" spans="1:45" x14ac:dyDescent="0.2">
      <c r="A1033">
        <f t="shared" si="66"/>
        <v>2025</v>
      </c>
      <c r="B1033">
        <f t="shared" si="67"/>
        <v>10</v>
      </c>
      <c r="C1033">
        <f t="shared" si="68"/>
        <v>44</v>
      </c>
      <c r="D1033" s="2">
        <f t="shared" si="69"/>
        <v>45961</v>
      </c>
      <c r="E1033" s="1">
        <v>45961.583333333336</v>
      </c>
      <c r="F1033" t="s">
        <v>3332</v>
      </c>
      <c r="G1033" t="s">
        <v>36</v>
      </c>
      <c r="H1033" t="s">
        <v>111</v>
      </c>
      <c r="I1033" t="s">
        <v>38</v>
      </c>
      <c r="J1033" t="s">
        <v>112</v>
      </c>
      <c r="M1033" t="s">
        <v>40</v>
      </c>
      <c r="N1033" t="s">
        <v>41</v>
      </c>
      <c r="O1033" t="s">
        <v>42</v>
      </c>
      <c r="P1033">
        <v>23</v>
      </c>
      <c r="Q1033">
        <v>0</v>
      </c>
      <c r="R1033">
        <v>0</v>
      </c>
      <c r="S1033">
        <v>0</v>
      </c>
      <c r="T1033" t="s">
        <v>3333</v>
      </c>
      <c r="U1033" t="s">
        <v>44</v>
      </c>
      <c r="W1033" t="s">
        <v>3256</v>
      </c>
      <c r="Y1033">
        <v>0</v>
      </c>
      <c r="AA1033" t="s">
        <v>40</v>
      </c>
      <c r="AB1033" t="s">
        <v>46</v>
      </c>
      <c r="AC1033" t="s">
        <v>47</v>
      </c>
      <c r="AF1033" t="s">
        <v>48</v>
      </c>
      <c r="AJ1033" t="s">
        <v>40</v>
      </c>
      <c r="AK1033" t="s">
        <v>49</v>
      </c>
      <c r="AO1033" s="1">
        <v>45961</v>
      </c>
      <c r="AP1033" s="5">
        <v>0.58333333333333337</v>
      </c>
      <c r="AS1033">
        <v>1</v>
      </c>
    </row>
    <row r="1034" spans="1:45" x14ac:dyDescent="0.2">
      <c r="A1034">
        <f t="shared" si="66"/>
        <v>2025</v>
      </c>
      <c r="B1034">
        <f t="shared" si="67"/>
        <v>10</v>
      </c>
      <c r="C1034">
        <f t="shared" si="68"/>
        <v>44</v>
      </c>
      <c r="D1034" s="2">
        <f t="shared" si="69"/>
        <v>45961</v>
      </c>
      <c r="E1034" s="1">
        <v>45961.625</v>
      </c>
      <c r="F1034" t="s">
        <v>3334</v>
      </c>
      <c r="G1034" t="s">
        <v>36</v>
      </c>
      <c r="H1034" t="s">
        <v>2507</v>
      </c>
      <c r="I1034" t="s">
        <v>38</v>
      </c>
      <c r="J1034" t="s">
        <v>3335</v>
      </c>
      <c r="M1034" t="s">
        <v>40</v>
      </c>
      <c r="N1034" t="s">
        <v>41</v>
      </c>
      <c r="O1034" t="s">
        <v>42</v>
      </c>
      <c r="P1034">
        <v>2</v>
      </c>
      <c r="Q1034">
        <v>0</v>
      </c>
      <c r="R1034">
        <v>0</v>
      </c>
      <c r="S1034">
        <v>0</v>
      </c>
      <c r="T1034" t="s">
        <v>3336</v>
      </c>
      <c r="U1034" t="s">
        <v>101</v>
      </c>
      <c r="W1034" t="s">
        <v>3253</v>
      </c>
      <c r="Y1034">
        <v>0</v>
      </c>
      <c r="AA1034" t="s">
        <v>40</v>
      </c>
      <c r="AB1034" t="s">
        <v>46</v>
      </c>
      <c r="AC1034" t="s">
        <v>47</v>
      </c>
      <c r="AF1034" t="s">
        <v>3337</v>
      </c>
      <c r="AJ1034" t="s">
        <v>40</v>
      </c>
      <c r="AK1034" t="s">
        <v>49</v>
      </c>
      <c r="AO1034" s="1">
        <v>45961</v>
      </c>
      <c r="AP1034" s="5">
        <v>0.625</v>
      </c>
      <c r="AS1034">
        <v>1</v>
      </c>
    </row>
    <row r="1035" spans="1:45" x14ac:dyDescent="0.2">
      <c r="A1035">
        <f t="shared" si="66"/>
        <v>2025</v>
      </c>
      <c r="B1035">
        <f t="shared" si="67"/>
        <v>10</v>
      </c>
      <c r="C1035">
        <f t="shared" si="68"/>
        <v>44</v>
      </c>
      <c r="D1035" s="2">
        <f t="shared" si="69"/>
        <v>45961</v>
      </c>
      <c r="E1035" s="1">
        <v>45961.625</v>
      </c>
      <c r="F1035" t="s">
        <v>3338</v>
      </c>
      <c r="G1035" t="s">
        <v>36</v>
      </c>
      <c r="H1035" t="s">
        <v>3339</v>
      </c>
      <c r="I1035" t="s">
        <v>218</v>
      </c>
      <c r="J1035" t="s">
        <v>144</v>
      </c>
      <c r="M1035" t="s">
        <v>40</v>
      </c>
      <c r="N1035" t="s">
        <v>41</v>
      </c>
      <c r="O1035" t="s">
        <v>2123</v>
      </c>
      <c r="P1035">
        <v>99</v>
      </c>
      <c r="Q1035">
        <v>0</v>
      </c>
      <c r="R1035">
        <v>0</v>
      </c>
      <c r="S1035">
        <v>0</v>
      </c>
      <c r="T1035" t="s">
        <v>54</v>
      </c>
      <c r="U1035" t="s">
        <v>55</v>
      </c>
      <c r="W1035" t="s">
        <v>2991</v>
      </c>
      <c r="Y1035">
        <v>0</v>
      </c>
      <c r="AA1035" t="s">
        <v>40</v>
      </c>
      <c r="AB1035" t="s">
        <v>46</v>
      </c>
      <c r="AC1035" t="s">
        <v>47</v>
      </c>
      <c r="AD1035" t="s">
        <v>223</v>
      </c>
      <c r="AE1035" t="s">
        <v>223</v>
      </c>
      <c r="AG1035" t="s">
        <v>3340</v>
      </c>
      <c r="AJ1035" t="s">
        <v>40</v>
      </c>
      <c r="AK1035" t="s">
        <v>3341</v>
      </c>
      <c r="AO1035" s="1">
        <v>45961</v>
      </c>
      <c r="AP1035" s="5">
        <v>0.625</v>
      </c>
      <c r="AS1035">
        <v>1</v>
      </c>
    </row>
    <row r="1036" spans="1:45" x14ac:dyDescent="0.2">
      <c r="A1036">
        <f t="shared" si="66"/>
        <v>2025</v>
      </c>
      <c r="B1036">
        <f t="shared" si="67"/>
        <v>10</v>
      </c>
      <c r="C1036">
        <f t="shared" si="68"/>
        <v>44</v>
      </c>
      <c r="D1036" s="2">
        <f t="shared" si="69"/>
        <v>45961</v>
      </c>
      <c r="E1036" s="1">
        <v>45961.625</v>
      </c>
      <c r="F1036" t="s">
        <v>3342</v>
      </c>
      <c r="G1036" t="s">
        <v>36</v>
      </c>
      <c r="H1036" t="s">
        <v>111</v>
      </c>
      <c r="I1036" t="s">
        <v>38</v>
      </c>
      <c r="J1036" t="s">
        <v>112</v>
      </c>
      <c r="M1036" t="s">
        <v>40</v>
      </c>
      <c r="N1036" t="s">
        <v>41</v>
      </c>
      <c r="O1036" t="s">
        <v>42</v>
      </c>
      <c r="P1036">
        <v>23</v>
      </c>
      <c r="Q1036">
        <v>0</v>
      </c>
      <c r="R1036">
        <v>0</v>
      </c>
      <c r="S1036">
        <v>0</v>
      </c>
      <c r="T1036" t="s">
        <v>3343</v>
      </c>
      <c r="U1036" t="s">
        <v>44</v>
      </c>
      <c r="W1036" t="s">
        <v>3256</v>
      </c>
      <c r="Y1036">
        <v>0</v>
      </c>
      <c r="AA1036" t="s">
        <v>40</v>
      </c>
      <c r="AB1036" t="s">
        <v>46</v>
      </c>
      <c r="AC1036" t="s">
        <v>47</v>
      </c>
      <c r="AF1036" t="s">
        <v>48</v>
      </c>
      <c r="AJ1036" t="s">
        <v>40</v>
      </c>
      <c r="AK1036" t="s">
        <v>49</v>
      </c>
      <c r="AO1036" s="1">
        <v>45961</v>
      </c>
      <c r="AP1036" s="5">
        <v>0.625</v>
      </c>
      <c r="AS1036">
        <v>1</v>
      </c>
    </row>
    <row r="1037" spans="1:45" x14ac:dyDescent="0.2">
      <c r="A1037">
        <f t="shared" si="66"/>
        <v>2025</v>
      </c>
      <c r="B1037">
        <f t="shared" si="67"/>
        <v>10</v>
      </c>
      <c r="C1037">
        <f t="shared" si="68"/>
        <v>44</v>
      </c>
      <c r="D1037" s="2">
        <f t="shared" si="69"/>
        <v>45961</v>
      </c>
      <c r="E1037" s="1">
        <v>45961.625</v>
      </c>
      <c r="F1037" t="s">
        <v>3344</v>
      </c>
      <c r="G1037" t="s">
        <v>36</v>
      </c>
      <c r="H1037">
        <v>462571</v>
      </c>
      <c r="I1037" t="s">
        <v>51</v>
      </c>
      <c r="J1037" t="s">
        <v>154</v>
      </c>
      <c r="M1037" t="s">
        <v>40</v>
      </c>
      <c r="N1037" t="s">
        <v>41</v>
      </c>
      <c r="O1037" t="s">
        <v>155</v>
      </c>
      <c r="P1037">
        <v>33</v>
      </c>
      <c r="Q1037">
        <v>0</v>
      </c>
      <c r="R1037">
        <v>0</v>
      </c>
      <c r="S1037">
        <v>0</v>
      </c>
      <c r="T1037" t="s">
        <v>54</v>
      </c>
      <c r="U1037" t="s">
        <v>55</v>
      </c>
      <c r="W1037" t="s">
        <v>3298</v>
      </c>
      <c r="Y1037">
        <v>0</v>
      </c>
      <c r="AA1037" t="s">
        <v>40</v>
      </c>
      <c r="AB1037" t="s">
        <v>46</v>
      </c>
      <c r="AC1037" t="s">
        <v>47</v>
      </c>
      <c r="AG1037" t="s">
        <v>3345</v>
      </c>
      <c r="AJ1037" t="s">
        <v>40</v>
      </c>
      <c r="AK1037">
        <v>5019294743</v>
      </c>
      <c r="AO1037" s="1">
        <v>45961</v>
      </c>
      <c r="AP1037" s="5">
        <v>0.625</v>
      </c>
      <c r="AS1037">
        <v>1</v>
      </c>
    </row>
    <row r="1038" spans="1:45" x14ac:dyDescent="0.2">
      <c r="A1038">
        <f t="shared" si="66"/>
        <v>2025</v>
      </c>
      <c r="B1038">
        <f t="shared" si="67"/>
        <v>10</v>
      </c>
      <c r="C1038">
        <f t="shared" si="68"/>
        <v>44</v>
      </c>
      <c r="D1038" s="2">
        <f t="shared" si="69"/>
        <v>45961</v>
      </c>
      <c r="E1038" s="1">
        <v>45961.666666666664</v>
      </c>
      <c r="F1038" t="s">
        <v>3346</v>
      </c>
      <c r="G1038" t="s">
        <v>36</v>
      </c>
      <c r="H1038">
        <v>466880</v>
      </c>
      <c r="I1038" t="s">
        <v>51</v>
      </c>
      <c r="J1038" t="s">
        <v>1059</v>
      </c>
      <c r="M1038" t="s">
        <v>40</v>
      </c>
      <c r="N1038" t="s">
        <v>41</v>
      </c>
      <c r="O1038" t="s">
        <v>1060</v>
      </c>
      <c r="P1038">
        <v>33</v>
      </c>
      <c r="Q1038">
        <v>0</v>
      </c>
      <c r="R1038">
        <v>0</v>
      </c>
      <c r="S1038">
        <v>0</v>
      </c>
      <c r="T1038" t="s">
        <v>54</v>
      </c>
      <c r="U1038" t="s">
        <v>55</v>
      </c>
      <c r="W1038" t="s">
        <v>3347</v>
      </c>
      <c r="Y1038">
        <v>0</v>
      </c>
      <c r="AA1038" t="s">
        <v>40</v>
      </c>
      <c r="AB1038" t="s">
        <v>46</v>
      </c>
      <c r="AC1038" t="s">
        <v>47</v>
      </c>
      <c r="AG1038" t="s">
        <v>3348</v>
      </c>
      <c r="AJ1038" t="s">
        <v>40</v>
      </c>
      <c r="AK1038">
        <v>5019294594</v>
      </c>
      <c r="AO1038" s="1">
        <v>45961</v>
      </c>
      <c r="AP1038" s="5">
        <v>0.66666666666666663</v>
      </c>
      <c r="AS1038">
        <v>1</v>
      </c>
    </row>
    <row r="1039" spans="1:45" x14ac:dyDescent="0.2">
      <c r="A1039">
        <f t="shared" si="66"/>
        <v>2025</v>
      </c>
      <c r="B1039">
        <f t="shared" si="67"/>
        <v>10</v>
      </c>
      <c r="C1039">
        <f t="shared" si="68"/>
        <v>44</v>
      </c>
      <c r="D1039" s="2">
        <f t="shared" si="69"/>
        <v>45961</v>
      </c>
      <c r="E1039" s="1">
        <v>45961.666666666664</v>
      </c>
      <c r="F1039" t="s">
        <v>3349</v>
      </c>
      <c r="G1039" t="s">
        <v>36</v>
      </c>
      <c r="H1039" t="s">
        <v>111</v>
      </c>
      <c r="I1039" t="s">
        <v>38</v>
      </c>
      <c r="J1039" t="s">
        <v>112</v>
      </c>
      <c r="M1039" t="s">
        <v>40</v>
      </c>
      <c r="N1039" t="s">
        <v>41</v>
      </c>
      <c r="O1039" t="s">
        <v>42</v>
      </c>
      <c r="P1039">
        <v>23</v>
      </c>
      <c r="Q1039">
        <v>0</v>
      </c>
      <c r="R1039">
        <v>0</v>
      </c>
      <c r="S1039">
        <v>0</v>
      </c>
      <c r="T1039" t="s">
        <v>3350</v>
      </c>
      <c r="U1039" t="s">
        <v>44</v>
      </c>
      <c r="W1039" t="s">
        <v>3256</v>
      </c>
      <c r="Y1039">
        <v>0</v>
      </c>
      <c r="AA1039" t="s">
        <v>40</v>
      </c>
      <c r="AB1039" t="s">
        <v>46</v>
      </c>
      <c r="AC1039" t="s">
        <v>47</v>
      </c>
      <c r="AF1039" t="s">
        <v>48</v>
      </c>
      <c r="AJ1039" t="s">
        <v>40</v>
      </c>
      <c r="AK1039" t="s">
        <v>49</v>
      </c>
      <c r="AO1039" s="1">
        <v>45961</v>
      </c>
      <c r="AP1039" s="5">
        <v>0.66666666666666663</v>
      </c>
      <c r="AS1039">
        <v>1</v>
      </c>
    </row>
    <row r="1040" spans="1:45" x14ac:dyDescent="0.2">
      <c r="A1040">
        <f t="shared" si="66"/>
        <v>2025</v>
      </c>
      <c r="B1040">
        <f t="shared" si="67"/>
        <v>10</v>
      </c>
      <c r="C1040">
        <f t="shared" si="68"/>
        <v>44</v>
      </c>
      <c r="D1040" s="2">
        <f t="shared" si="69"/>
        <v>45961</v>
      </c>
      <c r="E1040" s="1">
        <v>45961.666666666664</v>
      </c>
      <c r="F1040" t="s">
        <v>3351</v>
      </c>
      <c r="G1040" t="s">
        <v>36</v>
      </c>
      <c r="H1040" t="s">
        <v>3352</v>
      </c>
      <c r="I1040" t="s">
        <v>78</v>
      </c>
      <c r="J1040" t="s">
        <v>118</v>
      </c>
      <c r="M1040" t="s">
        <v>40</v>
      </c>
      <c r="N1040" t="s">
        <v>41</v>
      </c>
      <c r="O1040" t="s">
        <v>3353</v>
      </c>
      <c r="P1040">
        <v>66</v>
      </c>
      <c r="Q1040">
        <v>0</v>
      </c>
      <c r="R1040">
        <v>0</v>
      </c>
      <c r="S1040">
        <v>0</v>
      </c>
      <c r="T1040" t="s">
        <v>54</v>
      </c>
      <c r="U1040" t="s">
        <v>55</v>
      </c>
      <c r="W1040" t="s">
        <v>3354</v>
      </c>
      <c r="Y1040">
        <v>0</v>
      </c>
      <c r="AA1040" t="s">
        <v>40</v>
      </c>
      <c r="AB1040" t="s">
        <v>46</v>
      </c>
      <c r="AC1040" t="s">
        <v>47</v>
      </c>
      <c r="AD1040" t="s">
        <v>81</v>
      </c>
      <c r="AE1040" t="s">
        <v>81</v>
      </c>
      <c r="AG1040" t="s">
        <v>3355</v>
      </c>
      <c r="AJ1040" t="s">
        <v>40</v>
      </c>
      <c r="AK1040" t="s">
        <v>3356</v>
      </c>
      <c r="AO1040" s="1">
        <v>45961</v>
      </c>
      <c r="AP1040" s="5">
        <v>0.66666666666666663</v>
      </c>
      <c r="AS1040">
        <v>1</v>
      </c>
    </row>
    <row r="1041" spans="1:45" x14ac:dyDescent="0.2">
      <c r="A1041">
        <f t="shared" si="66"/>
        <v>2025</v>
      </c>
      <c r="B1041">
        <f t="shared" si="67"/>
        <v>10</v>
      </c>
      <c r="C1041">
        <f t="shared" si="68"/>
        <v>44</v>
      </c>
      <c r="D1041" s="2">
        <f t="shared" si="69"/>
        <v>45961</v>
      </c>
      <c r="E1041" s="1">
        <v>45961.708333333336</v>
      </c>
      <c r="F1041" t="s">
        <v>3357</v>
      </c>
      <c r="G1041" t="s">
        <v>36</v>
      </c>
      <c r="H1041">
        <v>462584</v>
      </c>
      <c r="I1041" t="s">
        <v>51</v>
      </c>
      <c r="J1041" t="s">
        <v>513</v>
      </c>
      <c r="M1041" t="s">
        <v>40</v>
      </c>
      <c r="N1041" t="s">
        <v>41</v>
      </c>
      <c r="O1041" t="s">
        <v>514</v>
      </c>
      <c r="P1041">
        <v>33</v>
      </c>
      <c r="Q1041">
        <v>0</v>
      </c>
      <c r="R1041">
        <v>0</v>
      </c>
      <c r="S1041">
        <v>0</v>
      </c>
      <c r="T1041" t="s">
        <v>54</v>
      </c>
      <c r="U1041" t="s">
        <v>55</v>
      </c>
      <c r="W1041" t="s">
        <v>3358</v>
      </c>
      <c r="Y1041">
        <v>0</v>
      </c>
      <c r="AA1041" t="s">
        <v>40</v>
      </c>
      <c r="AB1041" t="s">
        <v>46</v>
      </c>
      <c r="AC1041" t="s">
        <v>47</v>
      </c>
      <c r="AG1041" t="s">
        <v>3359</v>
      </c>
      <c r="AJ1041" t="s">
        <v>40</v>
      </c>
      <c r="AK1041">
        <v>5019299564</v>
      </c>
      <c r="AO1041" s="1">
        <v>45961</v>
      </c>
      <c r="AP1041" s="5">
        <v>0.70833333333333337</v>
      </c>
      <c r="AS1041">
        <v>1</v>
      </c>
    </row>
    <row r="1042" spans="1:45" x14ac:dyDescent="0.2">
      <c r="A1042">
        <f t="shared" si="66"/>
        <v>2025</v>
      </c>
      <c r="B1042">
        <f t="shared" si="67"/>
        <v>10</v>
      </c>
      <c r="C1042">
        <f t="shared" si="68"/>
        <v>44</v>
      </c>
      <c r="D1042" s="2">
        <f t="shared" si="69"/>
        <v>45961</v>
      </c>
      <c r="E1042" s="1">
        <v>45961.708333333336</v>
      </c>
      <c r="F1042" t="s">
        <v>3360</v>
      </c>
      <c r="G1042" t="s">
        <v>36</v>
      </c>
      <c r="H1042" t="s">
        <v>111</v>
      </c>
      <c r="I1042" t="s">
        <v>38</v>
      </c>
      <c r="J1042" t="s">
        <v>99</v>
      </c>
      <c r="M1042" t="s">
        <v>40</v>
      </c>
      <c r="N1042" t="s">
        <v>41</v>
      </c>
      <c r="O1042" t="s">
        <v>42</v>
      </c>
      <c r="P1042">
        <v>24</v>
      </c>
      <c r="Q1042">
        <v>0</v>
      </c>
      <c r="R1042">
        <v>0</v>
      </c>
      <c r="S1042">
        <v>0</v>
      </c>
      <c r="T1042" t="s">
        <v>3361</v>
      </c>
      <c r="U1042" t="s">
        <v>44</v>
      </c>
      <c r="W1042" t="s">
        <v>3256</v>
      </c>
      <c r="Y1042">
        <v>0</v>
      </c>
      <c r="AA1042" t="s">
        <v>40</v>
      </c>
      <c r="AB1042" t="s">
        <v>46</v>
      </c>
      <c r="AC1042" t="s">
        <v>47</v>
      </c>
      <c r="AF1042" t="s">
        <v>48</v>
      </c>
      <c r="AJ1042" t="s">
        <v>40</v>
      </c>
      <c r="AK1042" t="s">
        <v>49</v>
      </c>
      <c r="AO1042" s="1">
        <v>45961</v>
      </c>
      <c r="AP1042" s="5">
        <v>0.70833333333333337</v>
      </c>
      <c r="AS1042">
        <v>1</v>
      </c>
    </row>
    <row r="1043" spans="1:45" x14ac:dyDescent="0.2">
      <c r="A1043">
        <f t="shared" si="66"/>
        <v>2025</v>
      </c>
      <c r="B1043">
        <f t="shared" si="67"/>
        <v>10</v>
      </c>
      <c r="C1043">
        <f t="shared" si="68"/>
        <v>44</v>
      </c>
      <c r="D1043" s="2">
        <f t="shared" si="69"/>
        <v>45961</v>
      </c>
      <c r="E1043" s="1">
        <v>45961.75</v>
      </c>
      <c r="F1043" t="s">
        <v>3362</v>
      </c>
      <c r="G1043" t="s">
        <v>36</v>
      </c>
      <c r="H1043">
        <v>462569</v>
      </c>
      <c r="I1043" t="s">
        <v>51</v>
      </c>
      <c r="J1043" t="s">
        <v>200</v>
      </c>
      <c r="M1043" t="s">
        <v>40</v>
      </c>
      <c r="N1043" t="s">
        <v>41</v>
      </c>
      <c r="O1043" t="s">
        <v>182</v>
      </c>
      <c r="P1043">
        <v>33</v>
      </c>
      <c r="Q1043">
        <v>0</v>
      </c>
      <c r="R1043">
        <v>0</v>
      </c>
      <c r="S1043">
        <v>0</v>
      </c>
      <c r="T1043" t="s">
        <v>54</v>
      </c>
      <c r="U1043" t="s">
        <v>55</v>
      </c>
      <c r="W1043" t="s">
        <v>3363</v>
      </c>
      <c r="Y1043">
        <v>0</v>
      </c>
      <c r="AA1043" t="s">
        <v>40</v>
      </c>
      <c r="AB1043" t="s">
        <v>46</v>
      </c>
      <c r="AC1043" t="s">
        <v>47</v>
      </c>
      <c r="AG1043" t="s">
        <v>3364</v>
      </c>
      <c r="AJ1043" t="s">
        <v>40</v>
      </c>
      <c r="AK1043">
        <v>5019291234</v>
      </c>
      <c r="AO1043" s="1">
        <v>45961</v>
      </c>
      <c r="AP1043" s="5">
        <v>0.75</v>
      </c>
      <c r="AS1043">
        <v>1</v>
      </c>
    </row>
    <row r="1044" spans="1:45" x14ac:dyDescent="0.2">
      <c r="A1044">
        <f t="shared" si="66"/>
        <v>2025</v>
      </c>
      <c r="B1044">
        <f t="shared" si="67"/>
        <v>10</v>
      </c>
      <c r="C1044">
        <f t="shared" si="68"/>
        <v>44</v>
      </c>
      <c r="D1044" s="2">
        <f t="shared" si="69"/>
        <v>45961</v>
      </c>
      <c r="E1044" s="1">
        <v>45961.75</v>
      </c>
      <c r="F1044" t="s">
        <v>3365</v>
      </c>
      <c r="G1044" t="s">
        <v>36</v>
      </c>
      <c r="H1044">
        <v>462577</v>
      </c>
      <c r="I1044" t="s">
        <v>51</v>
      </c>
      <c r="J1044" t="s">
        <v>144</v>
      </c>
      <c r="M1044" t="s">
        <v>40</v>
      </c>
      <c r="N1044" t="s">
        <v>41</v>
      </c>
      <c r="O1044" t="s">
        <v>90</v>
      </c>
      <c r="P1044">
        <v>33</v>
      </c>
      <c r="Q1044">
        <v>0</v>
      </c>
      <c r="R1044">
        <v>0</v>
      </c>
      <c r="S1044">
        <v>0</v>
      </c>
      <c r="T1044" t="s">
        <v>54</v>
      </c>
      <c r="U1044" t="s">
        <v>55</v>
      </c>
      <c r="W1044" t="s">
        <v>3173</v>
      </c>
      <c r="X1044" t="s">
        <v>3366</v>
      </c>
      <c r="Y1044">
        <v>0</v>
      </c>
      <c r="AA1044" t="s">
        <v>40</v>
      </c>
      <c r="AB1044" t="s">
        <v>46</v>
      </c>
      <c r="AC1044" t="s">
        <v>47</v>
      </c>
      <c r="AG1044" t="s">
        <v>3367</v>
      </c>
      <c r="AJ1044" t="s">
        <v>40</v>
      </c>
      <c r="AK1044">
        <v>5019300389</v>
      </c>
      <c r="AL1044" t="s">
        <v>3368</v>
      </c>
      <c r="AM1044" t="s">
        <v>3369</v>
      </c>
      <c r="AO1044" s="1">
        <v>45961</v>
      </c>
      <c r="AP1044" s="5">
        <v>0.75</v>
      </c>
      <c r="AS1044">
        <v>1</v>
      </c>
    </row>
    <row r="1045" spans="1:45" x14ac:dyDescent="0.2">
      <c r="A1045">
        <f t="shared" si="66"/>
        <v>2025</v>
      </c>
      <c r="B1045">
        <f t="shared" si="67"/>
        <v>10</v>
      </c>
      <c r="C1045">
        <f t="shared" si="68"/>
        <v>44</v>
      </c>
      <c r="D1045" s="2">
        <f t="shared" si="69"/>
        <v>45961</v>
      </c>
      <c r="E1045" s="1">
        <v>45961.75</v>
      </c>
      <c r="F1045" t="s">
        <v>3370</v>
      </c>
      <c r="G1045" t="s">
        <v>36</v>
      </c>
      <c r="H1045">
        <v>462549</v>
      </c>
      <c r="I1045" t="s">
        <v>51</v>
      </c>
      <c r="J1045" t="s">
        <v>163</v>
      </c>
      <c r="M1045" t="s">
        <v>40</v>
      </c>
      <c r="N1045" t="s">
        <v>41</v>
      </c>
      <c r="O1045" t="s">
        <v>530</v>
      </c>
      <c r="P1045">
        <v>33</v>
      </c>
      <c r="Q1045">
        <v>0</v>
      </c>
      <c r="R1045">
        <v>0</v>
      </c>
      <c r="S1045">
        <v>0</v>
      </c>
      <c r="T1045" t="s">
        <v>54</v>
      </c>
      <c r="U1045" t="s">
        <v>55</v>
      </c>
      <c r="W1045" t="s">
        <v>3173</v>
      </c>
      <c r="Y1045">
        <v>0</v>
      </c>
      <c r="AA1045" t="s">
        <v>40</v>
      </c>
      <c r="AB1045" t="s">
        <v>46</v>
      </c>
      <c r="AC1045" t="s">
        <v>47</v>
      </c>
      <c r="AG1045" t="s">
        <v>3371</v>
      </c>
      <c r="AJ1045" t="s">
        <v>40</v>
      </c>
      <c r="AK1045">
        <v>5019294998</v>
      </c>
      <c r="AO1045" s="1">
        <v>45961</v>
      </c>
      <c r="AP1045" s="5">
        <v>0.75</v>
      </c>
      <c r="AS1045">
        <v>1</v>
      </c>
    </row>
    <row r="1046" spans="1:45" x14ac:dyDescent="0.2">
      <c r="A1046">
        <f t="shared" si="66"/>
        <v>2025</v>
      </c>
      <c r="B1046">
        <f t="shared" si="67"/>
        <v>10</v>
      </c>
      <c r="C1046">
        <f t="shared" si="68"/>
        <v>44</v>
      </c>
      <c r="D1046" s="2">
        <f t="shared" si="69"/>
        <v>45961</v>
      </c>
      <c r="E1046" s="1">
        <v>45961.791666666664</v>
      </c>
      <c r="F1046" t="s">
        <v>3372</v>
      </c>
      <c r="G1046" t="s">
        <v>36</v>
      </c>
      <c r="H1046">
        <v>462573</v>
      </c>
      <c r="I1046" t="s">
        <v>51</v>
      </c>
      <c r="J1046" t="s">
        <v>188</v>
      </c>
      <c r="M1046" t="s">
        <v>40</v>
      </c>
      <c r="N1046" t="s">
        <v>41</v>
      </c>
      <c r="O1046" t="s">
        <v>172</v>
      </c>
      <c r="P1046">
        <v>33</v>
      </c>
      <c r="Q1046">
        <v>0</v>
      </c>
      <c r="R1046">
        <v>0</v>
      </c>
      <c r="S1046">
        <v>0</v>
      </c>
      <c r="T1046" t="s">
        <v>54</v>
      </c>
      <c r="U1046" t="s">
        <v>55</v>
      </c>
      <c r="W1046" t="s">
        <v>3373</v>
      </c>
      <c r="Y1046">
        <v>0</v>
      </c>
      <c r="AA1046" t="s">
        <v>40</v>
      </c>
      <c r="AB1046" t="s">
        <v>46</v>
      </c>
      <c r="AC1046" t="s">
        <v>47</v>
      </c>
      <c r="AG1046" t="s">
        <v>3374</v>
      </c>
      <c r="AJ1046" t="s">
        <v>40</v>
      </c>
      <c r="AK1046">
        <v>5019295748</v>
      </c>
      <c r="AO1046" s="1">
        <v>45961</v>
      </c>
      <c r="AP1046" s="5">
        <v>0.79166666666666663</v>
      </c>
      <c r="AS1046">
        <v>1</v>
      </c>
    </row>
    <row r="1047" spans="1:45" x14ac:dyDescent="0.2">
      <c r="A1047">
        <f t="shared" si="66"/>
        <v>2025</v>
      </c>
      <c r="B1047">
        <f t="shared" si="67"/>
        <v>10</v>
      </c>
      <c r="C1047">
        <f t="shared" si="68"/>
        <v>44</v>
      </c>
      <c r="D1047" s="2">
        <f t="shared" si="69"/>
        <v>45961</v>
      </c>
      <c r="E1047" s="1">
        <v>45961.791666666664</v>
      </c>
      <c r="F1047" t="s">
        <v>3375</v>
      </c>
      <c r="G1047" t="s">
        <v>36</v>
      </c>
      <c r="H1047" t="s">
        <v>3376</v>
      </c>
      <c r="I1047" t="s">
        <v>78</v>
      </c>
      <c r="J1047" t="s">
        <v>144</v>
      </c>
      <c r="M1047" t="s">
        <v>40</v>
      </c>
      <c r="N1047" t="s">
        <v>41</v>
      </c>
      <c r="O1047" t="s">
        <v>417</v>
      </c>
      <c r="P1047">
        <v>66</v>
      </c>
      <c r="Q1047">
        <v>0</v>
      </c>
      <c r="R1047">
        <v>0</v>
      </c>
      <c r="S1047">
        <v>0</v>
      </c>
      <c r="T1047" t="s">
        <v>54</v>
      </c>
      <c r="U1047" t="s">
        <v>55</v>
      </c>
      <c r="W1047" t="s">
        <v>3173</v>
      </c>
      <c r="Y1047">
        <v>0</v>
      </c>
      <c r="AA1047" t="s">
        <v>40</v>
      </c>
      <c r="AB1047" t="s">
        <v>46</v>
      </c>
      <c r="AC1047" t="s">
        <v>47</v>
      </c>
      <c r="AD1047" t="s">
        <v>81</v>
      </c>
      <c r="AE1047" t="s">
        <v>81</v>
      </c>
      <c r="AG1047" t="s">
        <v>3377</v>
      </c>
      <c r="AJ1047" t="s">
        <v>40</v>
      </c>
      <c r="AK1047" t="s">
        <v>3378</v>
      </c>
      <c r="AO1047" s="1">
        <v>45961</v>
      </c>
      <c r="AP1047" s="5">
        <v>0.79166666666666663</v>
      </c>
      <c r="AS1047">
        <v>1</v>
      </c>
    </row>
    <row r="1048" spans="1:45" x14ac:dyDescent="0.2">
      <c r="A1048">
        <f t="shared" si="66"/>
        <v>2025</v>
      </c>
      <c r="B1048">
        <f t="shared" si="67"/>
        <v>10</v>
      </c>
      <c r="C1048">
        <f t="shared" si="68"/>
        <v>44</v>
      </c>
      <c r="D1048" s="2">
        <f t="shared" si="69"/>
        <v>45961</v>
      </c>
      <c r="E1048" s="1">
        <v>45961.791666666664</v>
      </c>
      <c r="F1048" t="s">
        <v>3379</v>
      </c>
      <c r="G1048" t="s">
        <v>36</v>
      </c>
      <c r="H1048">
        <v>462597</v>
      </c>
      <c r="I1048" t="s">
        <v>51</v>
      </c>
      <c r="J1048" t="s">
        <v>188</v>
      </c>
      <c r="M1048" t="s">
        <v>40</v>
      </c>
      <c r="N1048" t="s">
        <v>41</v>
      </c>
      <c r="O1048" t="s">
        <v>172</v>
      </c>
      <c r="P1048">
        <v>33</v>
      </c>
      <c r="Q1048">
        <v>0</v>
      </c>
      <c r="R1048">
        <v>0</v>
      </c>
      <c r="S1048">
        <v>0</v>
      </c>
      <c r="T1048" t="s">
        <v>54</v>
      </c>
      <c r="U1048" t="s">
        <v>55</v>
      </c>
      <c r="W1048" t="s">
        <v>3373</v>
      </c>
      <c r="Y1048">
        <v>0</v>
      </c>
      <c r="AA1048" t="s">
        <v>40</v>
      </c>
      <c r="AB1048" t="s">
        <v>46</v>
      </c>
      <c r="AC1048" t="s">
        <v>47</v>
      </c>
      <c r="AG1048" t="s">
        <v>3380</v>
      </c>
      <c r="AJ1048" t="s">
        <v>40</v>
      </c>
      <c r="AK1048">
        <v>5019304177</v>
      </c>
      <c r="AO1048" s="1">
        <v>45961</v>
      </c>
      <c r="AP1048" s="5">
        <v>0.79166666666666663</v>
      </c>
      <c r="AS1048">
        <v>1</v>
      </c>
    </row>
    <row r="1049" spans="1:45" x14ac:dyDescent="0.2">
      <c r="A1049">
        <f t="shared" si="66"/>
        <v>2025</v>
      </c>
      <c r="B1049">
        <f t="shared" si="67"/>
        <v>10</v>
      </c>
      <c r="C1049">
        <f t="shared" si="68"/>
        <v>44</v>
      </c>
      <c r="D1049" s="2">
        <f t="shared" si="69"/>
        <v>45961</v>
      </c>
      <c r="E1049" s="1">
        <v>45961.833333333336</v>
      </c>
      <c r="F1049" t="s">
        <v>3381</v>
      </c>
      <c r="G1049" t="s">
        <v>36</v>
      </c>
      <c r="H1049" t="s">
        <v>3382</v>
      </c>
      <c r="I1049" t="s">
        <v>78</v>
      </c>
      <c r="J1049" t="s">
        <v>144</v>
      </c>
      <c r="M1049" t="s">
        <v>40</v>
      </c>
      <c r="N1049" t="s">
        <v>41</v>
      </c>
      <c r="O1049" t="s">
        <v>417</v>
      </c>
      <c r="P1049">
        <v>66</v>
      </c>
      <c r="Q1049">
        <v>0</v>
      </c>
      <c r="R1049">
        <v>0</v>
      </c>
      <c r="S1049">
        <v>0</v>
      </c>
      <c r="T1049" t="s">
        <v>54</v>
      </c>
      <c r="U1049" t="s">
        <v>55</v>
      </c>
      <c r="W1049" t="s">
        <v>3383</v>
      </c>
      <c r="Y1049">
        <v>0</v>
      </c>
      <c r="AA1049" t="s">
        <v>40</v>
      </c>
      <c r="AB1049" t="s">
        <v>46</v>
      </c>
      <c r="AC1049" t="s">
        <v>47</v>
      </c>
      <c r="AD1049" t="s">
        <v>81</v>
      </c>
      <c r="AE1049" t="s">
        <v>81</v>
      </c>
      <c r="AG1049" t="s">
        <v>3384</v>
      </c>
      <c r="AJ1049" t="s">
        <v>40</v>
      </c>
      <c r="AK1049" t="s">
        <v>3385</v>
      </c>
      <c r="AO1049" s="1">
        <v>45961</v>
      </c>
      <c r="AP1049" s="5">
        <v>0.83333333333333337</v>
      </c>
      <c r="AS1049">
        <v>1</v>
      </c>
    </row>
    <row r="1050" spans="1:45" x14ac:dyDescent="0.2">
      <c r="A1050">
        <f t="shared" si="66"/>
        <v>2025</v>
      </c>
      <c r="B1050">
        <f t="shared" si="67"/>
        <v>10</v>
      </c>
      <c r="C1050">
        <f t="shared" si="68"/>
        <v>44</v>
      </c>
      <c r="D1050" s="2">
        <f t="shared" si="69"/>
        <v>45961</v>
      </c>
      <c r="E1050" s="1">
        <v>45961.916666666664</v>
      </c>
      <c r="F1050" t="s">
        <v>3386</v>
      </c>
      <c r="G1050" t="s">
        <v>36</v>
      </c>
      <c r="H1050" t="s">
        <v>253</v>
      </c>
      <c r="I1050" t="s">
        <v>38</v>
      </c>
      <c r="J1050" t="s">
        <v>254</v>
      </c>
      <c r="N1050" t="s">
        <v>41</v>
      </c>
      <c r="O1050" t="s">
        <v>42</v>
      </c>
      <c r="P1050">
        <v>1</v>
      </c>
      <c r="Q1050">
        <v>0</v>
      </c>
      <c r="R1050">
        <v>0</v>
      </c>
      <c r="S1050">
        <v>0</v>
      </c>
      <c r="T1050">
        <v>5019323327</v>
      </c>
      <c r="U1050" t="s">
        <v>101</v>
      </c>
      <c r="W1050" t="s">
        <v>3251</v>
      </c>
      <c r="Y1050">
        <v>0</v>
      </c>
      <c r="AA1050" t="s">
        <v>40</v>
      </c>
      <c r="AC1050" t="s">
        <v>47</v>
      </c>
      <c r="AF1050" t="s">
        <v>48</v>
      </c>
      <c r="AJ1050" t="s">
        <v>40</v>
      </c>
      <c r="AK1050" t="s">
        <v>49</v>
      </c>
      <c r="AO1050" s="1">
        <v>45961</v>
      </c>
      <c r="AP1050" s="5">
        <v>0.91666666666666663</v>
      </c>
      <c r="AS1050">
        <v>1</v>
      </c>
    </row>
    <row r="1051" spans="1:45" x14ac:dyDescent="0.2">
      <c r="A1051">
        <f t="shared" si="66"/>
        <v>2025</v>
      </c>
      <c r="B1051">
        <f t="shared" si="67"/>
        <v>11</v>
      </c>
      <c r="C1051">
        <f t="shared" si="68"/>
        <v>45</v>
      </c>
      <c r="D1051" s="2">
        <f t="shared" si="69"/>
        <v>45964</v>
      </c>
      <c r="E1051" s="1">
        <v>45964.25</v>
      </c>
      <c r="F1051" t="s">
        <v>3387</v>
      </c>
      <c r="G1051" t="s">
        <v>36</v>
      </c>
      <c r="H1051" t="s">
        <v>3388</v>
      </c>
      <c r="I1051" t="s">
        <v>38</v>
      </c>
      <c r="J1051" t="s">
        <v>60</v>
      </c>
      <c r="M1051" t="s">
        <v>40</v>
      </c>
      <c r="N1051" t="s">
        <v>41</v>
      </c>
      <c r="O1051" t="s">
        <v>42</v>
      </c>
      <c r="P1051">
        <v>20</v>
      </c>
      <c r="Q1051">
        <v>0</v>
      </c>
      <c r="R1051">
        <v>0</v>
      </c>
      <c r="S1051">
        <v>0</v>
      </c>
      <c r="T1051" t="s">
        <v>3389</v>
      </c>
      <c r="U1051" t="s">
        <v>44</v>
      </c>
      <c r="W1051" t="s">
        <v>3390</v>
      </c>
      <c r="Y1051">
        <v>0</v>
      </c>
      <c r="AA1051" t="s">
        <v>40</v>
      </c>
      <c r="AB1051" t="s">
        <v>46</v>
      </c>
      <c r="AC1051" t="s">
        <v>47</v>
      </c>
      <c r="AF1051" t="s">
        <v>1009</v>
      </c>
      <c r="AJ1051" t="s">
        <v>40</v>
      </c>
      <c r="AK1051" t="s">
        <v>49</v>
      </c>
      <c r="AN1051">
        <v>260665407</v>
      </c>
      <c r="AO1051" s="1">
        <v>45964</v>
      </c>
      <c r="AP1051" s="5">
        <v>0.25</v>
      </c>
      <c r="AS1051">
        <v>1</v>
      </c>
    </row>
    <row r="1052" spans="1:45" x14ac:dyDescent="0.2">
      <c r="A1052">
        <f t="shared" si="66"/>
        <v>2025</v>
      </c>
      <c r="B1052">
        <f t="shared" si="67"/>
        <v>11</v>
      </c>
      <c r="C1052">
        <f t="shared" si="68"/>
        <v>45</v>
      </c>
      <c r="D1052" s="2">
        <f t="shared" si="69"/>
        <v>45964</v>
      </c>
      <c r="E1052" s="1">
        <v>45964.25</v>
      </c>
      <c r="F1052" t="s">
        <v>3391</v>
      </c>
      <c r="G1052" t="s">
        <v>36</v>
      </c>
      <c r="H1052">
        <v>467307</v>
      </c>
      <c r="I1052" t="s">
        <v>51</v>
      </c>
      <c r="J1052" t="s">
        <v>52</v>
      </c>
      <c r="M1052" t="s">
        <v>40</v>
      </c>
      <c r="N1052" t="s">
        <v>41</v>
      </c>
      <c r="O1052" t="s">
        <v>53</v>
      </c>
      <c r="P1052">
        <v>33</v>
      </c>
      <c r="Q1052">
        <v>0</v>
      </c>
      <c r="R1052">
        <v>0</v>
      </c>
      <c r="S1052">
        <v>0</v>
      </c>
      <c r="T1052" t="s">
        <v>54</v>
      </c>
      <c r="U1052" t="s">
        <v>55</v>
      </c>
      <c r="W1052" t="s">
        <v>3392</v>
      </c>
      <c r="Y1052">
        <v>0</v>
      </c>
      <c r="AA1052" t="s">
        <v>40</v>
      </c>
      <c r="AB1052" t="s">
        <v>46</v>
      </c>
      <c r="AC1052" t="s">
        <v>47</v>
      </c>
      <c r="AG1052" t="s">
        <v>3393</v>
      </c>
      <c r="AJ1052" t="s">
        <v>40</v>
      </c>
      <c r="AK1052">
        <v>5019318935</v>
      </c>
      <c r="AO1052" s="1">
        <v>45964</v>
      </c>
      <c r="AP1052" s="5">
        <v>0.25</v>
      </c>
      <c r="AS1052">
        <v>1</v>
      </c>
    </row>
    <row r="1053" spans="1:45" x14ac:dyDescent="0.2">
      <c r="A1053">
        <f t="shared" si="66"/>
        <v>2025</v>
      </c>
      <c r="B1053">
        <f t="shared" si="67"/>
        <v>11</v>
      </c>
      <c r="C1053">
        <f t="shared" si="68"/>
        <v>45</v>
      </c>
      <c r="D1053" s="2">
        <f t="shared" si="69"/>
        <v>45964</v>
      </c>
      <c r="E1053" s="1">
        <v>45964.291666666664</v>
      </c>
      <c r="F1053" t="s">
        <v>3394</v>
      </c>
      <c r="G1053" t="s">
        <v>36</v>
      </c>
      <c r="H1053" t="s">
        <v>320</v>
      </c>
      <c r="I1053" t="s">
        <v>38</v>
      </c>
      <c r="J1053" t="s">
        <v>321</v>
      </c>
      <c r="M1053" t="s">
        <v>40</v>
      </c>
      <c r="N1053" t="s">
        <v>41</v>
      </c>
      <c r="O1053" t="s">
        <v>42</v>
      </c>
      <c r="P1053">
        <v>33</v>
      </c>
      <c r="Q1053">
        <v>0</v>
      </c>
      <c r="R1053">
        <v>0</v>
      </c>
      <c r="S1053">
        <v>0</v>
      </c>
      <c r="T1053" t="s">
        <v>3395</v>
      </c>
      <c r="U1053" t="s">
        <v>233</v>
      </c>
      <c r="W1053" t="s">
        <v>3396</v>
      </c>
      <c r="Y1053">
        <v>0</v>
      </c>
      <c r="AA1053" t="s">
        <v>40</v>
      </c>
      <c r="AB1053" t="s">
        <v>46</v>
      </c>
      <c r="AC1053" t="s">
        <v>47</v>
      </c>
      <c r="AF1053" t="s">
        <v>322</v>
      </c>
      <c r="AJ1053" t="s">
        <v>40</v>
      </c>
      <c r="AK1053" t="s">
        <v>49</v>
      </c>
      <c r="AO1053" s="1">
        <v>45964</v>
      </c>
      <c r="AP1053" s="5">
        <v>0.29166666666666669</v>
      </c>
      <c r="AS1053">
        <v>1</v>
      </c>
    </row>
    <row r="1054" spans="1:45" x14ac:dyDescent="0.2">
      <c r="A1054">
        <f t="shared" si="66"/>
        <v>2025</v>
      </c>
      <c r="B1054">
        <f t="shared" si="67"/>
        <v>11</v>
      </c>
      <c r="C1054">
        <f t="shared" si="68"/>
        <v>45</v>
      </c>
      <c r="D1054" s="2">
        <f t="shared" si="69"/>
        <v>45964</v>
      </c>
      <c r="E1054" s="1">
        <v>45964.291666666664</v>
      </c>
      <c r="F1054" t="s">
        <v>3397</v>
      </c>
      <c r="G1054" t="s">
        <v>36</v>
      </c>
      <c r="H1054" t="s">
        <v>3398</v>
      </c>
      <c r="I1054" t="s">
        <v>38</v>
      </c>
      <c r="J1054" t="s">
        <v>60</v>
      </c>
      <c r="M1054" t="s">
        <v>40</v>
      </c>
      <c r="N1054" t="s">
        <v>41</v>
      </c>
      <c r="O1054" t="s">
        <v>42</v>
      </c>
      <c r="P1054">
        <v>20</v>
      </c>
      <c r="Q1054">
        <v>0</v>
      </c>
      <c r="R1054">
        <v>0</v>
      </c>
      <c r="S1054">
        <v>0</v>
      </c>
      <c r="T1054">
        <v>5019247091</v>
      </c>
      <c r="U1054" t="s">
        <v>44</v>
      </c>
      <c r="W1054" t="s">
        <v>3399</v>
      </c>
      <c r="Y1054">
        <v>0</v>
      </c>
      <c r="AA1054" t="s">
        <v>40</v>
      </c>
      <c r="AB1054" t="s">
        <v>46</v>
      </c>
      <c r="AC1054" t="s">
        <v>47</v>
      </c>
      <c r="AF1054" t="s">
        <v>1009</v>
      </c>
      <c r="AJ1054" t="s">
        <v>40</v>
      </c>
      <c r="AK1054" t="s">
        <v>49</v>
      </c>
      <c r="AN1054">
        <v>260665407</v>
      </c>
      <c r="AO1054" s="1">
        <v>45964</v>
      </c>
      <c r="AP1054" s="5">
        <v>0.29166666666666669</v>
      </c>
      <c r="AS1054">
        <v>1</v>
      </c>
    </row>
    <row r="1055" spans="1:45" x14ac:dyDescent="0.2">
      <c r="A1055">
        <f t="shared" si="66"/>
        <v>2025</v>
      </c>
      <c r="B1055">
        <f t="shared" si="67"/>
        <v>11</v>
      </c>
      <c r="C1055">
        <f t="shared" si="68"/>
        <v>45</v>
      </c>
      <c r="D1055" s="2">
        <f t="shared" si="69"/>
        <v>45964</v>
      </c>
      <c r="E1055" s="1">
        <v>45964.333333333336</v>
      </c>
      <c r="F1055" t="s">
        <v>3400</v>
      </c>
      <c r="G1055" t="s">
        <v>36</v>
      </c>
      <c r="H1055" t="s">
        <v>3401</v>
      </c>
      <c r="I1055" t="s">
        <v>38</v>
      </c>
      <c r="J1055" t="s">
        <v>645</v>
      </c>
      <c r="M1055" t="s">
        <v>40</v>
      </c>
      <c r="N1055" t="s">
        <v>41</v>
      </c>
      <c r="O1055" t="s">
        <v>42</v>
      </c>
      <c r="P1055">
        <v>20</v>
      </c>
      <c r="Q1055">
        <v>0</v>
      </c>
      <c r="R1055">
        <v>0</v>
      </c>
      <c r="S1055">
        <v>0</v>
      </c>
      <c r="T1055">
        <v>5019269596</v>
      </c>
      <c r="U1055" t="s">
        <v>44</v>
      </c>
      <c r="W1055" t="s">
        <v>3390</v>
      </c>
      <c r="Y1055">
        <v>0</v>
      </c>
      <c r="AA1055" t="s">
        <v>40</v>
      </c>
      <c r="AB1055" t="s">
        <v>46</v>
      </c>
      <c r="AC1055" t="s">
        <v>47</v>
      </c>
      <c r="AF1055" t="s">
        <v>62</v>
      </c>
      <c r="AJ1055" t="s">
        <v>40</v>
      </c>
      <c r="AK1055" t="s">
        <v>49</v>
      </c>
      <c r="AN1055">
        <v>260666242</v>
      </c>
      <c r="AO1055" s="1">
        <v>45964</v>
      </c>
      <c r="AP1055" s="5">
        <v>0.33333333333333331</v>
      </c>
      <c r="AS1055">
        <v>1</v>
      </c>
    </row>
    <row r="1056" spans="1:45" x14ac:dyDescent="0.2">
      <c r="A1056">
        <f t="shared" si="66"/>
        <v>2025</v>
      </c>
      <c r="B1056">
        <f t="shared" si="67"/>
        <v>11</v>
      </c>
      <c r="C1056">
        <f t="shared" si="68"/>
        <v>45</v>
      </c>
      <c r="D1056" s="2">
        <f t="shared" si="69"/>
        <v>45964</v>
      </c>
      <c r="E1056" s="1">
        <v>45964.333333333336</v>
      </c>
      <c r="F1056" t="s">
        <v>3402</v>
      </c>
      <c r="G1056" t="s">
        <v>36</v>
      </c>
      <c r="H1056">
        <v>467318</v>
      </c>
      <c r="I1056" t="s">
        <v>51</v>
      </c>
      <c r="J1056" t="s">
        <v>52</v>
      </c>
      <c r="M1056" t="s">
        <v>40</v>
      </c>
      <c r="N1056" t="s">
        <v>41</v>
      </c>
      <c r="O1056" t="s">
        <v>53</v>
      </c>
      <c r="P1056">
        <v>33</v>
      </c>
      <c r="Q1056">
        <v>0</v>
      </c>
      <c r="R1056">
        <v>0</v>
      </c>
      <c r="S1056">
        <v>0</v>
      </c>
      <c r="T1056" t="s">
        <v>54</v>
      </c>
      <c r="U1056" t="s">
        <v>55</v>
      </c>
      <c r="W1056" t="s">
        <v>3392</v>
      </c>
      <c r="Y1056">
        <v>0</v>
      </c>
      <c r="AA1056" t="s">
        <v>40</v>
      </c>
      <c r="AB1056" t="s">
        <v>46</v>
      </c>
      <c r="AC1056" t="s">
        <v>47</v>
      </c>
      <c r="AG1056" t="s">
        <v>3403</v>
      </c>
      <c r="AJ1056" t="s">
        <v>40</v>
      </c>
      <c r="AK1056">
        <v>5019314246</v>
      </c>
      <c r="AO1056" s="1">
        <v>45964</v>
      </c>
      <c r="AP1056" s="5">
        <v>0.33333333333333331</v>
      </c>
      <c r="AS1056">
        <v>1</v>
      </c>
    </row>
    <row r="1057" spans="1:45" x14ac:dyDescent="0.2">
      <c r="A1057">
        <f t="shared" si="66"/>
        <v>2025</v>
      </c>
      <c r="B1057">
        <f t="shared" si="67"/>
        <v>11</v>
      </c>
      <c r="C1057">
        <f t="shared" si="68"/>
        <v>45</v>
      </c>
      <c r="D1057" s="2">
        <f t="shared" si="69"/>
        <v>45964</v>
      </c>
      <c r="E1057" s="1">
        <v>45964.333333333336</v>
      </c>
      <c r="F1057" t="s">
        <v>3404</v>
      </c>
      <c r="G1057" t="s">
        <v>36</v>
      </c>
      <c r="H1057" t="s">
        <v>37</v>
      </c>
      <c r="I1057" t="s">
        <v>38</v>
      </c>
      <c r="J1057" t="s">
        <v>112</v>
      </c>
      <c r="M1057" t="s">
        <v>40</v>
      </c>
      <c r="N1057" t="s">
        <v>41</v>
      </c>
      <c r="O1057" t="s">
        <v>42</v>
      </c>
      <c r="P1057">
        <v>23</v>
      </c>
      <c r="Q1057">
        <v>0</v>
      </c>
      <c r="R1057">
        <v>0</v>
      </c>
      <c r="S1057">
        <v>0</v>
      </c>
      <c r="T1057" t="s">
        <v>3405</v>
      </c>
      <c r="U1057" t="s">
        <v>44</v>
      </c>
      <c r="W1057" t="s">
        <v>3363</v>
      </c>
      <c r="Y1057">
        <v>0</v>
      </c>
      <c r="AA1057" t="s">
        <v>40</v>
      </c>
      <c r="AB1057" t="s">
        <v>46</v>
      </c>
      <c r="AC1057" t="s">
        <v>47</v>
      </c>
      <c r="AF1057" t="s">
        <v>48</v>
      </c>
      <c r="AJ1057" t="s">
        <v>40</v>
      </c>
      <c r="AK1057" t="s">
        <v>49</v>
      </c>
      <c r="AO1057" s="1">
        <v>45964</v>
      </c>
      <c r="AP1057" s="5">
        <v>0.33333333333333331</v>
      </c>
      <c r="AS1057">
        <v>1</v>
      </c>
    </row>
    <row r="1058" spans="1:45" x14ac:dyDescent="0.2">
      <c r="A1058">
        <f t="shared" si="66"/>
        <v>2025</v>
      </c>
      <c r="B1058">
        <f t="shared" si="67"/>
        <v>11</v>
      </c>
      <c r="C1058">
        <f t="shared" si="68"/>
        <v>45</v>
      </c>
      <c r="D1058" s="2">
        <f t="shared" si="69"/>
        <v>45964</v>
      </c>
      <c r="E1058" s="1">
        <v>45964.375</v>
      </c>
      <c r="F1058" t="s">
        <v>3406</v>
      </c>
      <c r="G1058" t="s">
        <v>36</v>
      </c>
      <c r="H1058" t="s">
        <v>3407</v>
      </c>
      <c r="I1058" t="s">
        <v>38</v>
      </c>
      <c r="J1058" t="s">
        <v>60</v>
      </c>
      <c r="M1058" t="s">
        <v>40</v>
      </c>
      <c r="N1058" t="s">
        <v>41</v>
      </c>
      <c r="O1058" t="s">
        <v>42</v>
      </c>
      <c r="P1058">
        <v>10</v>
      </c>
      <c r="Q1058">
        <v>0</v>
      </c>
      <c r="R1058">
        <v>0</v>
      </c>
      <c r="S1058">
        <v>0</v>
      </c>
      <c r="T1058">
        <v>5019230255</v>
      </c>
      <c r="U1058" t="s">
        <v>44</v>
      </c>
      <c r="W1058" t="s">
        <v>3408</v>
      </c>
      <c r="Y1058">
        <v>0</v>
      </c>
      <c r="AA1058" t="s">
        <v>40</v>
      </c>
      <c r="AB1058" t="s">
        <v>46</v>
      </c>
      <c r="AC1058" t="s">
        <v>47</v>
      </c>
      <c r="AF1058" t="s">
        <v>133</v>
      </c>
      <c r="AJ1058" t="s">
        <v>40</v>
      </c>
      <c r="AK1058" t="s">
        <v>49</v>
      </c>
      <c r="AN1058">
        <v>260109759</v>
      </c>
      <c r="AO1058" s="1">
        <v>45964</v>
      </c>
      <c r="AP1058" s="5">
        <v>0.375</v>
      </c>
      <c r="AS1058">
        <v>1</v>
      </c>
    </row>
    <row r="1059" spans="1:45" x14ac:dyDescent="0.2">
      <c r="A1059">
        <f t="shared" si="66"/>
        <v>2025</v>
      </c>
      <c r="B1059">
        <f t="shared" si="67"/>
        <v>11</v>
      </c>
      <c r="C1059">
        <f t="shared" si="68"/>
        <v>45</v>
      </c>
      <c r="D1059" s="2">
        <f t="shared" si="69"/>
        <v>45964</v>
      </c>
      <c r="E1059" s="1">
        <v>45964.375</v>
      </c>
      <c r="F1059" t="s">
        <v>3409</v>
      </c>
      <c r="G1059" t="s">
        <v>36</v>
      </c>
      <c r="H1059" t="s">
        <v>264</v>
      </c>
      <c r="I1059" t="s">
        <v>38</v>
      </c>
      <c r="J1059" t="s">
        <v>265</v>
      </c>
      <c r="N1059" t="s">
        <v>41</v>
      </c>
      <c r="O1059" t="s">
        <v>42</v>
      </c>
      <c r="P1059">
        <v>23</v>
      </c>
      <c r="Q1059">
        <v>0</v>
      </c>
      <c r="R1059">
        <v>0</v>
      </c>
      <c r="S1059">
        <v>0</v>
      </c>
      <c r="T1059" t="s">
        <v>3410</v>
      </c>
      <c r="U1059" t="s">
        <v>55</v>
      </c>
      <c r="W1059" t="s">
        <v>3363</v>
      </c>
      <c r="Y1059">
        <v>0</v>
      </c>
      <c r="AA1059" t="s">
        <v>40</v>
      </c>
      <c r="AB1059" t="s">
        <v>102</v>
      </c>
      <c r="AC1059" t="s">
        <v>47</v>
      </c>
      <c r="AF1059" t="s">
        <v>48</v>
      </c>
      <c r="AJ1059" t="s">
        <v>40</v>
      </c>
      <c r="AK1059" t="s">
        <v>49</v>
      </c>
      <c r="AO1059" s="1">
        <v>45964</v>
      </c>
      <c r="AP1059" s="5">
        <v>0.375</v>
      </c>
      <c r="AS1059">
        <v>1</v>
      </c>
    </row>
    <row r="1060" spans="1:45" x14ac:dyDescent="0.2">
      <c r="A1060">
        <f t="shared" si="66"/>
        <v>2025</v>
      </c>
      <c r="B1060">
        <f t="shared" si="67"/>
        <v>11</v>
      </c>
      <c r="C1060">
        <f t="shared" si="68"/>
        <v>45</v>
      </c>
      <c r="D1060" s="2">
        <f t="shared" si="69"/>
        <v>45964</v>
      </c>
      <c r="E1060" s="1">
        <v>45964.375</v>
      </c>
      <c r="F1060" t="s">
        <v>3411</v>
      </c>
      <c r="G1060" t="s">
        <v>36</v>
      </c>
      <c r="H1060" t="s">
        <v>3412</v>
      </c>
      <c r="I1060" t="s">
        <v>38</v>
      </c>
      <c r="J1060" t="s">
        <v>645</v>
      </c>
      <c r="M1060" t="s">
        <v>40</v>
      </c>
      <c r="N1060" t="s">
        <v>41</v>
      </c>
      <c r="O1060" t="s">
        <v>42</v>
      </c>
      <c r="P1060">
        <v>20</v>
      </c>
      <c r="Q1060">
        <v>0</v>
      </c>
      <c r="R1060">
        <v>0</v>
      </c>
      <c r="S1060">
        <v>0</v>
      </c>
      <c r="T1060">
        <v>5019286271</v>
      </c>
      <c r="U1060" t="s">
        <v>44</v>
      </c>
      <c r="W1060" t="s">
        <v>3390</v>
      </c>
      <c r="Y1060">
        <v>0</v>
      </c>
      <c r="AA1060" t="s">
        <v>40</v>
      </c>
      <c r="AB1060" t="s">
        <v>46</v>
      </c>
      <c r="AC1060" t="s">
        <v>47</v>
      </c>
      <c r="AF1060" t="s">
        <v>62</v>
      </c>
      <c r="AJ1060" t="s">
        <v>40</v>
      </c>
      <c r="AK1060" t="s">
        <v>49</v>
      </c>
      <c r="AN1060">
        <v>260666242</v>
      </c>
      <c r="AO1060" s="1">
        <v>45964</v>
      </c>
      <c r="AP1060" s="5">
        <v>0.375</v>
      </c>
      <c r="AS1060">
        <v>1</v>
      </c>
    </row>
    <row r="1061" spans="1:45" x14ac:dyDescent="0.2">
      <c r="A1061">
        <f t="shared" si="66"/>
        <v>2025</v>
      </c>
      <c r="B1061">
        <f t="shared" si="67"/>
        <v>11</v>
      </c>
      <c r="C1061">
        <f t="shared" si="68"/>
        <v>45</v>
      </c>
      <c r="D1061" s="2">
        <f t="shared" si="69"/>
        <v>45964</v>
      </c>
      <c r="E1061" s="1">
        <v>45964.416666666664</v>
      </c>
      <c r="F1061" t="s">
        <v>3413</v>
      </c>
      <c r="G1061" t="s">
        <v>36</v>
      </c>
      <c r="H1061">
        <v>464088</v>
      </c>
      <c r="I1061" t="s">
        <v>51</v>
      </c>
      <c r="J1061" t="s">
        <v>52</v>
      </c>
      <c r="M1061" t="s">
        <v>40</v>
      </c>
      <c r="N1061" t="s">
        <v>41</v>
      </c>
      <c r="O1061" t="s">
        <v>433</v>
      </c>
      <c r="P1061">
        <v>33</v>
      </c>
      <c r="Q1061">
        <v>0</v>
      </c>
      <c r="R1061">
        <v>0</v>
      </c>
      <c r="S1061">
        <v>0</v>
      </c>
      <c r="T1061" t="s">
        <v>54</v>
      </c>
      <c r="U1061" t="s">
        <v>55</v>
      </c>
      <c r="W1061" t="s">
        <v>3414</v>
      </c>
      <c r="Y1061">
        <v>0</v>
      </c>
      <c r="AA1061" t="s">
        <v>40</v>
      </c>
      <c r="AB1061" t="s">
        <v>46</v>
      </c>
      <c r="AC1061" t="s">
        <v>47</v>
      </c>
      <c r="AG1061" t="s">
        <v>3415</v>
      </c>
      <c r="AJ1061" t="s">
        <v>40</v>
      </c>
      <c r="AK1061">
        <v>5019314365</v>
      </c>
      <c r="AO1061" s="1">
        <v>45964</v>
      </c>
      <c r="AP1061" s="5">
        <v>0.41666666666666669</v>
      </c>
      <c r="AS1061">
        <v>1</v>
      </c>
    </row>
    <row r="1062" spans="1:45" x14ac:dyDescent="0.2">
      <c r="A1062">
        <f t="shared" si="66"/>
        <v>2025</v>
      </c>
      <c r="B1062">
        <f t="shared" si="67"/>
        <v>11</v>
      </c>
      <c r="C1062">
        <f t="shared" si="68"/>
        <v>45</v>
      </c>
      <c r="D1062" s="2">
        <f t="shared" si="69"/>
        <v>45964</v>
      </c>
      <c r="E1062" s="1">
        <v>45964.416666666664</v>
      </c>
      <c r="F1062" t="s">
        <v>3416</v>
      </c>
      <c r="G1062" t="s">
        <v>36</v>
      </c>
      <c r="H1062" t="s">
        <v>111</v>
      </c>
      <c r="I1062" t="s">
        <v>38</v>
      </c>
      <c r="J1062" t="s">
        <v>112</v>
      </c>
      <c r="M1062" t="s">
        <v>40</v>
      </c>
      <c r="N1062" t="s">
        <v>41</v>
      </c>
      <c r="O1062" t="s">
        <v>42</v>
      </c>
      <c r="P1062">
        <v>23</v>
      </c>
      <c r="Q1062">
        <v>0</v>
      </c>
      <c r="R1062">
        <v>0</v>
      </c>
      <c r="S1062">
        <v>0</v>
      </c>
      <c r="T1062" t="s">
        <v>3417</v>
      </c>
      <c r="U1062" t="s">
        <v>44</v>
      </c>
      <c r="W1062" t="s">
        <v>3363</v>
      </c>
      <c r="Y1062">
        <v>0</v>
      </c>
      <c r="AA1062" t="s">
        <v>40</v>
      </c>
      <c r="AB1062" t="s">
        <v>46</v>
      </c>
      <c r="AC1062" t="s">
        <v>47</v>
      </c>
      <c r="AF1062" t="s">
        <v>48</v>
      </c>
      <c r="AJ1062" t="s">
        <v>40</v>
      </c>
      <c r="AK1062" t="s">
        <v>49</v>
      </c>
      <c r="AO1062" s="1">
        <v>45964</v>
      </c>
      <c r="AP1062" s="5">
        <v>0.41666666666666669</v>
      </c>
      <c r="AS1062">
        <v>1</v>
      </c>
    </row>
    <row r="1063" spans="1:45" x14ac:dyDescent="0.2">
      <c r="A1063">
        <f t="shared" si="66"/>
        <v>2025</v>
      </c>
      <c r="B1063">
        <f t="shared" si="67"/>
        <v>11</v>
      </c>
      <c r="C1063">
        <f t="shared" si="68"/>
        <v>45</v>
      </c>
      <c r="D1063" s="2">
        <f t="shared" si="69"/>
        <v>45964</v>
      </c>
      <c r="E1063" s="1">
        <v>45964.458333333336</v>
      </c>
      <c r="F1063" t="s">
        <v>3418</v>
      </c>
      <c r="G1063" t="s">
        <v>36</v>
      </c>
      <c r="H1063" t="s">
        <v>111</v>
      </c>
      <c r="I1063" t="s">
        <v>38</v>
      </c>
      <c r="J1063" t="s">
        <v>112</v>
      </c>
      <c r="M1063" t="s">
        <v>40</v>
      </c>
      <c r="N1063" t="s">
        <v>41</v>
      </c>
      <c r="O1063" t="s">
        <v>42</v>
      </c>
      <c r="P1063">
        <v>23</v>
      </c>
      <c r="Q1063">
        <v>0</v>
      </c>
      <c r="R1063">
        <v>0</v>
      </c>
      <c r="S1063">
        <v>0</v>
      </c>
      <c r="T1063" t="s">
        <v>3419</v>
      </c>
      <c r="U1063" t="s">
        <v>44</v>
      </c>
      <c r="W1063" t="s">
        <v>3363</v>
      </c>
      <c r="Y1063">
        <v>0</v>
      </c>
      <c r="AA1063" t="s">
        <v>40</v>
      </c>
      <c r="AB1063" t="s">
        <v>46</v>
      </c>
      <c r="AC1063" t="s">
        <v>47</v>
      </c>
      <c r="AF1063" t="s">
        <v>48</v>
      </c>
      <c r="AJ1063" t="s">
        <v>40</v>
      </c>
      <c r="AK1063" t="s">
        <v>49</v>
      </c>
      <c r="AO1063" s="1">
        <v>45964</v>
      </c>
      <c r="AP1063" s="5">
        <v>0.45833333333333331</v>
      </c>
      <c r="AS1063">
        <v>1</v>
      </c>
    </row>
    <row r="1064" spans="1:45" x14ac:dyDescent="0.2">
      <c r="A1064">
        <f t="shared" si="66"/>
        <v>2025</v>
      </c>
      <c r="B1064">
        <f t="shared" si="67"/>
        <v>11</v>
      </c>
      <c r="C1064">
        <f t="shared" si="68"/>
        <v>45</v>
      </c>
      <c r="D1064" s="2">
        <f t="shared" si="69"/>
        <v>45964</v>
      </c>
      <c r="E1064" s="1">
        <v>45964.458333333336</v>
      </c>
      <c r="F1064" t="s">
        <v>3420</v>
      </c>
      <c r="G1064" t="s">
        <v>36</v>
      </c>
      <c r="H1064" t="s">
        <v>111</v>
      </c>
      <c r="I1064" t="s">
        <v>38</v>
      </c>
      <c r="J1064" t="s">
        <v>112</v>
      </c>
      <c r="M1064" t="s">
        <v>40</v>
      </c>
      <c r="N1064" t="s">
        <v>41</v>
      </c>
      <c r="O1064" t="s">
        <v>42</v>
      </c>
      <c r="P1064">
        <v>25</v>
      </c>
      <c r="Q1064">
        <v>0</v>
      </c>
      <c r="R1064">
        <v>0</v>
      </c>
      <c r="S1064">
        <v>0</v>
      </c>
      <c r="T1064" t="s">
        <v>3421</v>
      </c>
      <c r="U1064" t="s">
        <v>44</v>
      </c>
      <c r="W1064" t="s">
        <v>3363</v>
      </c>
      <c r="Y1064">
        <v>0</v>
      </c>
      <c r="AA1064" t="s">
        <v>40</v>
      </c>
      <c r="AB1064" t="s">
        <v>46</v>
      </c>
      <c r="AC1064" t="s">
        <v>47</v>
      </c>
      <c r="AF1064" t="s">
        <v>48</v>
      </c>
      <c r="AJ1064" t="s">
        <v>40</v>
      </c>
      <c r="AK1064" t="s">
        <v>49</v>
      </c>
      <c r="AO1064" s="1">
        <v>45964</v>
      </c>
      <c r="AP1064" s="5">
        <v>0.45833333333333331</v>
      </c>
      <c r="AS1064">
        <v>1</v>
      </c>
    </row>
    <row r="1065" spans="1:45" x14ac:dyDescent="0.2">
      <c r="A1065">
        <f t="shared" si="66"/>
        <v>2025</v>
      </c>
      <c r="B1065">
        <f t="shared" si="67"/>
        <v>11</v>
      </c>
      <c r="C1065">
        <f t="shared" si="68"/>
        <v>45</v>
      </c>
      <c r="D1065" s="2">
        <f t="shared" si="69"/>
        <v>45964</v>
      </c>
      <c r="E1065" s="1">
        <v>45964.458333333336</v>
      </c>
      <c r="F1065" t="s">
        <v>3422</v>
      </c>
      <c r="G1065" t="s">
        <v>36</v>
      </c>
      <c r="H1065">
        <v>467325</v>
      </c>
      <c r="I1065" t="s">
        <v>51</v>
      </c>
      <c r="J1065" t="s">
        <v>52</v>
      </c>
      <c r="M1065" t="s">
        <v>40</v>
      </c>
      <c r="N1065" t="s">
        <v>41</v>
      </c>
      <c r="O1065" t="s">
        <v>53</v>
      </c>
      <c r="P1065">
        <v>33</v>
      </c>
      <c r="Q1065">
        <v>0</v>
      </c>
      <c r="R1065">
        <v>0</v>
      </c>
      <c r="S1065">
        <v>0</v>
      </c>
      <c r="T1065" t="s">
        <v>54</v>
      </c>
      <c r="U1065" t="s">
        <v>55</v>
      </c>
      <c r="W1065" t="s">
        <v>2876</v>
      </c>
      <c r="Y1065">
        <v>0</v>
      </c>
      <c r="AA1065" t="s">
        <v>40</v>
      </c>
      <c r="AB1065" t="s">
        <v>46</v>
      </c>
      <c r="AC1065" t="s">
        <v>47</v>
      </c>
      <c r="AG1065" t="s">
        <v>3423</v>
      </c>
      <c r="AJ1065" t="s">
        <v>40</v>
      </c>
      <c r="AK1065">
        <v>5019318600</v>
      </c>
      <c r="AO1065" s="1">
        <v>45964</v>
      </c>
      <c r="AP1065" s="5">
        <v>0.45833333333333331</v>
      </c>
      <c r="AS1065">
        <v>1</v>
      </c>
    </row>
    <row r="1066" spans="1:45" x14ac:dyDescent="0.2">
      <c r="A1066">
        <f t="shared" si="66"/>
        <v>2025</v>
      </c>
      <c r="B1066">
        <f t="shared" si="67"/>
        <v>11</v>
      </c>
      <c r="C1066">
        <f t="shared" si="68"/>
        <v>45</v>
      </c>
      <c r="D1066" s="2">
        <f t="shared" si="69"/>
        <v>45964</v>
      </c>
      <c r="E1066" s="1">
        <v>45964.5</v>
      </c>
      <c r="F1066" t="s">
        <v>3424</v>
      </c>
      <c r="G1066" t="s">
        <v>36</v>
      </c>
      <c r="H1066" t="s">
        <v>111</v>
      </c>
      <c r="I1066" t="s">
        <v>38</v>
      </c>
      <c r="J1066" t="s">
        <v>99</v>
      </c>
      <c r="M1066" t="s">
        <v>40</v>
      </c>
      <c r="N1066" t="s">
        <v>41</v>
      </c>
      <c r="O1066" t="s">
        <v>42</v>
      </c>
      <c r="P1066">
        <v>24</v>
      </c>
      <c r="Q1066">
        <v>0</v>
      </c>
      <c r="R1066">
        <v>0</v>
      </c>
      <c r="S1066">
        <v>0</v>
      </c>
      <c r="T1066" t="s">
        <v>3425</v>
      </c>
      <c r="U1066" t="s">
        <v>44</v>
      </c>
      <c r="W1066" t="s">
        <v>3363</v>
      </c>
      <c r="Y1066">
        <v>0</v>
      </c>
      <c r="AA1066" t="s">
        <v>40</v>
      </c>
      <c r="AB1066" t="s">
        <v>46</v>
      </c>
      <c r="AC1066" t="s">
        <v>47</v>
      </c>
      <c r="AF1066" t="s">
        <v>48</v>
      </c>
      <c r="AJ1066" t="s">
        <v>40</v>
      </c>
      <c r="AK1066" t="s">
        <v>49</v>
      </c>
      <c r="AO1066" s="1">
        <v>45964</v>
      </c>
      <c r="AP1066" s="5">
        <v>0.5</v>
      </c>
      <c r="AS1066">
        <v>1</v>
      </c>
    </row>
    <row r="1067" spans="1:45" x14ac:dyDescent="0.2">
      <c r="A1067">
        <f t="shared" si="66"/>
        <v>2025</v>
      </c>
      <c r="B1067">
        <f t="shared" si="67"/>
        <v>11</v>
      </c>
      <c r="C1067">
        <f t="shared" si="68"/>
        <v>45</v>
      </c>
      <c r="D1067" s="2">
        <f t="shared" si="69"/>
        <v>45964</v>
      </c>
      <c r="E1067" s="1">
        <v>45964.5</v>
      </c>
      <c r="F1067" t="s">
        <v>3426</v>
      </c>
      <c r="G1067" t="s">
        <v>36</v>
      </c>
      <c r="H1067">
        <v>464081</v>
      </c>
      <c r="I1067" t="s">
        <v>51</v>
      </c>
      <c r="J1067" t="s">
        <v>144</v>
      </c>
      <c r="M1067" t="s">
        <v>40</v>
      </c>
      <c r="N1067" t="s">
        <v>41</v>
      </c>
      <c r="O1067" t="s">
        <v>172</v>
      </c>
      <c r="P1067">
        <v>33</v>
      </c>
      <c r="Q1067">
        <v>0</v>
      </c>
      <c r="R1067">
        <v>0</v>
      </c>
      <c r="S1067">
        <v>0</v>
      </c>
      <c r="T1067" t="s">
        <v>54</v>
      </c>
      <c r="U1067" t="s">
        <v>55</v>
      </c>
      <c r="W1067" t="s">
        <v>3427</v>
      </c>
      <c r="X1067" t="s">
        <v>3428</v>
      </c>
      <c r="Y1067">
        <v>0</v>
      </c>
      <c r="AA1067" t="s">
        <v>40</v>
      </c>
      <c r="AB1067" t="s">
        <v>46</v>
      </c>
      <c r="AC1067" t="s">
        <v>47</v>
      </c>
      <c r="AG1067" t="s">
        <v>3429</v>
      </c>
      <c r="AJ1067" t="s">
        <v>40</v>
      </c>
      <c r="AK1067">
        <v>5019309854</v>
      </c>
      <c r="AL1067" t="s">
        <v>3430</v>
      </c>
      <c r="AM1067" t="s">
        <v>3431</v>
      </c>
      <c r="AO1067" s="1">
        <v>45964</v>
      </c>
      <c r="AP1067" s="5">
        <v>0.5</v>
      </c>
      <c r="AS1067">
        <v>1</v>
      </c>
    </row>
    <row r="1068" spans="1:45" x14ac:dyDescent="0.2">
      <c r="A1068">
        <f t="shared" si="66"/>
        <v>2025</v>
      </c>
      <c r="B1068">
        <f t="shared" si="67"/>
        <v>11</v>
      </c>
      <c r="C1068">
        <f t="shared" si="68"/>
        <v>45</v>
      </c>
      <c r="D1068" s="2">
        <f t="shared" si="69"/>
        <v>45964</v>
      </c>
      <c r="E1068" s="1">
        <v>45964.5</v>
      </c>
      <c r="F1068" t="s">
        <v>3432</v>
      </c>
      <c r="G1068" t="s">
        <v>36</v>
      </c>
      <c r="H1068">
        <v>464127</v>
      </c>
      <c r="I1068" t="s">
        <v>51</v>
      </c>
      <c r="J1068" t="s">
        <v>144</v>
      </c>
      <c r="M1068" t="s">
        <v>40</v>
      </c>
      <c r="N1068" t="s">
        <v>41</v>
      </c>
      <c r="O1068" t="s">
        <v>172</v>
      </c>
      <c r="P1068">
        <v>33</v>
      </c>
      <c r="Q1068">
        <v>0</v>
      </c>
      <c r="R1068">
        <v>0</v>
      </c>
      <c r="S1068">
        <v>0</v>
      </c>
      <c r="T1068" t="s">
        <v>54</v>
      </c>
      <c r="U1068" t="s">
        <v>55</v>
      </c>
      <c r="W1068" t="s">
        <v>3433</v>
      </c>
      <c r="X1068" t="s">
        <v>3434</v>
      </c>
      <c r="Y1068">
        <v>0</v>
      </c>
      <c r="AA1068" t="s">
        <v>40</v>
      </c>
      <c r="AB1068" t="s">
        <v>46</v>
      </c>
      <c r="AC1068" t="s">
        <v>47</v>
      </c>
      <c r="AG1068" t="s">
        <v>3435</v>
      </c>
      <c r="AJ1068" t="s">
        <v>40</v>
      </c>
      <c r="AK1068">
        <v>5019319580</v>
      </c>
      <c r="AL1068" t="s">
        <v>3436</v>
      </c>
      <c r="AM1068" t="s">
        <v>3437</v>
      </c>
      <c r="AO1068" s="1">
        <v>45964</v>
      </c>
      <c r="AP1068" s="5">
        <v>0.5</v>
      </c>
      <c r="AS1068">
        <v>1</v>
      </c>
    </row>
    <row r="1069" spans="1:45" x14ac:dyDescent="0.2">
      <c r="A1069">
        <f t="shared" si="66"/>
        <v>2025</v>
      </c>
      <c r="B1069">
        <f t="shared" si="67"/>
        <v>11</v>
      </c>
      <c r="C1069">
        <f t="shared" si="68"/>
        <v>45</v>
      </c>
      <c r="D1069" s="2">
        <f t="shared" si="69"/>
        <v>45964</v>
      </c>
      <c r="E1069" s="1">
        <v>45964.541666666664</v>
      </c>
      <c r="F1069" t="s">
        <v>3438</v>
      </c>
      <c r="G1069" t="s">
        <v>36</v>
      </c>
      <c r="H1069" t="s">
        <v>3439</v>
      </c>
      <c r="I1069" t="s">
        <v>218</v>
      </c>
      <c r="J1069" t="s">
        <v>144</v>
      </c>
      <c r="M1069" t="s">
        <v>40</v>
      </c>
      <c r="N1069" t="s">
        <v>41</v>
      </c>
      <c r="O1069" t="s">
        <v>2123</v>
      </c>
      <c r="P1069">
        <v>99</v>
      </c>
      <c r="Q1069">
        <v>0</v>
      </c>
      <c r="R1069">
        <v>0</v>
      </c>
      <c r="S1069">
        <v>0</v>
      </c>
      <c r="T1069" t="s">
        <v>54</v>
      </c>
      <c r="U1069" t="s">
        <v>55</v>
      </c>
      <c r="W1069" t="s">
        <v>3440</v>
      </c>
      <c r="Y1069">
        <v>0</v>
      </c>
      <c r="AA1069" t="s">
        <v>40</v>
      </c>
      <c r="AB1069" t="s">
        <v>46</v>
      </c>
      <c r="AC1069" t="s">
        <v>47</v>
      </c>
      <c r="AD1069" t="s">
        <v>223</v>
      </c>
      <c r="AE1069" t="s">
        <v>223</v>
      </c>
      <c r="AG1069" t="s">
        <v>3441</v>
      </c>
      <c r="AJ1069" t="s">
        <v>40</v>
      </c>
      <c r="AK1069" t="s">
        <v>3442</v>
      </c>
      <c r="AO1069" s="1">
        <v>45964</v>
      </c>
      <c r="AP1069" s="5">
        <v>0.54166666666666663</v>
      </c>
      <c r="AS1069">
        <v>1</v>
      </c>
    </row>
    <row r="1070" spans="1:45" x14ac:dyDescent="0.2">
      <c r="A1070">
        <f t="shared" si="66"/>
        <v>2025</v>
      </c>
      <c r="B1070">
        <f t="shared" si="67"/>
        <v>11</v>
      </c>
      <c r="C1070">
        <f t="shared" si="68"/>
        <v>45</v>
      </c>
      <c r="D1070" s="2">
        <f t="shared" si="69"/>
        <v>45964</v>
      </c>
      <c r="E1070" s="1">
        <v>45964.541666666664</v>
      </c>
      <c r="F1070" t="s">
        <v>3443</v>
      </c>
      <c r="G1070" t="s">
        <v>36</v>
      </c>
      <c r="H1070" t="s">
        <v>111</v>
      </c>
      <c r="I1070" t="s">
        <v>38</v>
      </c>
      <c r="J1070" t="s">
        <v>112</v>
      </c>
      <c r="M1070" t="s">
        <v>40</v>
      </c>
      <c r="N1070" t="s">
        <v>41</v>
      </c>
      <c r="O1070" t="s">
        <v>42</v>
      </c>
      <c r="P1070">
        <v>23</v>
      </c>
      <c r="Q1070">
        <v>0</v>
      </c>
      <c r="R1070">
        <v>0</v>
      </c>
      <c r="S1070">
        <v>0</v>
      </c>
      <c r="T1070" t="s">
        <v>3444</v>
      </c>
      <c r="U1070" t="s">
        <v>44</v>
      </c>
      <c r="W1070" t="s">
        <v>3363</v>
      </c>
      <c r="Y1070">
        <v>0</v>
      </c>
      <c r="AA1070" t="s">
        <v>40</v>
      </c>
      <c r="AB1070" t="s">
        <v>46</v>
      </c>
      <c r="AC1070" t="s">
        <v>47</v>
      </c>
      <c r="AF1070" t="s">
        <v>48</v>
      </c>
      <c r="AJ1070" t="s">
        <v>40</v>
      </c>
      <c r="AK1070" t="s">
        <v>49</v>
      </c>
      <c r="AO1070" s="1">
        <v>45964</v>
      </c>
      <c r="AP1070" s="5">
        <v>0.54166666666666663</v>
      </c>
      <c r="AS1070">
        <v>1</v>
      </c>
    </row>
    <row r="1071" spans="1:45" x14ac:dyDescent="0.2">
      <c r="A1071">
        <f t="shared" si="66"/>
        <v>2025</v>
      </c>
      <c r="B1071">
        <f t="shared" si="67"/>
        <v>11</v>
      </c>
      <c r="C1071">
        <f t="shared" si="68"/>
        <v>45</v>
      </c>
      <c r="D1071" s="2">
        <f t="shared" si="69"/>
        <v>45964</v>
      </c>
      <c r="E1071" s="1">
        <v>45964.541666666664</v>
      </c>
      <c r="F1071" t="s">
        <v>3445</v>
      </c>
      <c r="G1071" t="s">
        <v>36</v>
      </c>
      <c r="H1071" t="s">
        <v>111</v>
      </c>
      <c r="I1071" t="s">
        <v>38</v>
      </c>
      <c r="J1071" t="s">
        <v>99</v>
      </c>
      <c r="M1071" t="s">
        <v>40</v>
      </c>
      <c r="N1071" t="s">
        <v>41</v>
      </c>
      <c r="O1071" t="s">
        <v>42</v>
      </c>
      <c r="P1071">
        <v>24</v>
      </c>
      <c r="Q1071">
        <v>0</v>
      </c>
      <c r="R1071">
        <v>0</v>
      </c>
      <c r="S1071">
        <v>0</v>
      </c>
      <c r="T1071" t="s">
        <v>3446</v>
      </c>
      <c r="U1071" t="s">
        <v>44</v>
      </c>
      <c r="W1071" t="s">
        <v>3363</v>
      </c>
      <c r="Y1071">
        <v>0</v>
      </c>
      <c r="AA1071" t="s">
        <v>40</v>
      </c>
      <c r="AB1071" t="s">
        <v>46</v>
      </c>
      <c r="AC1071" t="s">
        <v>47</v>
      </c>
      <c r="AF1071" t="s">
        <v>48</v>
      </c>
      <c r="AJ1071" t="s">
        <v>40</v>
      </c>
      <c r="AK1071" t="s">
        <v>49</v>
      </c>
      <c r="AO1071" s="1">
        <v>45964</v>
      </c>
      <c r="AP1071" s="5">
        <v>0.54166666666666663</v>
      </c>
      <c r="AS1071">
        <v>1</v>
      </c>
    </row>
    <row r="1072" spans="1:45" x14ac:dyDescent="0.2">
      <c r="A1072">
        <f t="shared" si="66"/>
        <v>2025</v>
      </c>
      <c r="B1072">
        <f t="shared" si="67"/>
        <v>11</v>
      </c>
      <c r="C1072">
        <f t="shared" si="68"/>
        <v>45</v>
      </c>
      <c r="D1072" s="2">
        <f t="shared" si="69"/>
        <v>45964</v>
      </c>
      <c r="E1072" s="1">
        <v>45964.583333333336</v>
      </c>
      <c r="F1072" t="s">
        <v>3447</v>
      </c>
      <c r="G1072" t="s">
        <v>36</v>
      </c>
      <c r="H1072" t="s">
        <v>111</v>
      </c>
      <c r="I1072" t="s">
        <v>38</v>
      </c>
      <c r="J1072" t="s">
        <v>112</v>
      </c>
      <c r="M1072" t="s">
        <v>40</v>
      </c>
      <c r="N1072" t="s">
        <v>41</v>
      </c>
      <c r="O1072" t="s">
        <v>42</v>
      </c>
      <c r="P1072">
        <v>23</v>
      </c>
      <c r="Q1072">
        <v>0</v>
      </c>
      <c r="R1072">
        <v>0</v>
      </c>
      <c r="S1072">
        <v>0</v>
      </c>
      <c r="T1072" t="s">
        <v>3448</v>
      </c>
      <c r="U1072" t="s">
        <v>44</v>
      </c>
      <c r="W1072" t="s">
        <v>3363</v>
      </c>
      <c r="Y1072">
        <v>0</v>
      </c>
      <c r="AA1072" t="s">
        <v>40</v>
      </c>
      <c r="AB1072" t="s">
        <v>46</v>
      </c>
      <c r="AC1072" t="s">
        <v>47</v>
      </c>
      <c r="AF1072" t="s">
        <v>48</v>
      </c>
      <c r="AJ1072" t="s">
        <v>40</v>
      </c>
      <c r="AK1072" t="s">
        <v>49</v>
      </c>
      <c r="AO1072" s="1">
        <v>45964</v>
      </c>
      <c r="AP1072" s="5">
        <v>0.58333333333333337</v>
      </c>
      <c r="AS1072">
        <v>1</v>
      </c>
    </row>
    <row r="1073" spans="1:45" x14ac:dyDescent="0.2">
      <c r="A1073">
        <f t="shared" si="66"/>
        <v>2025</v>
      </c>
      <c r="B1073">
        <f t="shared" si="67"/>
        <v>11</v>
      </c>
      <c r="C1073">
        <f t="shared" si="68"/>
        <v>45</v>
      </c>
      <c r="D1073" s="2">
        <f t="shared" si="69"/>
        <v>45964</v>
      </c>
      <c r="E1073" s="1">
        <v>45964.583333333336</v>
      </c>
      <c r="F1073" t="s">
        <v>3449</v>
      </c>
      <c r="G1073" t="s">
        <v>36</v>
      </c>
      <c r="H1073" t="s">
        <v>111</v>
      </c>
      <c r="I1073" t="s">
        <v>38</v>
      </c>
      <c r="J1073" t="s">
        <v>99</v>
      </c>
      <c r="M1073" t="s">
        <v>40</v>
      </c>
      <c r="N1073" t="s">
        <v>41</v>
      </c>
      <c r="O1073" t="s">
        <v>42</v>
      </c>
      <c r="P1073">
        <v>24</v>
      </c>
      <c r="Q1073">
        <v>0</v>
      </c>
      <c r="R1073">
        <v>0</v>
      </c>
      <c r="S1073">
        <v>0</v>
      </c>
      <c r="T1073" t="s">
        <v>3450</v>
      </c>
      <c r="U1073" t="s">
        <v>44</v>
      </c>
      <c r="W1073" t="s">
        <v>3363</v>
      </c>
      <c r="Y1073">
        <v>0</v>
      </c>
      <c r="AA1073" t="s">
        <v>40</v>
      </c>
      <c r="AB1073" t="s">
        <v>46</v>
      </c>
      <c r="AC1073" t="s">
        <v>47</v>
      </c>
      <c r="AF1073" t="s">
        <v>48</v>
      </c>
      <c r="AJ1073" t="s">
        <v>40</v>
      </c>
      <c r="AK1073" t="s">
        <v>49</v>
      </c>
      <c r="AO1073" s="1">
        <v>45964</v>
      </c>
      <c r="AP1073" s="5">
        <v>0.58333333333333337</v>
      </c>
      <c r="AS1073">
        <v>1</v>
      </c>
    </row>
    <row r="1074" spans="1:45" x14ac:dyDescent="0.2">
      <c r="A1074">
        <f t="shared" si="66"/>
        <v>2025</v>
      </c>
      <c r="B1074">
        <f t="shared" si="67"/>
        <v>11</v>
      </c>
      <c r="C1074">
        <f t="shared" si="68"/>
        <v>45</v>
      </c>
      <c r="D1074" s="2">
        <f t="shared" si="69"/>
        <v>45964</v>
      </c>
      <c r="E1074" s="1">
        <v>45964.583333333336</v>
      </c>
      <c r="F1074" t="s">
        <v>3451</v>
      </c>
      <c r="G1074" t="s">
        <v>36</v>
      </c>
      <c r="H1074">
        <v>464082</v>
      </c>
      <c r="I1074" t="s">
        <v>51</v>
      </c>
      <c r="J1074" t="s">
        <v>154</v>
      </c>
      <c r="M1074" t="s">
        <v>40</v>
      </c>
      <c r="N1074" t="s">
        <v>41</v>
      </c>
      <c r="O1074" t="s">
        <v>155</v>
      </c>
      <c r="P1074">
        <v>33</v>
      </c>
      <c r="Q1074">
        <v>0</v>
      </c>
      <c r="R1074">
        <v>0</v>
      </c>
      <c r="S1074">
        <v>0</v>
      </c>
      <c r="T1074" t="s">
        <v>54</v>
      </c>
      <c r="U1074" t="s">
        <v>55</v>
      </c>
      <c r="W1074" t="s">
        <v>3452</v>
      </c>
      <c r="Y1074">
        <v>0</v>
      </c>
      <c r="AA1074" t="s">
        <v>40</v>
      </c>
      <c r="AB1074" t="s">
        <v>46</v>
      </c>
      <c r="AC1074" t="s">
        <v>47</v>
      </c>
      <c r="AG1074" t="s">
        <v>3453</v>
      </c>
      <c r="AJ1074" t="s">
        <v>40</v>
      </c>
      <c r="AK1074">
        <v>5019305301</v>
      </c>
      <c r="AO1074" s="1">
        <v>45964</v>
      </c>
      <c r="AP1074" s="5">
        <v>0.58333333333333337</v>
      </c>
      <c r="AS1074">
        <v>1</v>
      </c>
    </row>
    <row r="1075" spans="1:45" x14ac:dyDescent="0.2">
      <c r="A1075">
        <f t="shared" si="66"/>
        <v>2025</v>
      </c>
      <c r="B1075">
        <f t="shared" si="67"/>
        <v>11</v>
      </c>
      <c r="C1075">
        <f t="shared" si="68"/>
        <v>45</v>
      </c>
      <c r="D1075" s="2">
        <f t="shared" si="69"/>
        <v>45964</v>
      </c>
      <c r="E1075" s="1">
        <v>45964.583333333336</v>
      </c>
      <c r="F1075" t="s">
        <v>3454</v>
      </c>
      <c r="G1075" t="s">
        <v>36</v>
      </c>
      <c r="H1075" t="s">
        <v>111</v>
      </c>
      <c r="I1075" t="s">
        <v>38</v>
      </c>
      <c r="J1075" t="s">
        <v>112</v>
      </c>
      <c r="M1075" t="s">
        <v>40</v>
      </c>
      <c r="N1075" t="s">
        <v>41</v>
      </c>
      <c r="O1075" t="s">
        <v>42</v>
      </c>
      <c r="P1075">
        <v>5</v>
      </c>
      <c r="Q1075">
        <v>0</v>
      </c>
      <c r="R1075">
        <v>0</v>
      </c>
      <c r="S1075">
        <v>0</v>
      </c>
      <c r="T1075" t="s">
        <v>3455</v>
      </c>
      <c r="U1075" t="s">
        <v>101</v>
      </c>
      <c r="W1075" t="s">
        <v>3363</v>
      </c>
      <c r="Y1075">
        <v>0</v>
      </c>
      <c r="AA1075" t="s">
        <v>40</v>
      </c>
      <c r="AB1075" t="s">
        <v>46</v>
      </c>
      <c r="AC1075" t="s">
        <v>47</v>
      </c>
      <c r="AF1075" t="s">
        <v>48</v>
      </c>
      <c r="AJ1075" t="s">
        <v>40</v>
      </c>
      <c r="AK1075" t="s">
        <v>49</v>
      </c>
      <c r="AO1075" s="1">
        <v>45964</v>
      </c>
      <c r="AP1075" s="5">
        <v>0.58333333333333337</v>
      </c>
      <c r="AS1075">
        <v>1</v>
      </c>
    </row>
    <row r="1076" spans="1:45" x14ac:dyDescent="0.2">
      <c r="A1076">
        <f t="shared" si="66"/>
        <v>2025</v>
      </c>
      <c r="B1076">
        <f t="shared" si="67"/>
        <v>11</v>
      </c>
      <c r="C1076">
        <f t="shared" si="68"/>
        <v>45</v>
      </c>
      <c r="D1076" s="2">
        <f t="shared" si="69"/>
        <v>45964</v>
      </c>
      <c r="E1076" s="1">
        <v>45964.625</v>
      </c>
      <c r="F1076" t="s">
        <v>3456</v>
      </c>
      <c r="G1076" t="s">
        <v>36</v>
      </c>
      <c r="H1076" t="s">
        <v>239</v>
      </c>
      <c r="I1076" t="s">
        <v>38</v>
      </c>
      <c r="J1076" t="s">
        <v>240</v>
      </c>
      <c r="M1076" t="s">
        <v>40</v>
      </c>
      <c r="N1076" t="s">
        <v>41</v>
      </c>
      <c r="O1076" t="s">
        <v>42</v>
      </c>
      <c r="P1076">
        <v>30</v>
      </c>
      <c r="Q1076">
        <v>0</v>
      </c>
      <c r="R1076">
        <v>0</v>
      </c>
      <c r="S1076">
        <v>0</v>
      </c>
      <c r="T1076" t="s">
        <v>3457</v>
      </c>
      <c r="U1076" t="s">
        <v>44</v>
      </c>
      <c r="W1076" t="s">
        <v>3396</v>
      </c>
      <c r="Y1076">
        <v>0</v>
      </c>
      <c r="AA1076" t="s">
        <v>40</v>
      </c>
      <c r="AB1076" t="s">
        <v>46</v>
      </c>
      <c r="AC1076" t="s">
        <v>47</v>
      </c>
      <c r="AF1076" t="s">
        <v>242</v>
      </c>
      <c r="AJ1076" t="s">
        <v>40</v>
      </c>
      <c r="AK1076" t="s">
        <v>49</v>
      </c>
      <c r="AO1076" s="1">
        <v>45964</v>
      </c>
      <c r="AP1076" s="5">
        <v>0.625</v>
      </c>
      <c r="AS1076">
        <v>1</v>
      </c>
    </row>
    <row r="1077" spans="1:45" x14ac:dyDescent="0.2">
      <c r="A1077">
        <f t="shared" si="66"/>
        <v>2025</v>
      </c>
      <c r="B1077">
        <f t="shared" si="67"/>
        <v>11</v>
      </c>
      <c r="C1077">
        <f t="shared" si="68"/>
        <v>45</v>
      </c>
      <c r="D1077" s="2">
        <f t="shared" si="69"/>
        <v>45964</v>
      </c>
      <c r="E1077" s="1">
        <v>45964.625</v>
      </c>
      <c r="F1077" t="s">
        <v>3458</v>
      </c>
      <c r="G1077" t="s">
        <v>36</v>
      </c>
      <c r="H1077">
        <v>464083</v>
      </c>
      <c r="I1077" t="s">
        <v>51</v>
      </c>
      <c r="J1077" t="s">
        <v>154</v>
      </c>
      <c r="M1077" t="s">
        <v>40</v>
      </c>
      <c r="N1077" t="s">
        <v>41</v>
      </c>
      <c r="O1077" t="s">
        <v>155</v>
      </c>
      <c r="P1077">
        <v>33</v>
      </c>
      <c r="Q1077">
        <v>0</v>
      </c>
      <c r="R1077">
        <v>0</v>
      </c>
      <c r="S1077">
        <v>0</v>
      </c>
      <c r="T1077" t="s">
        <v>54</v>
      </c>
      <c r="U1077" t="s">
        <v>55</v>
      </c>
      <c r="W1077" t="s">
        <v>3452</v>
      </c>
      <c r="Y1077">
        <v>0</v>
      </c>
      <c r="AA1077" t="s">
        <v>40</v>
      </c>
      <c r="AB1077" t="s">
        <v>46</v>
      </c>
      <c r="AC1077" t="s">
        <v>47</v>
      </c>
      <c r="AG1077" t="s">
        <v>3459</v>
      </c>
      <c r="AJ1077" t="s">
        <v>40</v>
      </c>
      <c r="AK1077">
        <v>5019315562</v>
      </c>
      <c r="AO1077" s="1">
        <v>45964</v>
      </c>
      <c r="AP1077" s="5">
        <v>0.625</v>
      </c>
      <c r="AS1077">
        <v>1</v>
      </c>
    </row>
    <row r="1078" spans="1:45" x14ac:dyDescent="0.2">
      <c r="A1078">
        <f t="shared" si="66"/>
        <v>2025</v>
      </c>
      <c r="B1078">
        <f t="shared" si="67"/>
        <v>11</v>
      </c>
      <c r="C1078">
        <f t="shared" si="68"/>
        <v>45</v>
      </c>
      <c r="D1078" s="2">
        <f t="shared" si="69"/>
        <v>45964</v>
      </c>
      <c r="E1078" s="1">
        <v>45964.625</v>
      </c>
      <c r="F1078" t="s">
        <v>3460</v>
      </c>
      <c r="G1078" t="s">
        <v>36</v>
      </c>
      <c r="H1078" t="s">
        <v>111</v>
      </c>
      <c r="I1078" t="s">
        <v>38</v>
      </c>
      <c r="J1078" t="s">
        <v>99</v>
      </c>
      <c r="M1078" t="s">
        <v>40</v>
      </c>
      <c r="N1078" t="s">
        <v>41</v>
      </c>
      <c r="O1078" t="s">
        <v>42</v>
      </c>
      <c r="P1078">
        <v>24</v>
      </c>
      <c r="Q1078">
        <v>0</v>
      </c>
      <c r="R1078">
        <v>0</v>
      </c>
      <c r="S1078">
        <v>0</v>
      </c>
      <c r="T1078" t="s">
        <v>3461</v>
      </c>
      <c r="U1078" t="s">
        <v>44</v>
      </c>
      <c r="W1078" t="s">
        <v>3363</v>
      </c>
      <c r="Y1078">
        <v>0</v>
      </c>
      <c r="AA1078" t="s">
        <v>40</v>
      </c>
      <c r="AB1078" t="s">
        <v>46</v>
      </c>
      <c r="AC1078" t="s">
        <v>47</v>
      </c>
      <c r="AF1078" t="s">
        <v>48</v>
      </c>
      <c r="AJ1078" t="s">
        <v>40</v>
      </c>
      <c r="AK1078" t="s">
        <v>49</v>
      </c>
      <c r="AO1078" s="1">
        <v>45964</v>
      </c>
      <c r="AP1078" s="5">
        <v>0.625</v>
      </c>
      <c r="AS1078">
        <v>1</v>
      </c>
    </row>
    <row r="1079" spans="1:45" x14ac:dyDescent="0.2">
      <c r="A1079">
        <f t="shared" si="66"/>
        <v>2025</v>
      </c>
      <c r="B1079">
        <f t="shared" si="67"/>
        <v>11</v>
      </c>
      <c r="C1079">
        <f t="shared" si="68"/>
        <v>45</v>
      </c>
      <c r="D1079" s="2">
        <f t="shared" si="69"/>
        <v>45964</v>
      </c>
      <c r="E1079" s="1">
        <v>45964.625</v>
      </c>
      <c r="F1079" t="s">
        <v>3462</v>
      </c>
      <c r="G1079" t="s">
        <v>36</v>
      </c>
      <c r="H1079" t="s">
        <v>2015</v>
      </c>
      <c r="I1079" t="s">
        <v>38</v>
      </c>
      <c r="J1079" t="s">
        <v>451</v>
      </c>
      <c r="M1079" t="s">
        <v>40</v>
      </c>
      <c r="N1079" t="s">
        <v>41</v>
      </c>
      <c r="O1079" t="s">
        <v>42</v>
      </c>
      <c r="P1079">
        <v>3</v>
      </c>
      <c r="Q1079">
        <v>0</v>
      </c>
      <c r="R1079">
        <v>0</v>
      </c>
      <c r="S1079">
        <v>0</v>
      </c>
      <c r="T1079" t="s">
        <v>3463</v>
      </c>
      <c r="U1079" t="s">
        <v>101</v>
      </c>
      <c r="W1079" t="s">
        <v>3151</v>
      </c>
      <c r="Y1079">
        <v>0</v>
      </c>
      <c r="AA1079" t="s">
        <v>40</v>
      </c>
      <c r="AB1079" t="s">
        <v>46</v>
      </c>
      <c r="AC1079" t="s">
        <v>47</v>
      </c>
      <c r="AF1079" t="s">
        <v>454</v>
      </c>
      <c r="AJ1079" t="s">
        <v>40</v>
      </c>
      <c r="AK1079" t="s">
        <v>49</v>
      </c>
      <c r="AO1079" s="1">
        <v>45964</v>
      </c>
      <c r="AP1079" s="5">
        <v>0.625</v>
      </c>
      <c r="AS1079">
        <v>1</v>
      </c>
    </row>
    <row r="1080" spans="1:45" x14ac:dyDescent="0.2">
      <c r="A1080">
        <f t="shared" si="66"/>
        <v>2025</v>
      </c>
      <c r="B1080">
        <f t="shared" si="67"/>
        <v>11</v>
      </c>
      <c r="C1080">
        <f t="shared" si="68"/>
        <v>45</v>
      </c>
      <c r="D1080" s="2">
        <f t="shared" si="69"/>
        <v>45964</v>
      </c>
      <c r="E1080" s="1">
        <v>45964.666666666664</v>
      </c>
      <c r="F1080" t="s">
        <v>3464</v>
      </c>
      <c r="G1080" t="s">
        <v>36</v>
      </c>
      <c r="H1080">
        <v>464091</v>
      </c>
      <c r="I1080" t="s">
        <v>51</v>
      </c>
      <c r="J1080" t="s">
        <v>154</v>
      </c>
      <c r="M1080" t="s">
        <v>40</v>
      </c>
      <c r="N1080" t="s">
        <v>41</v>
      </c>
      <c r="O1080" t="s">
        <v>155</v>
      </c>
      <c r="P1080">
        <v>33</v>
      </c>
      <c r="Q1080">
        <v>0</v>
      </c>
      <c r="R1080">
        <v>0</v>
      </c>
      <c r="S1080">
        <v>0</v>
      </c>
      <c r="T1080" t="s">
        <v>54</v>
      </c>
      <c r="U1080" t="s">
        <v>55</v>
      </c>
      <c r="W1080" t="s">
        <v>3452</v>
      </c>
      <c r="Y1080">
        <v>0</v>
      </c>
      <c r="AA1080" t="s">
        <v>40</v>
      </c>
      <c r="AB1080" t="s">
        <v>46</v>
      </c>
      <c r="AC1080" t="s">
        <v>47</v>
      </c>
      <c r="AG1080" t="s">
        <v>3465</v>
      </c>
      <c r="AJ1080" t="s">
        <v>40</v>
      </c>
      <c r="AK1080">
        <v>5019313374</v>
      </c>
      <c r="AO1080" s="1">
        <v>45964</v>
      </c>
      <c r="AP1080" s="5">
        <v>0.66666666666666663</v>
      </c>
      <c r="AS1080">
        <v>1</v>
      </c>
    </row>
    <row r="1081" spans="1:45" x14ac:dyDescent="0.2">
      <c r="A1081">
        <f t="shared" si="66"/>
        <v>2025</v>
      </c>
      <c r="B1081">
        <f t="shared" si="67"/>
        <v>11</v>
      </c>
      <c r="C1081">
        <f t="shared" si="68"/>
        <v>45</v>
      </c>
      <c r="D1081" s="2">
        <f t="shared" si="69"/>
        <v>45964</v>
      </c>
      <c r="E1081" s="1">
        <v>45964.666666666664</v>
      </c>
      <c r="F1081" t="s">
        <v>3466</v>
      </c>
      <c r="G1081" t="s">
        <v>36</v>
      </c>
      <c r="H1081" t="s">
        <v>320</v>
      </c>
      <c r="I1081" t="s">
        <v>38</v>
      </c>
      <c r="J1081" t="s">
        <v>321</v>
      </c>
      <c r="M1081" t="s">
        <v>40</v>
      </c>
      <c r="N1081" t="s">
        <v>41</v>
      </c>
      <c r="O1081" t="s">
        <v>42</v>
      </c>
      <c r="P1081">
        <v>33</v>
      </c>
      <c r="Q1081">
        <v>0</v>
      </c>
      <c r="R1081">
        <v>0</v>
      </c>
      <c r="S1081">
        <v>0</v>
      </c>
      <c r="T1081" t="s">
        <v>3467</v>
      </c>
      <c r="U1081" t="s">
        <v>44</v>
      </c>
      <c r="W1081" t="s">
        <v>3396</v>
      </c>
      <c r="Y1081">
        <v>0</v>
      </c>
      <c r="AA1081" t="s">
        <v>40</v>
      </c>
      <c r="AB1081" t="s">
        <v>46</v>
      </c>
      <c r="AC1081" t="s">
        <v>47</v>
      </c>
      <c r="AF1081" t="s">
        <v>322</v>
      </c>
      <c r="AJ1081" t="s">
        <v>40</v>
      </c>
      <c r="AK1081" t="s">
        <v>49</v>
      </c>
      <c r="AO1081" s="1">
        <v>45964</v>
      </c>
      <c r="AP1081" s="5">
        <v>0.66666666666666663</v>
      </c>
      <c r="AS1081">
        <v>1</v>
      </c>
    </row>
    <row r="1082" spans="1:45" x14ac:dyDescent="0.2">
      <c r="A1082">
        <f t="shared" si="66"/>
        <v>2025</v>
      </c>
      <c r="B1082">
        <f t="shared" si="67"/>
        <v>11</v>
      </c>
      <c r="C1082">
        <f t="shared" si="68"/>
        <v>45</v>
      </c>
      <c r="D1082" s="2">
        <f t="shared" si="69"/>
        <v>45964</v>
      </c>
      <c r="E1082" s="1">
        <v>45964.666666666664</v>
      </c>
      <c r="F1082" t="s">
        <v>3468</v>
      </c>
      <c r="G1082" t="s">
        <v>36</v>
      </c>
      <c r="H1082">
        <v>464089</v>
      </c>
      <c r="I1082" t="s">
        <v>51</v>
      </c>
      <c r="J1082" t="s">
        <v>194</v>
      </c>
      <c r="M1082" t="s">
        <v>40</v>
      </c>
      <c r="N1082" t="s">
        <v>41</v>
      </c>
      <c r="O1082" t="s">
        <v>189</v>
      </c>
      <c r="P1082">
        <v>33</v>
      </c>
      <c r="Q1082">
        <v>0</v>
      </c>
      <c r="R1082">
        <v>0</v>
      </c>
      <c r="S1082">
        <v>0</v>
      </c>
      <c r="T1082" t="s">
        <v>54</v>
      </c>
      <c r="U1082" t="s">
        <v>55</v>
      </c>
      <c r="W1082" t="s">
        <v>3061</v>
      </c>
      <c r="Y1082">
        <v>0</v>
      </c>
      <c r="AA1082" t="s">
        <v>40</v>
      </c>
      <c r="AB1082" t="s">
        <v>46</v>
      </c>
      <c r="AC1082" t="s">
        <v>47</v>
      </c>
      <c r="AG1082" t="s">
        <v>3469</v>
      </c>
      <c r="AJ1082" t="s">
        <v>40</v>
      </c>
      <c r="AK1082">
        <v>5019294312</v>
      </c>
      <c r="AO1082" s="1">
        <v>45964</v>
      </c>
      <c r="AP1082" s="5">
        <v>0.66666666666666663</v>
      </c>
      <c r="AS1082">
        <v>1</v>
      </c>
    </row>
    <row r="1083" spans="1:45" x14ac:dyDescent="0.2">
      <c r="A1083">
        <f t="shared" si="66"/>
        <v>2025</v>
      </c>
      <c r="B1083">
        <f t="shared" si="67"/>
        <v>11</v>
      </c>
      <c r="C1083">
        <f t="shared" si="68"/>
        <v>45</v>
      </c>
      <c r="D1083" s="2">
        <f t="shared" si="69"/>
        <v>45964</v>
      </c>
      <c r="E1083" s="1">
        <v>45964.708333333336</v>
      </c>
      <c r="F1083" t="s">
        <v>3470</v>
      </c>
      <c r="G1083" t="s">
        <v>36</v>
      </c>
      <c r="H1083" t="s">
        <v>3471</v>
      </c>
      <c r="I1083" t="s">
        <v>78</v>
      </c>
      <c r="J1083" t="s">
        <v>194</v>
      </c>
      <c r="M1083" t="s">
        <v>40</v>
      </c>
      <c r="N1083" t="s">
        <v>41</v>
      </c>
      <c r="O1083" t="s">
        <v>195</v>
      </c>
      <c r="P1083">
        <v>66</v>
      </c>
      <c r="Q1083">
        <v>0</v>
      </c>
      <c r="R1083">
        <v>0</v>
      </c>
      <c r="S1083">
        <v>0</v>
      </c>
      <c r="T1083" t="s">
        <v>54</v>
      </c>
      <c r="U1083" t="s">
        <v>55</v>
      </c>
      <c r="W1083" t="s">
        <v>3472</v>
      </c>
      <c r="Y1083">
        <v>0</v>
      </c>
      <c r="AA1083" t="s">
        <v>40</v>
      </c>
      <c r="AB1083" t="s">
        <v>46</v>
      </c>
      <c r="AC1083" t="s">
        <v>47</v>
      </c>
      <c r="AD1083" t="s">
        <v>81</v>
      </c>
      <c r="AE1083" t="s">
        <v>81</v>
      </c>
      <c r="AG1083" t="s">
        <v>3473</v>
      </c>
      <c r="AJ1083" t="s">
        <v>40</v>
      </c>
      <c r="AK1083" t="s">
        <v>3474</v>
      </c>
      <c r="AO1083" s="1">
        <v>45964</v>
      </c>
      <c r="AP1083" s="5">
        <v>0.70833333333333337</v>
      </c>
      <c r="AS1083">
        <v>1</v>
      </c>
    </row>
    <row r="1084" spans="1:45" x14ac:dyDescent="0.2">
      <c r="A1084">
        <f t="shared" si="66"/>
        <v>2025</v>
      </c>
      <c r="B1084">
        <f t="shared" si="67"/>
        <v>11</v>
      </c>
      <c r="C1084">
        <f t="shared" si="68"/>
        <v>45</v>
      </c>
      <c r="D1084" s="2">
        <f t="shared" si="69"/>
        <v>45964</v>
      </c>
      <c r="E1084" s="1">
        <v>45964.708333333336</v>
      </c>
      <c r="F1084" t="s">
        <v>3475</v>
      </c>
      <c r="G1084" t="s">
        <v>36</v>
      </c>
      <c r="H1084">
        <v>464093</v>
      </c>
      <c r="I1084" t="s">
        <v>51</v>
      </c>
      <c r="J1084" t="s">
        <v>188</v>
      </c>
      <c r="M1084" t="s">
        <v>40</v>
      </c>
      <c r="N1084" t="s">
        <v>41</v>
      </c>
      <c r="O1084" t="s">
        <v>189</v>
      </c>
      <c r="P1084">
        <v>33</v>
      </c>
      <c r="Q1084">
        <v>0</v>
      </c>
      <c r="R1084">
        <v>0</v>
      </c>
      <c r="S1084">
        <v>0</v>
      </c>
      <c r="T1084" t="s">
        <v>54</v>
      </c>
      <c r="U1084" t="s">
        <v>55</v>
      </c>
      <c r="W1084" t="s">
        <v>3476</v>
      </c>
      <c r="Y1084">
        <v>0</v>
      </c>
      <c r="AA1084" t="s">
        <v>40</v>
      </c>
      <c r="AB1084" t="s">
        <v>46</v>
      </c>
      <c r="AC1084" t="s">
        <v>47</v>
      </c>
      <c r="AG1084" t="s">
        <v>3477</v>
      </c>
      <c r="AJ1084" t="s">
        <v>40</v>
      </c>
      <c r="AK1084">
        <v>5019295392</v>
      </c>
      <c r="AO1084" s="1">
        <v>45964</v>
      </c>
      <c r="AP1084" s="5">
        <v>0.70833333333333337</v>
      </c>
      <c r="AS1084">
        <v>1</v>
      </c>
    </row>
    <row r="1085" spans="1:45" x14ac:dyDescent="0.2">
      <c r="A1085">
        <f t="shared" si="66"/>
        <v>2025</v>
      </c>
      <c r="B1085">
        <f t="shared" si="67"/>
        <v>11</v>
      </c>
      <c r="C1085">
        <f t="shared" si="68"/>
        <v>45</v>
      </c>
      <c r="D1085" s="2">
        <f t="shared" si="69"/>
        <v>45964</v>
      </c>
      <c r="E1085" s="1">
        <v>45964.75</v>
      </c>
      <c r="F1085" t="s">
        <v>3478</v>
      </c>
      <c r="G1085" t="s">
        <v>36</v>
      </c>
      <c r="H1085" t="s">
        <v>3479</v>
      </c>
      <c r="I1085" t="s">
        <v>218</v>
      </c>
      <c r="J1085" t="s">
        <v>219</v>
      </c>
      <c r="M1085" t="s">
        <v>40</v>
      </c>
      <c r="N1085" t="s">
        <v>41</v>
      </c>
      <c r="O1085" t="s">
        <v>220</v>
      </c>
      <c r="P1085">
        <v>99</v>
      </c>
      <c r="Q1085">
        <v>0</v>
      </c>
      <c r="R1085">
        <v>0</v>
      </c>
      <c r="S1085">
        <v>0</v>
      </c>
      <c r="T1085" t="s">
        <v>54</v>
      </c>
      <c r="U1085" t="s">
        <v>55</v>
      </c>
      <c r="W1085" t="s">
        <v>3197</v>
      </c>
      <c r="X1085" t="s">
        <v>3480</v>
      </c>
      <c r="Y1085">
        <v>0</v>
      </c>
      <c r="AA1085" t="s">
        <v>40</v>
      </c>
      <c r="AB1085" t="s">
        <v>46</v>
      </c>
      <c r="AC1085" t="s">
        <v>47</v>
      </c>
      <c r="AD1085" t="s">
        <v>223</v>
      </c>
      <c r="AE1085" t="s">
        <v>223</v>
      </c>
      <c r="AG1085" t="s">
        <v>3481</v>
      </c>
      <c r="AJ1085" t="s">
        <v>40</v>
      </c>
      <c r="AK1085" t="s">
        <v>3482</v>
      </c>
      <c r="AL1085" t="s">
        <v>3483</v>
      </c>
      <c r="AM1085" t="s">
        <v>3484</v>
      </c>
      <c r="AO1085" s="1">
        <v>45964</v>
      </c>
      <c r="AP1085" s="5">
        <v>0.75</v>
      </c>
      <c r="AS1085">
        <v>1</v>
      </c>
    </row>
    <row r="1086" spans="1:45" x14ac:dyDescent="0.2">
      <c r="A1086">
        <f t="shared" si="66"/>
        <v>2025</v>
      </c>
      <c r="B1086">
        <f t="shared" si="67"/>
        <v>11</v>
      </c>
      <c r="C1086">
        <f t="shared" si="68"/>
        <v>45</v>
      </c>
      <c r="D1086" s="2">
        <f t="shared" si="69"/>
        <v>45964</v>
      </c>
      <c r="E1086" s="1">
        <v>45964.75</v>
      </c>
      <c r="F1086" t="s">
        <v>3485</v>
      </c>
      <c r="G1086" t="s">
        <v>36</v>
      </c>
      <c r="H1086">
        <v>464085</v>
      </c>
      <c r="I1086" t="s">
        <v>51</v>
      </c>
      <c r="J1086" t="s">
        <v>163</v>
      </c>
      <c r="M1086" t="s">
        <v>40</v>
      </c>
      <c r="N1086" t="s">
        <v>41</v>
      </c>
      <c r="O1086" t="s">
        <v>530</v>
      </c>
      <c r="P1086">
        <v>33</v>
      </c>
      <c r="Q1086">
        <v>0</v>
      </c>
      <c r="R1086">
        <v>0</v>
      </c>
      <c r="S1086">
        <v>0</v>
      </c>
      <c r="T1086" t="s">
        <v>54</v>
      </c>
      <c r="U1086" t="s">
        <v>55</v>
      </c>
      <c r="W1086" t="s">
        <v>3433</v>
      </c>
      <c r="Y1086">
        <v>0</v>
      </c>
      <c r="AA1086" t="s">
        <v>40</v>
      </c>
      <c r="AB1086" t="s">
        <v>46</v>
      </c>
      <c r="AC1086" t="s">
        <v>47</v>
      </c>
      <c r="AG1086" t="s">
        <v>3486</v>
      </c>
      <c r="AJ1086" t="s">
        <v>40</v>
      </c>
      <c r="AK1086">
        <v>5019317641</v>
      </c>
      <c r="AO1086" s="1">
        <v>45964</v>
      </c>
      <c r="AP1086" s="5">
        <v>0.75</v>
      </c>
      <c r="AS1086">
        <v>1</v>
      </c>
    </row>
    <row r="1087" spans="1:45" x14ac:dyDescent="0.2">
      <c r="A1087">
        <f t="shared" si="66"/>
        <v>2025</v>
      </c>
      <c r="B1087">
        <f t="shared" si="67"/>
        <v>11</v>
      </c>
      <c r="C1087">
        <f t="shared" si="68"/>
        <v>45</v>
      </c>
      <c r="D1087" s="2">
        <f t="shared" si="69"/>
        <v>45964</v>
      </c>
      <c r="E1087" s="1">
        <v>45964.75</v>
      </c>
      <c r="F1087" t="s">
        <v>3487</v>
      </c>
      <c r="G1087" t="s">
        <v>36</v>
      </c>
      <c r="H1087" t="s">
        <v>3488</v>
      </c>
      <c r="I1087" t="s">
        <v>78</v>
      </c>
      <c r="J1087" t="s">
        <v>194</v>
      </c>
      <c r="M1087" t="s">
        <v>40</v>
      </c>
      <c r="N1087" t="s">
        <v>41</v>
      </c>
      <c r="O1087" t="s">
        <v>3489</v>
      </c>
      <c r="P1087">
        <v>66</v>
      </c>
      <c r="Q1087">
        <v>0</v>
      </c>
      <c r="R1087">
        <v>0</v>
      </c>
      <c r="S1087">
        <v>0</v>
      </c>
      <c r="T1087" t="s">
        <v>54</v>
      </c>
      <c r="U1087" t="s">
        <v>55</v>
      </c>
      <c r="W1087" t="s">
        <v>3490</v>
      </c>
      <c r="Y1087">
        <v>0</v>
      </c>
      <c r="AA1087" t="s">
        <v>40</v>
      </c>
      <c r="AB1087" t="s">
        <v>46</v>
      </c>
      <c r="AC1087" t="s">
        <v>47</v>
      </c>
      <c r="AD1087" t="s">
        <v>81</v>
      </c>
      <c r="AE1087" t="s">
        <v>81</v>
      </c>
      <c r="AG1087" t="s">
        <v>3491</v>
      </c>
      <c r="AJ1087" t="s">
        <v>40</v>
      </c>
      <c r="AK1087" t="s">
        <v>3492</v>
      </c>
      <c r="AO1087" s="1">
        <v>45964</v>
      </c>
      <c r="AP1087" s="5">
        <v>0.75</v>
      </c>
      <c r="AS1087">
        <v>1</v>
      </c>
    </row>
    <row r="1088" spans="1:45" x14ac:dyDescent="0.2">
      <c r="A1088">
        <f t="shared" si="66"/>
        <v>2025</v>
      </c>
      <c r="B1088">
        <f t="shared" si="67"/>
        <v>11</v>
      </c>
      <c r="C1088">
        <f t="shared" si="68"/>
        <v>45</v>
      </c>
      <c r="D1088" s="2">
        <f t="shared" si="69"/>
        <v>45964</v>
      </c>
      <c r="E1088" s="1">
        <v>45964.791666666664</v>
      </c>
      <c r="F1088" t="s">
        <v>3493</v>
      </c>
      <c r="G1088" t="s">
        <v>36</v>
      </c>
      <c r="H1088">
        <v>464078</v>
      </c>
      <c r="I1088" t="s">
        <v>51</v>
      </c>
      <c r="J1088" t="s">
        <v>200</v>
      </c>
      <c r="M1088" t="s">
        <v>40</v>
      </c>
      <c r="N1088" t="s">
        <v>41</v>
      </c>
      <c r="O1088" t="s">
        <v>182</v>
      </c>
      <c r="P1088">
        <v>33</v>
      </c>
      <c r="Q1088">
        <v>0</v>
      </c>
      <c r="R1088">
        <v>0</v>
      </c>
      <c r="S1088">
        <v>0</v>
      </c>
      <c r="T1088" t="s">
        <v>54</v>
      </c>
      <c r="U1088" t="s">
        <v>55</v>
      </c>
      <c r="W1088" t="s">
        <v>3440</v>
      </c>
      <c r="Y1088">
        <v>0</v>
      </c>
      <c r="AA1088" t="s">
        <v>40</v>
      </c>
      <c r="AB1088" t="s">
        <v>46</v>
      </c>
      <c r="AC1088" t="s">
        <v>47</v>
      </c>
      <c r="AG1088" t="s">
        <v>3494</v>
      </c>
      <c r="AJ1088" t="s">
        <v>40</v>
      </c>
      <c r="AK1088">
        <v>5019301548</v>
      </c>
      <c r="AO1088" s="1">
        <v>45964</v>
      </c>
      <c r="AP1088" s="5">
        <v>0.79166666666666663</v>
      </c>
      <c r="AS1088">
        <v>1</v>
      </c>
    </row>
    <row r="1089" spans="1:45" x14ac:dyDescent="0.2">
      <c r="A1089">
        <f t="shared" si="66"/>
        <v>2025</v>
      </c>
      <c r="B1089">
        <f t="shared" si="67"/>
        <v>11</v>
      </c>
      <c r="C1089">
        <f t="shared" si="68"/>
        <v>45</v>
      </c>
      <c r="D1089" s="2">
        <f t="shared" si="69"/>
        <v>45964</v>
      </c>
      <c r="E1089" s="1">
        <v>45964.791666666664</v>
      </c>
      <c r="F1089" t="s">
        <v>3495</v>
      </c>
      <c r="G1089" t="s">
        <v>36</v>
      </c>
      <c r="H1089">
        <v>467327</v>
      </c>
      <c r="I1089" t="s">
        <v>51</v>
      </c>
      <c r="J1089" t="s">
        <v>144</v>
      </c>
      <c r="M1089" t="s">
        <v>40</v>
      </c>
      <c r="N1089" t="s">
        <v>41</v>
      </c>
      <c r="O1089" t="s">
        <v>53</v>
      </c>
      <c r="P1089">
        <v>33</v>
      </c>
      <c r="Q1089">
        <v>0</v>
      </c>
      <c r="R1089">
        <v>0</v>
      </c>
      <c r="S1089">
        <v>0</v>
      </c>
      <c r="T1089" t="s">
        <v>54</v>
      </c>
      <c r="U1089" t="s">
        <v>55</v>
      </c>
      <c r="W1089" t="s">
        <v>3039</v>
      </c>
      <c r="X1089" t="s">
        <v>3496</v>
      </c>
      <c r="Y1089">
        <v>0</v>
      </c>
      <c r="AA1089" t="s">
        <v>40</v>
      </c>
      <c r="AB1089" t="s">
        <v>46</v>
      </c>
      <c r="AC1089" t="s">
        <v>47</v>
      </c>
      <c r="AG1089" t="s">
        <v>3497</v>
      </c>
      <c r="AJ1089" t="s">
        <v>40</v>
      </c>
      <c r="AK1089">
        <v>5019298594</v>
      </c>
      <c r="AL1089" t="s">
        <v>3498</v>
      </c>
      <c r="AM1089" t="s">
        <v>3499</v>
      </c>
      <c r="AO1089" s="1">
        <v>45964</v>
      </c>
      <c r="AP1089" s="5">
        <v>0.79166666666666663</v>
      </c>
      <c r="AS1089">
        <v>1</v>
      </c>
    </row>
    <row r="1090" spans="1:45" x14ac:dyDescent="0.2">
      <c r="A1090">
        <f t="shared" ref="A1090:A1153" si="70">YEAR(D1090)</f>
        <v>2025</v>
      </c>
      <c r="B1090">
        <f t="shared" ref="B1090:B1153" si="71">MONTH(D1090)</f>
        <v>11</v>
      </c>
      <c r="C1090">
        <f t="shared" ref="C1090:C1153" si="72">WEEKNUM(D1090)</f>
        <v>45</v>
      </c>
      <c r="D1090" s="2">
        <f t="shared" ref="D1090:D1153" si="73">INT(E1090)</f>
        <v>45964</v>
      </c>
      <c r="E1090" s="1">
        <v>45964.833333333336</v>
      </c>
      <c r="F1090" t="s">
        <v>3500</v>
      </c>
      <c r="G1090" t="s">
        <v>36</v>
      </c>
      <c r="H1090" t="s">
        <v>3501</v>
      </c>
      <c r="I1090" t="s">
        <v>38</v>
      </c>
      <c r="J1090" t="s">
        <v>988</v>
      </c>
      <c r="M1090" t="s">
        <v>40</v>
      </c>
      <c r="N1090" t="s">
        <v>41</v>
      </c>
      <c r="O1090" t="s">
        <v>42</v>
      </c>
      <c r="P1090">
        <v>16</v>
      </c>
      <c r="Q1090">
        <v>0</v>
      </c>
      <c r="R1090">
        <v>0</v>
      </c>
      <c r="S1090">
        <v>0</v>
      </c>
      <c r="T1090" t="s">
        <v>3502</v>
      </c>
      <c r="U1090" t="s">
        <v>392</v>
      </c>
      <c r="W1090" t="s">
        <v>3503</v>
      </c>
      <c r="Y1090">
        <v>0</v>
      </c>
      <c r="AA1090" t="s">
        <v>40</v>
      </c>
      <c r="AB1090" t="s">
        <v>46</v>
      </c>
      <c r="AC1090" t="s">
        <v>47</v>
      </c>
      <c r="AF1090" t="s">
        <v>987</v>
      </c>
      <c r="AJ1090" t="s">
        <v>40</v>
      </c>
      <c r="AK1090" t="s">
        <v>49</v>
      </c>
      <c r="AN1090" t="s">
        <v>890</v>
      </c>
      <c r="AO1090" s="1">
        <v>45964</v>
      </c>
      <c r="AP1090" s="5">
        <v>0.83333333333333337</v>
      </c>
      <c r="AS1090">
        <v>1</v>
      </c>
    </row>
    <row r="1091" spans="1:45" x14ac:dyDescent="0.2">
      <c r="A1091">
        <f t="shared" si="70"/>
        <v>2025</v>
      </c>
      <c r="B1091">
        <f t="shared" si="71"/>
        <v>11</v>
      </c>
      <c r="C1091">
        <f t="shared" si="72"/>
        <v>45</v>
      </c>
      <c r="D1091" s="2">
        <f t="shared" si="73"/>
        <v>45964</v>
      </c>
      <c r="E1091" s="1">
        <v>45964.833333333336</v>
      </c>
      <c r="F1091" t="s">
        <v>3504</v>
      </c>
      <c r="G1091" t="s">
        <v>36</v>
      </c>
      <c r="H1091">
        <v>464080</v>
      </c>
      <c r="I1091" t="s">
        <v>51</v>
      </c>
      <c r="J1091" t="s">
        <v>126</v>
      </c>
      <c r="M1091" t="s">
        <v>40</v>
      </c>
      <c r="N1091" t="s">
        <v>41</v>
      </c>
      <c r="O1091" t="s">
        <v>90</v>
      </c>
      <c r="P1091">
        <v>33</v>
      </c>
      <c r="Q1091">
        <v>0</v>
      </c>
      <c r="R1091">
        <v>0</v>
      </c>
      <c r="S1091">
        <v>0</v>
      </c>
      <c r="T1091" t="s">
        <v>54</v>
      </c>
      <c r="U1091" t="s">
        <v>55</v>
      </c>
      <c r="W1091" t="s">
        <v>3505</v>
      </c>
      <c r="X1091" t="s">
        <v>1641</v>
      </c>
      <c r="Y1091">
        <v>0</v>
      </c>
      <c r="AA1091" t="s">
        <v>40</v>
      </c>
      <c r="AB1091" t="s">
        <v>46</v>
      </c>
      <c r="AC1091" t="s">
        <v>47</v>
      </c>
      <c r="AG1091" t="s">
        <v>3506</v>
      </c>
      <c r="AJ1091" t="s">
        <v>40</v>
      </c>
      <c r="AK1091">
        <v>5019313378</v>
      </c>
      <c r="AL1091" t="s">
        <v>1643</v>
      </c>
      <c r="AM1091" t="s">
        <v>3507</v>
      </c>
      <c r="AO1091" s="1">
        <v>45964</v>
      </c>
      <c r="AP1091" s="5">
        <v>0.83333333333333337</v>
      </c>
      <c r="AS1091">
        <v>1</v>
      </c>
    </row>
    <row r="1092" spans="1:45" x14ac:dyDescent="0.2">
      <c r="A1092">
        <f t="shared" si="70"/>
        <v>2025</v>
      </c>
      <c r="B1092">
        <f t="shared" si="71"/>
        <v>11</v>
      </c>
      <c r="C1092">
        <f t="shared" si="72"/>
        <v>45</v>
      </c>
      <c r="D1092" s="2">
        <f t="shared" si="73"/>
        <v>45965</v>
      </c>
      <c r="E1092" s="1">
        <v>45965.25</v>
      </c>
      <c r="F1092" t="s">
        <v>3508</v>
      </c>
      <c r="G1092" t="s">
        <v>36</v>
      </c>
      <c r="H1092">
        <v>467314</v>
      </c>
      <c r="I1092" t="s">
        <v>51</v>
      </c>
      <c r="J1092" t="s">
        <v>52</v>
      </c>
      <c r="M1092" t="s">
        <v>40</v>
      </c>
      <c r="N1092" t="s">
        <v>41</v>
      </c>
      <c r="O1092" t="s">
        <v>53</v>
      </c>
      <c r="P1092">
        <v>33</v>
      </c>
      <c r="Q1092">
        <v>0</v>
      </c>
      <c r="R1092">
        <v>0</v>
      </c>
      <c r="S1092">
        <v>0</v>
      </c>
      <c r="T1092" t="s">
        <v>54</v>
      </c>
      <c r="U1092" t="s">
        <v>55</v>
      </c>
      <c r="W1092" t="s">
        <v>3509</v>
      </c>
      <c r="Y1092">
        <v>0</v>
      </c>
      <c r="AA1092" t="s">
        <v>40</v>
      </c>
      <c r="AB1092" t="s">
        <v>46</v>
      </c>
      <c r="AC1092" t="s">
        <v>47</v>
      </c>
      <c r="AG1092" t="s">
        <v>3510</v>
      </c>
      <c r="AJ1092" t="s">
        <v>40</v>
      </c>
      <c r="AK1092">
        <v>5019323483</v>
      </c>
      <c r="AO1092" s="1">
        <v>45965</v>
      </c>
      <c r="AP1092" s="5">
        <v>0.25</v>
      </c>
      <c r="AS1092">
        <v>1</v>
      </c>
    </row>
    <row r="1093" spans="1:45" x14ac:dyDescent="0.2">
      <c r="A1093">
        <f t="shared" si="70"/>
        <v>2025</v>
      </c>
      <c r="B1093">
        <f t="shared" si="71"/>
        <v>11</v>
      </c>
      <c r="C1093">
        <f t="shared" si="72"/>
        <v>45</v>
      </c>
      <c r="D1093" s="2">
        <f t="shared" si="73"/>
        <v>45965</v>
      </c>
      <c r="E1093" s="1">
        <v>45965.291666666664</v>
      </c>
      <c r="F1093" t="s">
        <v>3511</v>
      </c>
      <c r="G1093" t="s">
        <v>36</v>
      </c>
      <c r="H1093">
        <v>467317</v>
      </c>
      <c r="I1093" t="s">
        <v>51</v>
      </c>
      <c r="J1093" t="s">
        <v>52</v>
      </c>
      <c r="M1093" t="s">
        <v>40</v>
      </c>
      <c r="N1093" t="s">
        <v>41</v>
      </c>
      <c r="O1093" t="s">
        <v>53</v>
      </c>
      <c r="P1093">
        <v>33</v>
      </c>
      <c r="Q1093">
        <v>0</v>
      </c>
      <c r="R1093">
        <v>0</v>
      </c>
      <c r="S1093">
        <v>0</v>
      </c>
      <c r="T1093" t="s">
        <v>54</v>
      </c>
      <c r="U1093" t="s">
        <v>55</v>
      </c>
      <c r="W1093" t="s">
        <v>3509</v>
      </c>
      <c r="Y1093">
        <v>0</v>
      </c>
      <c r="AA1093" t="s">
        <v>40</v>
      </c>
      <c r="AB1093" t="s">
        <v>46</v>
      </c>
      <c r="AC1093" t="s">
        <v>47</v>
      </c>
      <c r="AG1093" t="s">
        <v>3512</v>
      </c>
      <c r="AJ1093" t="s">
        <v>40</v>
      </c>
      <c r="AK1093">
        <v>5019322326</v>
      </c>
      <c r="AO1093" s="1">
        <v>45965</v>
      </c>
      <c r="AP1093" s="5">
        <v>0.29166666666666669</v>
      </c>
      <c r="AS1093">
        <v>1</v>
      </c>
    </row>
    <row r="1094" spans="1:45" x14ac:dyDescent="0.2">
      <c r="A1094">
        <f t="shared" si="70"/>
        <v>2025</v>
      </c>
      <c r="B1094">
        <f t="shared" si="71"/>
        <v>11</v>
      </c>
      <c r="C1094">
        <f t="shared" si="72"/>
        <v>45</v>
      </c>
      <c r="D1094" s="2">
        <f t="shared" si="73"/>
        <v>45965</v>
      </c>
      <c r="E1094" s="1">
        <v>45965.291666666664</v>
      </c>
      <c r="F1094" t="s">
        <v>3513</v>
      </c>
      <c r="G1094" t="s">
        <v>36</v>
      </c>
      <c r="H1094" t="s">
        <v>253</v>
      </c>
      <c r="I1094" t="s">
        <v>38</v>
      </c>
      <c r="J1094" t="s">
        <v>254</v>
      </c>
      <c r="M1094" t="s">
        <v>40</v>
      </c>
      <c r="N1094" t="s">
        <v>41</v>
      </c>
      <c r="O1094" t="s">
        <v>42</v>
      </c>
      <c r="P1094">
        <v>1</v>
      </c>
      <c r="Q1094">
        <v>0</v>
      </c>
      <c r="R1094">
        <v>0</v>
      </c>
      <c r="S1094">
        <v>0</v>
      </c>
      <c r="T1094">
        <v>5019323826</v>
      </c>
      <c r="U1094" t="s">
        <v>101</v>
      </c>
      <c r="W1094" t="s">
        <v>2970</v>
      </c>
      <c r="Y1094">
        <v>0</v>
      </c>
      <c r="AA1094" t="s">
        <v>40</v>
      </c>
      <c r="AB1094" t="s">
        <v>46</v>
      </c>
      <c r="AC1094" t="s">
        <v>47</v>
      </c>
      <c r="AF1094" t="s">
        <v>48</v>
      </c>
      <c r="AJ1094" t="s">
        <v>40</v>
      </c>
      <c r="AK1094" t="s">
        <v>49</v>
      </c>
      <c r="AO1094" s="1">
        <v>45965</v>
      </c>
      <c r="AP1094" s="5">
        <v>0.29166666666666669</v>
      </c>
      <c r="AS1094">
        <v>1</v>
      </c>
    </row>
    <row r="1095" spans="1:45" x14ac:dyDescent="0.2">
      <c r="A1095">
        <f t="shared" si="70"/>
        <v>2025</v>
      </c>
      <c r="B1095">
        <f t="shared" si="71"/>
        <v>11</v>
      </c>
      <c r="C1095">
        <f t="shared" si="72"/>
        <v>45</v>
      </c>
      <c r="D1095" s="2">
        <f t="shared" si="73"/>
        <v>45965</v>
      </c>
      <c r="E1095" s="1">
        <v>45965.291666666664</v>
      </c>
      <c r="F1095" t="s">
        <v>3514</v>
      </c>
      <c r="G1095" t="s">
        <v>36</v>
      </c>
      <c r="H1095" t="s">
        <v>2074</v>
      </c>
      <c r="I1095" t="s">
        <v>38</v>
      </c>
      <c r="J1095" t="s">
        <v>99</v>
      </c>
      <c r="M1095" t="s">
        <v>40</v>
      </c>
      <c r="N1095" t="s">
        <v>41</v>
      </c>
      <c r="O1095" t="s">
        <v>42</v>
      </c>
      <c r="P1095">
        <v>22</v>
      </c>
      <c r="Q1095">
        <v>0</v>
      </c>
      <c r="R1095">
        <v>0</v>
      </c>
      <c r="S1095">
        <v>0</v>
      </c>
      <c r="T1095" t="s">
        <v>3515</v>
      </c>
      <c r="U1095" t="s">
        <v>44</v>
      </c>
      <c r="W1095" t="s">
        <v>3433</v>
      </c>
      <c r="Y1095">
        <v>0</v>
      </c>
      <c r="AA1095" t="s">
        <v>40</v>
      </c>
      <c r="AB1095" t="s">
        <v>46</v>
      </c>
      <c r="AC1095" t="s">
        <v>47</v>
      </c>
      <c r="AF1095" t="s">
        <v>367</v>
      </c>
      <c r="AJ1095" t="s">
        <v>40</v>
      </c>
      <c r="AK1095" t="s">
        <v>49</v>
      </c>
      <c r="AM1095" t="s">
        <v>2077</v>
      </c>
      <c r="AN1095" t="s">
        <v>3516</v>
      </c>
      <c r="AO1095" s="1">
        <v>45965</v>
      </c>
      <c r="AP1095" s="5">
        <v>0.29166666666666669</v>
      </c>
      <c r="AS1095">
        <v>1</v>
      </c>
    </row>
    <row r="1096" spans="1:45" x14ac:dyDescent="0.2">
      <c r="A1096">
        <f t="shared" si="70"/>
        <v>2025</v>
      </c>
      <c r="B1096">
        <f t="shared" si="71"/>
        <v>11</v>
      </c>
      <c r="C1096">
        <f t="shared" si="72"/>
        <v>45</v>
      </c>
      <c r="D1096" s="2">
        <f t="shared" si="73"/>
        <v>45965</v>
      </c>
      <c r="E1096" s="1">
        <v>45965.291666666664</v>
      </c>
      <c r="F1096" t="s">
        <v>3517</v>
      </c>
      <c r="G1096" t="s">
        <v>36</v>
      </c>
      <c r="H1096">
        <v>466893</v>
      </c>
      <c r="I1096" t="s">
        <v>51</v>
      </c>
      <c r="J1096" t="s">
        <v>144</v>
      </c>
      <c r="M1096" t="s">
        <v>40</v>
      </c>
      <c r="N1096" t="s">
        <v>41</v>
      </c>
      <c r="O1096" t="s">
        <v>436</v>
      </c>
      <c r="P1096">
        <v>22</v>
      </c>
      <c r="Q1096">
        <v>0</v>
      </c>
      <c r="R1096">
        <v>0</v>
      </c>
      <c r="S1096">
        <v>0</v>
      </c>
      <c r="T1096" t="s">
        <v>54</v>
      </c>
      <c r="U1096" t="s">
        <v>392</v>
      </c>
      <c r="W1096" t="s">
        <v>3518</v>
      </c>
      <c r="X1096" t="s">
        <v>3519</v>
      </c>
      <c r="Y1096">
        <v>0</v>
      </c>
      <c r="AA1096" t="s">
        <v>40</v>
      </c>
      <c r="AB1096" t="s">
        <v>46</v>
      </c>
      <c r="AC1096" t="s">
        <v>47</v>
      </c>
      <c r="AG1096" t="s">
        <v>3520</v>
      </c>
      <c r="AJ1096" t="s">
        <v>40</v>
      </c>
      <c r="AK1096" t="s">
        <v>3521</v>
      </c>
      <c r="AL1096" t="s">
        <v>3522</v>
      </c>
      <c r="AM1096" t="s">
        <v>3523</v>
      </c>
      <c r="AO1096" s="1">
        <v>45965</v>
      </c>
      <c r="AP1096" s="5">
        <v>0.29166666666666669</v>
      </c>
      <c r="AS1096">
        <v>1</v>
      </c>
    </row>
    <row r="1097" spans="1:45" x14ac:dyDescent="0.2">
      <c r="A1097">
        <f t="shared" si="70"/>
        <v>2025</v>
      </c>
      <c r="B1097">
        <f t="shared" si="71"/>
        <v>11</v>
      </c>
      <c r="C1097">
        <f t="shared" si="72"/>
        <v>45</v>
      </c>
      <c r="D1097" s="2">
        <f t="shared" si="73"/>
        <v>45965</v>
      </c>
      <c r="E1097" s="1">
        <v>45965.333333333336</v>
      </c>
      <c r="F1097" t="s">
        <v>3524</v>
      </c>
      <c r="G1097" t="s">
        <v>36</v>
      </c>
      <c r="H1097" t="s">
        <v>37</v>
      </c>
      <c r="I1097" t="s">
        <v>38</v>
      </c>
      <c r="J1097" t="s">
        <v>112</v>
      </c>
      <c r="M1097" t="s">
        <v>40</v>
      </c>
      <c r="N1097" t="s">
        <v>41</v>
      </c>
      <c r="O1097" t="s">
        <v>42</v>
      </c>
      <c r="P1097">
        <v>23</v>
      </c>
      <c r="Q1097">
        <v>0</v>
      </c>
      <c r="R1097">
        <v>0</v>
      </c>
      <c r="S1097">
        <v>0</v>
      </c>
      <c r="T1097" t="s">
        <v>3525</v>
      </c>
      <c r="U1097" t="s">
        <v>44</v>
      </c>
      <c r="W1097" t="s">
        <v>3526</v>
      </c>
      <c r="Y1097">
        <v>0</v>
      </c>
      <c r="AA1097" t="s">
        <v>40</v>
      </c>
      <c r="AB1097" t="s">
        <v>46</v>
      </c>
      <c r="AC1097" t="s">
        <v>47</v>
      </c>
      <c r="AF1097" t="s">
        <v>48</v>
      </c>
      <c r="AJ1097" t="s">
        <v>40</v>
      </c>
      <c r="AK1097" t="s">
        <v>49</v>
      </c>
      <c r="AO1097" s="1">
        <v>45965</v>
      </c>
      <c r="AP1097" s="5">
        <v>0.33333333333333331</v>
      </c>
      <c r="AS1097">
        <v>1</v>
      </c>
    </row>
    <row r="1098" spans="1:45" x14ac:dyDescent="0.2">
      <c r="A1098">
        <f t="shared" si="70"/>
        <v>2025</v>
      </c>
      <c r="B1098">
        <f t="shared" si="71"/>
        <v>11</v>
      </c>
      <c r="C1098">
        <f t="shared" si="72"/>
        <v>45</v>
      </c>
      <c r="D1098" s="2">
        <f t="shared" si="73"/>
        <v>45965</v>
      </c>
      <c r="E1098" s="1">
        <v>45965.333333333336</v>
      </c>
      <c r="F1098" t="s">
        <v>3527</v>
      </c>
      <c r="G1098" t="s">
        <v>36</v>
      </c>
      <c r="H1098" t="s">
        <v>264</v>
      </c>
      <c r="I1098" t="s">
        <v>38</v>
      </c>
      <c r="J1098" t="s">
        <v>265</v>
      </c>
      <c r="M1098" t="s">
        <v>40</v>
      </c>
      <c r="N1098" t="s">
        <v>41</v>
      </c>
      <c r="O1098" t="s">
        <v>42</v>
      </c>
      <c r="P1098">
        <v>23</v>
      </c>
      <c r="Q1098">
        <v>0</v>
      </c>
      <c r="R1098">
        <v>0</v>
      </c>
      <c r="S1098">
        <v>0</v>
      </c>
      <c r="T1098" t="s">
        <v>3528</v>
      </c>
      <c r="U1098" t="s">
        <v>55</v>
      </c>
      <c r="W1098" t="s">
        <v>3526</v>
      </c>
      <c r="Y1098">
        <v>0</v>
      </c>
      <c r="AA1098" t="s">
        <v>40</v>
      </c>
      <c r="AB1098" t="s">
        <v>46</v>
      </c>
      <c r="AC1098" t="s">
        <v>47</v>
      </c>
      <c r="AF1098" t="s">
        <v>48</v>
      </c>
      <c r="AJ1098" t="s">
        <v>40</v>
      </c>
      <c r="AK1098" t="s">
        <v>49</v>
      </c>
      <c r="AO1098" s="1">
        <v>45965</v>
      </c>
      <c r="AP1098" s="5">
        <v>0.33333333333333331</v>
      </c>
      <c r="AS1098">
        <v>1</v>
      </c>
    </row>
    <row r="1099" spans="1:45" x14ac:dyDescent="0.2">
      <c r="A1099">
        <f t="shared" si="70"/>
        <v>2025</v>
      </c>
      <c r="B1099">
        <f t="shared" si="71"/>
        <v>11</v>
      </c>
      <c r="C1099">
        <f t="shared" si="72"/>
        <v>45</v>
      </c>
      <c r="D1099" s="2">
        <f t="shared" si="73"/>
        <v>45965</v>
      </c>
      <c r="E1099" s="1">
        <v>45965.333333333336</v>
      </c>
      <c r="F1099" t="s">
        <v>3529</v>
      </c>
      <c r="G1099" t="s">
        <v>36</v>
      </c>
      <c r="H1099" t="s">
        <v>37</v>
      </c>
      <c r="I1099" t="s">
        <v>38</v>
      </c>
      <c r="J1099" t="s">
        <v>112</v>
      </c>
      <c r="M1099" t="s">
        <v>40</v>
      </c>
      <c r="N1099" t="s">
        <v>41</v>
      </c>
      <c r="O1099" t="s">
        <v>42</v>
      </c>
      <c r="P1099">
        <v>23</v>
      </c>
      <c r="Q1099">
        <v>0</v>
      </c>
      <c r="R1099">
        <v>0</v>
      </c>
      <c r="S1099">
        <v>0</v>
      </c>
      <c r="T1099" t="s">
        <v>3530</v>
      </c>
      <c r="U1099" t="s">
        <v>44</v>
      </c>
      <c r="W1099" t="s">
        <v>3526</v>
      </c>
      <c r="Y1099">
        <v>0</v>
      </c>
      <c r="AA1099" t="s">
        <v>40</v>
      </c>
      <c r="AB1099" t="s">
        <v>46</v>
      </c>
      <c r="AC1099" t="s">
        <v>47</v>
      </c>
      <c r="AF1099" t="s">
        <v>48</v>
      </c>
      <c r="AJ1099" t="s">
        <v>40</v>
      </c>
      <c r="AK1099" t="s">
        <v>49</v>
      </c>
      <c r="AO1099" s="1">
        <v>45965</v>
      </c>
      <c r="AP1099" s="5">
        <v>0.33333333333333331</v>
      </c>
      <c r="AS1099">
        <v>1</v>
      </c>
    </row>
    <row r="1100" spans="1:45" x14ac:dyDescent="0.2">
      <c r="A1100">
        <f t="shared" si="70"/>
        <v>2025</v>
      </c>
      <c r="B1100">
        <f t="shared" si="71"/>
        <v>11</v>
      </c>
      <c r="C1100">
        <f t="shared" si="72"/>
        <v>45</v>
      </c>
      <c r="D1100" s="2">
        <f t="shared" si="73"/>
        <v>45965</v>
      </c>
      <c r="E1100" s="1">
        <v>45965.333333333336</v>
      </c>
      <c r="F1100" t="s">
        <v>3531</v>
      </c>
      <c r="G1100" t="s">
        <v>36</v>
      </c>
      <c r="H1100">
        <v>466895</v>
      </c>
      <c r="I1100" t="s">
        <v>51</v>
      </c>
      <c r="J1100" t="s">
        <v>144</v>
      </c>
      <c r="M1100" t="s">
        <v>40</v>
      </c>
      <c r="N1100" t="s">
        <v>41</v>
      </c>
      <c r="O1100" t="s">
        <v>436</v>
      </c>
      <c r="P1100">
        <v>22</v>
      </c>
      <c r="Q1100">
        <v>0</v>
      </c>
      <c r="R1100">
        <v>0</v>
      </c>
      <c r="S1100">
        <v>0</v>
      </c>
      <c r="T1100" t="s">
        <v>54</v>
      </c>
      <c r="U1100" t="s">
        <v>392</v>
      </c>
      <c r="W1100" t="s">
        <v>3532</v>
      </c>
      <c r="X1100" t="s">
        <v>3533</v>
      </c>
      <c r="Y1100">
        <v>0</v>
      </c>
      <c r="AA1100" t="s">
        <v>40</v>
      </c>
      <c r="AB1100" t="s">
        <v>46</v>
      </c>
      <c r="AC1100" t="s">
        <v>47</v>
      </c>
      <c r="AG1100" t="s">
        <v>3534</v>
      </c>
      <c r="AJ1100" t="s">
        <v>40</v>
      </c>
      <c r="AK1100" t="s">
        <v>3535</v>
      </c>
      <c r="AL1100" t="s">
        <v>3536</v>
      </c>
      <c r="AM1100" t="s">
        <v>3537</v>
      </c>
      <c r="AO1100" s="1">
        <v>45965</v>
      </c>
      <c r="AP1100" s="5">
        <v>0.33333333333333331</v>
      </c>
      <c r="AS1100">
        <v>1</v>
      </c>
    </row>
    <row r="1101" spans="1:45" x14ac:dyDescent="0.2">
      <c r="A1101">
        <f t="shared" si="70"/>
        <v>2025</v>
      </c>
      <c r="B1101">
        <f t="shared" si="71"/>
        <v>11</v>
      </c>
      <c r="C1101">
        <f t="shared" si="72"/>
        <v>45</v>
      </c>
      <c r="D1101" s="2">
        <f t="shared" si="73"/>
        <v>45965</v>
      </c>
      <c r="E1101" s="1">
        <v>45965.375</v>
      </c>
      <c r="F1101" t="s">
        <v>3538</v>
      </c>
      <c r="G1101" t="s">
        <v>36</v>
      </c>
      <c r="H1101">
        <v>464142</v>
      </c>
      <c r="I1101" t="s">
        <v>51</v>
      </c>
      <c r="J1101" t="s">
        <v>52</v>
      </c>
      <c r="M1101" t="s">
        <v>40</v>
      </c>
      <c r="N1101" t="s">
        <v>41</v>
      </c>
      <c r="O1101" t="s">
        <v>433</v>
      </c>
      <c r="P1101">
        <v>33</v>
      </c>
      <c r="Q1101">
        <v>0</v>
      </c>
      <c r="R1101">
        <v>0</v>
      </c>
      <c r="S1101">
        <v>0</v>
      </c>
      <c r="T1101" t="s">
        <v>54</v>
      </c>
      <c r="U1101" t="s">
        <v>55</v>
      </c>
      <c r="W1101" t="s">
        <v>3539</v>
      </c>
      <c r="Y1101">
        <v>0</v>
      </c>
      <c r="AA1101" t="s">
        <v>40</v>
      </c>
      <c r="AB1101" t="s">
        <v>46</v>
      </c>
      <c r="AC1101" t="s">
        <v>47</v>
      </c>
      <c r="AG1101" t="s">
        <v>3540</v>
      </c>
      <c r="AJ1101" t="s">
        <v>40</v>
      </c>
      <c r="AK1101">
        <v>5019324326</v>
      </c>
      <c r="AO1101" s="1">
        <v>45965</v>
      </c>
      <c r="AP1101" s="5">
        <v>0.375</v>
      </c>
      <c r="AS1101">
        <v>1</v>
      </c>
    </row>
    <row r="1102" spans="1:45" x14ac:dyDescent="0.2">
      <c r="A1102">
        <f t="shared" si="70"/>
        <v>2025</v>
      </c>
      <c r="B1102">
        <f t="shared" si="71"/>
        <v>11</v>
      </c>
      <c r="C1102">
        <f t="shared" si="72"/>
        <v>45</v>
      </c>
      <c r="D1102" s="2">
        <f t="shared" si="73"/>
        <v>45965</v>
      </c>
      <c r="E1102" s="1">
        <v>45965.375</v>
      </c>
      <c r="F1102" t="s">
        <v>3541</v>
      </c>
      <c r="G1102" t="s">
        <v>36</v>
      </c>
      <c r="H1102" t="s">
        <v>37</v>
      </c>
      <c r="I1102" t="s">
        <v>38</v>
      </c>
      <c r="J1102" t="s">
        <v>39</v>
      </c>
      <c r="M1102" t="s">
        <v>40</v>
      </c>
      <c r="N1102" t="s">
        <v>41</v>
      </c>
      <c r="O1102" t="s">
        <v>42</v>
      </c>
      <c r="P1102">
        <v>23</v>
      </c>
      <c r="Q1102">
        <v>0</v>
      </c>
      <c r="R1102">
        <v>0</v>
      </c>
      <c r="S1102">
        <v>0</v>
      </c>
      <c r="T1102" t="s">
        <v>3542</v>
      </c>
      <c r="U1102" t="s">
        <v>44</v>
      </c>
      <c r="W1102" t="s">
        <v>3526</v>
      </c>
      <c r="Y1102">
        <v>0</v>
      </c>
      <c r="AA1102" t="s">
        <v>40</v>
      </c>
      <c r="AB1102" t="s">
        <v>46</v>
      </c>
      <c r="AC1102" t="s">
        <v>47</v>
      </c>
      <c r="AF1102" t="s">
        <v>48</v>
      </c>
      <c r="AJ1102" t="s">
        <v>40</v>
      </c>
      <c r="AK1102" t="s">
        <v>49</v>
      </c>
      <c r="AO1102" s="1">
        <v>45965</v>
      </c>
      <c r="AP1102" s="5">
        <v>0.375</v>
      </c>
      <c r="AS1102">
        <v>1</v>
      </c>
    </row>
    <row r="1103" spans="1:45" x14ac:dyDescent="0.2">
      <c r="A1103">
        <f t="shared" si="70"/>
        <v>2025</v>
      </c>
      <c r="B1103">
        <f t="shared" si="71"/>
        <v>11</v>
      </c>
      <c r="C1103">
        <f t="shared" si="72"/>
        <v>45</v>
      </c>
      <c r="D1103" s="2">
        <f t="shared" si="73"/>
        <v>45965</v>
      </c>
      <c r="E1103" s="1">
        <v>45965.375</v>
      </c>
      <c r="F1103" t="s">
        <v>3543</v>
      </c>
      <c r="G1103" t="s">
        <v>36</v>
      </c>
      <c r="H1103">
        <v>466899</v>
      </c>
      <c r="I1103" t="s">
        <v>51</v>
      </c>
      <c r="J1103" t="s">
        <v>144</v>
      </c>
      <c r="M1103" t="s">
        <v>40</v>
      </c>
      <c r="N1103" t="s">
        <v>41</v>
      </c>
      <c r="O1103" t="s">
        <v>436</v>
      </c>
      <c r="P1103">
        <v>22</v>
      </c>
      <c r="Q1103">
        <v>0</v>
      </c>
      <c r="R1103">
        <v>0</v>
      </c>
      <c r="S1103">
        <v>0</v>
      </c>
      <c r="T1103" t="s">
        <v>54</v>
      </c>
      <c r="U1103" t="s">
        <v>392</v>
      </c>
      <c r="W1103" t="s">
        <v>3544</v>
      </c>
      <c r="X1103" t="s">
        <v>3545</v>
      </c>
      <c r="Y1103">
        <v>0</v>
      </c>
      <c r="AA1103" t="s">
        <v>40</v>
      </c>
      <c r="AB1103" t="s">
        <v>46</v>
      </c>
      <c r="AC1103" t="s">
        <v>47</v>
      </c>
      <c r="AG1103" t="s">
        <v>3546</v>
      </c>
      <c r="AJ1103" t="s">
        <v>40</v>
      </c>
      <c r="AK1103" t="s">
        <v>3547</v>
      </c>
      <c r="AL1103" t="s">
        <v>3548</v>
      </c>
      <c r="AM1103" t="s">
        <v>3549</v>
      </c>
      <c r="AO1103" s="1">
        <v>45965</v>
      </c>
      <c r="AP1103" s="5">
        <v>0.375</v>
      </c>
      <c r="AS1103">
        <v>1</v>
      </c>
    </row>
    <row r="1104" spans="1:45" x14ac:dyDescent="0.2">
      <c r="A1104">
        <f t="shared" si="70"/>
        <v>2025</v>
      </c>
      <c r="B1104">
        <f t="shared" si="71"/>
        <v>11</v>
      </c>
      <c r="C1104">
        <f t="shared" si="72"/>
        <v>45</v>
      </c>
      <c r="D1104" s="2">
        <f t="shared" si="73"/>
        <v>45965</v>
      </c>
      <c r="E1104" s="1">
        <v>45965.375</v>
      </c>
      <c r="F1104" t="s">
        <v>3550</v>
      </c>
      <c r="G1104" t="s">
        <v>36</v>
      </c>
      <c r="H1104" t="s">
        <v>37</v>
      </c>
      <c r="I1104" t="s">
        <v>38</v>
      </c>
      <c r="J1104" t="s">
        <v>112</v>
      </c>
      <c r="M1104" t="s">
        <v>40</v>
      </c>
      <c r="N1104" t="s">
        <v>41</v>
      </c>
      <c r="O1104" t="s">
        <v>42</v>
      </c>
      <c r="P1104">
        <v>23</v>
      </c>
      <c r="Q1104">
        <v>0</v>
      </c>
      <c r="R1104">
        <v>0</v>
      </c>
      <c r="S1104">
        <v>0</v>
      </c>
      <c r="T1104" t="s">
        <v>3551</v>
      </c>
      <c r="U1104" t="s">
        <v>44</v>
      </c>
      <c r="W1104" t="s">
        <v>3526</v>
      </c>
      <c r="Y1104">
        <v>0</v>
      </c>
      <c r="AA1104" t="s">
        <v>40</v>
      </c>
      <c r="AB1104" t="s">
        <v>46</v>
      </c>
      <c r="AC1104" t="s">
        <v>47</v>
      </c>
      <c r="AF1104" t="s">
        <v>48</v>
      </c>
      <c r="AJ1104" t="s">
        <v>40</v>
      </c>
      <c r="AK1104" t="s">
        <v>49</v>
      </c>
      <c r="AO1104" s="1">
        <v>45965</v>
      </c>
      <c r="AP1104" s="5">
        <v>0.375</v>
      </c>
      <c r="AS1104">
        <v>1</v>
      </c>
    </row>
    <row r="1105" spans="1:45" x14ac:dyDescent="0.2">
      <c r="A1105">
        <f t="shared" si="70"/>
        <v>2025</v>
      </c>
      <c r="B1105">
        <f t="shared" si="71"/>
        <v>11</v>
      </c>
      <c r="C1105">
        <f t="shared" si="72"/>
        <v>45</v>
      </c>
      <c r="D1105" s="2">
        <f t="shared" si="73"/>
        <v>45965</v>
      </c>
      <c r="E1105" s="1">
        <v>45965.416666666664</v>
      </c>
      <c r="F1105" t="s">
        <v>3552</v>
      </c>
      <c r="G1105" t="s">
        <v>36</v>
      </c>
      <c r="H1105" t="s">
        <v>37</v>
      </c>
      <c r="I1105" t="s">
        <v>38</v>
      </c>
      <c r="J1105" t="s">
        <v>112</v>
      </c>
      <c r="M1105" t="s">
        <v>40</v>
      </c>
      <c r="N1105" t="s">
        <v>41</v>
      </c>
      <c r="O1105" t="s">
        <v>42</v>
      </c>
      <c r="P1105">
        <v>23</v>
      </c>
      <c r="Q1105">
        <v>0</v>
      </c>
      <c r="R1105">
        <v>0</v>
      </c>
      <c r="S1105">
        <v>0</v>
      </c>
      <c r="T1105" t="s">
        <v>3553</v>
      </c>
      <c r="U1105" t="s">
        <v>44</v>
      </c>
      <c r="W1105" t="s">
        <v>3526</v>
      </c>
      <c r="Y1105">
        <v>0</v>
      </c>
      <c r="AA1105" t="s">
        <v>40</v>
      </c>
      <c r="AB1105" t="s">
        <v>46</v>
      </c>
      <c r="AC1105" t="s">
        <v>47</v>
      </c>
      <c r="AF1105" t="s">
        <v>48</v>
      </c>
      <c r="AJ1105" t="s">
        <v>40</v>
      </c>
      <c r="AK1105" t="s">
        <v>49</v>
      </c>
      <c r="AO1105" s="1">
        <v>45965</v>
      </c>
      <c r="AP1105" s="5">
        <v>0.41666666666666669</v>
      </c>
      <c r="AS1105">
        <v>1</v>
      </c>
    </row>
    <row r="1106" spans="1:45" x14ac:dyDescent="0.2">
      <c r="A1106">
        <f t="shared" si="70"/>
        <v>2025</v>
      </c>
      <c r="B1106">
        <f t="shared" si="71"/>
        <v>11</v>
      </c>
      <c r="C1106">
        <f t="shared" si="72"/>
        <v>45</v>
      </c>
      <c r="D1106" s="2">
        <f t="shared" si="73"/>
        <v>45965</v>
      </c>
      <c r="E1106" s="1">
        <v>45965.416666666664</v>
      </c>
      <c r="F1106" t="s">
        <v>3554</v>
      </c>
      <c r="G1106" t="s">
        <v>36</v>
      </c>
      <c r="H1106" t="s">
        <v>3555</v>
      </c>
      <c r="I1106" t="s">
        <v>1042</v>
      </c>
      <c r="J1106" t="s">
        <v>99</v>
      </c>
      <c r="M1106" t="s">
        <v>40</v>
      </c>
      <c r="N1106" t="s">
        <v>41</v>
      </c>
      <c r="O1106" t="s">
        <v>1043</v>
      </c>
      <c r="P1106">
        <v>26</v>
      </c>
      <c r="Q1106">
        <v>0</v>
      </c>
      <c r="R1106">
        <v>0</v>
      </c>
      <c r="S1106">
        <v>0</v>
      </c>
      <c r="T1106" t="s">
        <v>3556</v>
      </c>
      <c r="U1106" t="s">
        <v>44</v>
      </c>
      <c r="W1106" t="s">
        <v>3526</v>
      </c>
      <c r="Y1106">
        <v>0</v>
      </c>
      <c r="AA1106" t="s">
        <v>40</v>
      </c>
      <c r="AB1106" t="s">
        <v>46</v>
      </c>
      <c r="AC1106" t="s">
        <v>47</v>
      </c>
      <c r="AD1106" t="s">
        <v>81</v>
      </c>
      <c r="AE1106" t="s">
        <v>81</v>
      </c>
      <c r="AF1106" t="s">
        <v>48</v>
      </c>
      <c r="AG1106" t="s">
        <v>81</v>
      </c>
      <c r="AJ1106" t="s">
        <v>40</v>
      </c>
      <c r="AK1106" t="s">
        <v>49</v>
      </c>
      <c r="AL1106" t="s">
        <v>1045</v>
      </c>
      <c r="AO1106" s="1">
        <v>45965</v>
      </c>
      <c r="AP1106" s="5">
        <v>0.41666666666666669</v>
      </c>
      <c r="AS1106">
        <v>1</v>
      </c>
    </row>
    <row r="1107" spans="1:45" x14ac:dyDescent="0.2">
      <c r="A1107">
        <f t="shared" si="70"/>
        <v>2025</v>
      </c>
      <c r="B1107">
        <f t="shared" si="71"/>
        <v>11</v>
      </c>
      <c r="C1107">
        <f t="shared" si="72"/>
        <v>45</v>
      </c>
      <c r="D1107" s="2">
        <f t="shared" si="73"/>
        <v>45965</v>
      </c>
      <c r="E1107" s="1">
        <v>45965.416666666664</v>
      </c>
      <c r="F1107" t="s">
        <v>3557</v>
      </c>
      <c r="G1107" t="s">
        <v>36</v>
      </c>
      <c r="H1107" t="s">
        <v>3558</v>
      </c>
      <c r="I1107" t="s">
        <v>1042</v>
      </c>
      <c r="J1107" t="s">
        <v>99</v>
      </c>
      <c r="M1107" t="s">
        <v>40</v>
      </c>
      <c r="N1107" t="s">
        <v>41</v>
      </c>
      <c r="O1107" t="s">
        <v>1043</v>
      </c>
      <c r="P1107">
        <v>26</v>
      </c>
      <c r="Q1107">
        <v>0</v>
      </c>
      <c r="R1107">
        <v>0</v>
      </c>
      <c r="S1107">
        <v>0</v>
      </c>
      <c r="T1107" t="s">
        <v>3559</v>
      </c>
      <c r="U1107" t="s">
        <v>44</v>
      </c>
      <c r="W1107" t="s">
        <v>3526</v>
      </c>
      <c r="Y1107">
        <v>0</v>
      </c>
      <c r="AA1107" t="s">
        <v>40</v>
      </c>
      <c r="AB1107" t="s">
        <v>46</v>
      </c>
      <c r="AC1107" t="s">
        <v>47</v>
      </c>
      <c r="AD1107" t="s">
        <v>81</v>
      </c>
      <c r="AE1107" t="s">
        <v>81</v>
      </c>
      <c r="AF1107" t="s">
        <v>48</v>
      </c>
      <c r="AG1107" t="s">
        <v>81</v>
      </c>
      <c r="AJ1107" t="s">
        <v>40</v>
      </c>
      <c r="AK1107" t="s">
        <v>49</v>
      </c>
      <c r="AL1107" t="s">
        <v>1045</v>
      </c>
      <c r="AO1107" s="1">
        <v>45965</v>
      </c>
      <c r="AP1107" s="5">
        <v>0.41666666666666669</v>
      </c>
      <c r="AS1107">
        <v>1</v>
      </c>
    </row>
    <row r="1108" spans="1:45" x14ac:dyDescent="0.2">
      <c r="A1108">
        <f t="shared" si="70"/>
        <v>2025</v>
      </c>
      <c r="B1108">
        <f t="shared" si="71"/>
        <v>11</v>
      </c>
      <c r="C1108">
        <f t="shared" si="72"/>
        <v>45</v>
      </c>
      <c r="D1108" s="2">
        <f t="shared" si="73"/>
        <v>45965</v>
      </c>
      <c r="E1108" s="1">
        <v>45965.416666666664</v>
      </c>
      <c r="F1108" t="s">
        <v>3560</v>
      </c>
      <c r="G1108" t="s">
        <v>36</v>
      </c>
      <c r="H1108">
        <v>464113</v>
      </c>
      <c r="I1108" t="s">
        <v>51</v>
      </c>
      <c r="J1108" t="s">
        <v>52</v>
      </c>
      <c r="M1108" t="s">
        <v>40</v>
      </c>
      <c r="N1108" t="s">
        <v>41</v>
      </c>
      <c r="O1108" t="s">
        <v>433</v>
      </c>
      <c r="P1108">
        <v>33</v>
      </c>
      <c r="Q1108">
        <v>0</v>
      </c>
      <c r="R1108">
        <v>0</v>
      </c>
      <c r="S1108">
        <v>0</v>
      </c>
      <c r="T1108" t="s">
        <v>54</v>
      </c>
      <c r="U1108" t="s">
        <v>55</v>
      </c>
      <c r="W1108" t="s">
        <v>3561</v>
      </c>
      <c r="Y1108">
        <v>0</v>
      </c>
      <c r="AA1108" t="s">
        <v>40</v>
      </c>
      <c r="AB1108" t="s">
        <v>46</v>
      </c>
      <c r="AC1108" t="s">
        <v>47</v>
      </c>
      <c r="AG1108" t="s">
        <v>3562</v>
      </c>
      <c r="AJ1108" t="s">
        <v>40</v>
      </c>
      <c r="AK1108">
        <v>5019314504</v>
      </c>
      <c r="AO1108" s="1">
        <v>45965</v>
      </c>
      <c r="AP1108" s="5">
        <v>0.41666666666666669</v>
      </c>
      <c r="AS1108">
        <v>1</v>
      </c>
    </row>
    <row r="1109" spans="1:45" x14ac:dyDescent="0.2">
      <c r="A1109">
        <f t="shared" si="70"/>
        <v>2025</v>
      </c>
      <c r="B1109">
        <f t="shared" si="71"/>
        <v>11</v>
      </c>
      <c r="C1109">
        <f t="shared" si="72"/>
        <v>45</v>
      </c>
      <c r="D1109" s="2">
        <f t="shared" si="73"/>
        <v>45965</v>
      </c>
      <c r="E1109" s="1">
        <v>45965.458333333336</v>
      </c>
      <c r="F1109" t="s">
        <v>3563</v>
      </c>
      <c r="G1109" t="s">
        <v>36</v>
      </c>
      <c r="H1109" t="s">
        <v>37</v>
      </c>
      <c r="I1109" t="s">
        <v>38</v>
      </c>
      <c r="J1109" t="s">
        <v>39</v>
      </c>
      <c r="M1109" t="s">
        <v>40</v>
      </c>
      <c r="N1109" t="s">
        <v>41</v>
      </c>
      <c r="O1109" t="s">
        <v>42</v>
      </c>
      <c r="P1109">
        <v>23</v>
      </c>
      <c r="Q1109">
        <v>0</v>
      </c>
      <c r="R1109">
        <v>0</v>
      </c>
      <c r="S1109">
        <v>0</v>
      </c>
      <c r="T1109" t="s">
        <v>3564</v>
      </c>
      <c r="U1109" t="s">
        <v>44</v>
      </c>
      <c r="W1109" t="s">
        <v>3526</v>
      </c>
      <c r="Y1109">
        <v>0</v>
      </c>
      <c r="AA1109" t="s">
        <v>40</v>
      </c>
      <c r="AB1109" t="s">
        <v>46</v>
      </c>
      <c r="AC1109" t="s">
        <v>47</v>
      </c>
      <c r="AF1109" t="s">
        <v>48</v>
      </c>
      <c r="AJ1109" t="s">
        <v>40</v>
      </c>
      <c r="AK1109" t="s">
        <v>49</v>
      </c>
      <c r="AO1109" s="1">
        <v>45965</v>
      </c>
      <c r="AP1109" s="5">
        <v>0.45833333333333331</v>
      </c>
      <c r="AS1109">
        <v>1</v>
      </c>
    </row>
    <row r="1110" spans="1:45" x14ac:dyDescent="0.2">
      <c r="A1110">
        <f t="shared" si="70"/>
        <v>2025</v>
      </c>
      <c r="B1110">
        <f t="shared" si="71"/>
        <v>11</v>
      </c>
      <c r="C1110">
        <f t="shared" si="72"/>
        <v>45</v>
      </c>
      <c r="D1110" s="2">
        <f t="shared" si="73"/>
        <v>45965</v>
      </c>
      <c r="E1110" s="1">
        <v>45965.458333333336</v>
      </c>
      <c r="F1110" t="s">
        <v>3565</v>
      </c>
      <c r="G1110" t="s">
        <v>36</v>
      </c>
      <c r="H1110" t="s">
        <v>111</v>
      </c>
      <c r="I1110" t="s">
        <v>38</v>
      </c>
      <c r="J1110" t="s">
        <v>99</v>
      </c>
      <c r="M1110" t="s">
        <v>40</v>
      </c>
      <c r="N1110" t="s">
        <v>41</v>
      </c>
      <c r="O1110" t="s">
        <v>42</v>
      </c>
      <c r="P1110">
        <v>16</v>
      </c>
      <c r="Q1110">
        <v>0</v>
      </c>
      <c r="R1110">
        <v>0</v>
      </c>
      <c r="S1110">
        <v>0</v>
      </c>
      <c r="T1110" t="s">
        <v>3566</v>
      </c>
      <c r="U1110" t="s">
        <v>44</v>
      </c>
      <c r="W1110" t="s">
        <v>3526</v>
      </c>
      <c r="Y1110">
        <v>0</v>
      </c>
      <c r="AA1110" t="s">
        <v>40</v>
      </c>
      <c r="AB1110" t="s">
        <v>46</v>
      </c>
      <c r="AC1110" t="s">
        <v>47</v>
      </c>
      <c r="AF1110" t="s">
        <v>48</v>
      </c>
      <c r="AJ1110" t="s">
        <v>40</v>
      </c>
      <c r="AK1110" t="s">
        <v>49</v>
      </c>
      <c r="AO1110" s="1">
        <v>45965</v>
      </c>
      <c r="AP1110" s="5">
        <v>0.45833333333333331</v>
      </c>
      <c r="AS1110">
        <v>1</v>
      </c>
    </row>
    <row r="1111" spans="1:45" x14ac:dyDescent="0.2">
      <c r="A1111">
        <f t="shared" si="70"/>
        <v>2025</v>
      </c>
      <c r="B1111">
        <f t="shared" si="71"/>
        <v>11</v>
      </c>
      <c r="C1111">
        <f t="shared" si="72"/>
        <v>45</v>
      </c>
      <c r="D1111" s="2">
        <f t="shared" si="73"/>
        <v>45965</v>
      </c>
      <c r="E1111" s="1">
        <v>45965.458333333336</v>
      </c>
      <c r="F1111" t="s">
        <v>3567</v>
      </c>
      <c r="G1111" t="s">
        <v>36</v>
      </c>
      <c r="H1111">
        <v>467310</v>
      </c>
      <c r="I1111" t="s">
        <v>51</v>
      </c>
      <c r="J1111" t="s">
        <v>52</v>
      </c>
      <c r="M1111" t="s">
        <v>40</v>
      </c>
      <c r="N1111" t="s">
        <v>41</v>
      </c>
      <c r="O1111" t="s">
        <v>53</v>
      </c>
      <c r="P1111">
        <v>33</v>
      </c>
      <c r="Q1111">
        <v>0</v>
      </c>
      <c r="R1111">
        <v>0</v>
      </c>
      <c r="S1111">
        <v>0</v>
      </c>
      <c r="T1111" t="s">
        <v>54</v>
      </c>
      <c r="U1111" t="s">
        <v>55</v>
      </c>
      <c r="W1111" t="s">
        <v>3509</v>
      </c>
      <c r="Y1111">
        <v>0</v>
      </c>
      <c r="AA1111" t="s">
        <v>40</v>
      </c>
      <c r="AB1111" t="s">
        <v>46</v>
      </c>
      <c r="AC1111" t="s">
        <v>47</v>
      </c>
      <c r="AG1111" t="s">
        <v>3568</v>
      </c>
      <c r="AJ1111" t="s">
        <v>40</v>
      </c>
      <c r="AK1111">
        <v>5019314381</v>
      </c>
      <c r="AO1111" s="1">
        <v>45965</v>
      </c>
      <c r="AP1111" s="5">
        <v>0.45833333333333331</v>
      </c>
      <c r="AS1111">
        <v>1</v>
      </c>
    </row>
    <row r="1112" spans="1:45" x14ac:dyDescent="0.2">
      <c r="A1112">
        <f t="shared" si="70"/>
        <v>2025</v>
      </c>
      <c r="B1112">
        <f t="shared" si="71"/>
        <v>11</v>
      </c>
      <c r="C1112">
        <f t="shared" si="72"/>
        <v>45</v>
      </c>
      <c r="D1112" s="2">
        <f t="shared" si="73"/>
        <v>45965</v>
      </c>
      <c r="E1112" s="1">
        <v>45965.458333333336</v>
      </c>
      <c r="F1112" t="s">
        <v>3569</v>
      </c>
      <c r="G1112" t="s">
        <v>36</v>
      </c>
      <c r="H1112">
        <v>467434</v>
      </c>
      <c r="I1112" t="s">
        <v>51</v>
      </c>
      <c r="J1112" t="s">
        <v>126</v>
      </c>
      <c r="M1112" t="s">
        <v>40</v>
      </c>
      <c r="N1112" t="s">
        <v>41</v>
      </c>
      <c r="O1112" t="s">
        <v>127</v>
      </c>
      <c r="P1112">
        <v>33</v>
      </c>
      <c r="Q1112">
        <v>0</v>
      </c>
      <c r="R1112">
        <v>0</v>
      </c>
      <c r="S1112">
        <v>0</v>
      </c>
      <c r="T1112" t="s">
        <v>54</v>
      </c>
      <c r="U1112" t="s">
        <v>233</v>
      </c>
      <c r="W1112" t="s">
        <v>3570</v>
      </c>
      <c r="X1112" t="s">
        <v>3571</v>
      </c>
      <c r="Y1112">
        <v>0</v>
      </c>
      <c r="AA1112" t="s">
        <v>40</v>
      </c>
      <c r="AB1112" t="s">
        <v>46</v>
      </c>
      <c r="AC1112" t="s">
        <v>47</v>
      </c>
      <c r="AG1112" t="s">
        <v>3572</v>
      </c>
      <c r="AJ1112" t="s">
        <v>40</v>
      </c>
      <c r="AK1112">
        <v>5019294997</v>
      </c>
      <c r="AL1112" t="s">
        <v>3573</v>
      </c>
      <c r="AM1112" t="s">
        <v>3574</v>
      </c>
      <c r="AO1112" s="1">
        <v>45965</v>
      </c>
      <c r="AP1112" s="5">
        <v>0.45833333333333331</v>
      </c>
      <c r="AS1112">
        <v>1</v>
      </c>
    </row>
    <row r="1113" spans="1:45" x14ac:dyDescent="0.2">
      <c r="A1113">
        <f t="shared" si="70"/>
        <v>2025</v>
      </c>
      <c r="B1113">
        <f t="shared" si="71"/>
        <v>11</v>
      </c>
      <c r="C1113">
        <f t="shared" si="72"/>
        <v>45</v>
      </c>
      <c r="D1113" s="2">
        <f t="shared" si="73"/>
        <v>45965</v>
      </c>
      <c r="E1113" s="1">
        <v>45965.5</v>
      </c>
      <c r="F1113" t="s">
        <v>3575</v>
      </c>
      <c r="G1113" t="s">
        <v>36</v>
      </c>
      <c r="H1113">
        <v>467313</v>
      </c>
      <c r="I1113" t="s">
        <v>51</v>
      </c>
      <c r="J1113" t="s">
        <v>52</v>
      </c>
      <c r="M1113" t="s">
        <v>40</v>
      </c>
      <c r="N1113" t="s">
        <v>41</v>
      </c>
      <c r="O1113" t="s">
        <v>53</v>
      </c>
      <c r="P1113">
        <v>33</v>
      </c>
      <c r="Q1113">
        <v>0</v>
      </c>
      <c r="R1113">
        <v>0</v>
      </c>
      <c r="S1113">
        <v>0</v>
      </c>
      <c r="T1113" t="s">
        <v>54</v>
      </c>
      <c r="U1113" t="s">
        <v>55</v>
      </c>
      <c r="W1113" t="s">
        <v>3242</v>
      </c>
      <c r="Y1113">
        <v>0</v>
      </c>
      <c r="AA1113" t="s">
        <v>40</v>
      </c>
      <c r="AB1113" t="s">
        <v>46</v>
      </c>
      <c r="AC1113" t="s">
        <v>47</v>
      </c>
      <c r="AG1113" t="s">
        <v>3576</v>
      </c>
      <c r="AJ1113" t="s">
        <v>40</v>
      </c>
      <c r="AK1113">
        <v>5019316473</v>
      </c>
      <c r="AO1113" s="1">
        <v>45965</v>
      </c>
      <c r="AP1113" s="5">
        <v>0.5</v>
      </c>
      <c r="AS1113">
        <v>1</v>
      </c>
    </row>
    <row r="1114" spans="1:45" x14ac:dyDescent="0.2">
      <c r="A1114">
        <f t="shared" si="70"/>
        <v>2025</v>
      </c>
      <c r="B1114">
        <f t="shared" si="71"/>
        <v>11</v>
      </c>
      <c r="C1114">
        <f t="shared" si="72"/>
        <v>45</v>
      </c>
      <c r="D1114" s="2">
        <f t="shared" si="73"/>
        <v>45965</v>
      </c>
      <c r="E1114" s="1">
        <v>45965.5</v>
      </c>
      <c r="F1114" t="s">
        <v>3577</v>
      </c>
      <c r="G1114" t="s">
        <v>36</v>
      </c>
      <c r="H1114" t="s">
        <v>111</v>
      </c>
      <c r="I1114" t="s">
        <v>38</v>
      </c>
      <c r="J1114" t="s">
        <v>99</v>
      </c>
      <c r="M1114" t="s">
        <v>40</v>
      </c>
      <c r="N1114" t="s">
        <v>41</v>
      </c>
      <c r="O1114" t="s">
        <v>42</v>
      </c>
      <c r="P1114">
        <v>24</v>
      </c>
      <c r="Q1114">
        <v>0</v>
      </c>
      <c r="R1114">
        <v>0</v>
      </c>
      <c r="S1114">
        <v>0</v>
      </c>
      <c r="T1114" t="s">
        <v>3578</v>
      </c>
      <c r="U1114" t="s">
        <v>44</v>
      </c>
      <c r="W1114" t="s">
        <v>3526</v>
      </c>
      <c r="Y1114">
        <v>0</v>
      </c>
      <c r="AA1114" t="s">
        <v>40</v>
      </c>
      <c r="AB1114" t="s">
        <v>46</v>
      </c>
      <c r="AC1114" t="s">
        <v>47</v>
      </c>
      <c r="AF1114" t="s">
        <v>48</v>
      </c>
      <c r="AJ1114" t="s">
        <v>40</v>
      </c>
      <c r="AK1114" t="s">
        <v>49</v>
      </c>
      <c r="AO1114" s="1">
        <v>45965</v>
      </c>
      <c r="AP1114" s="5">
        <v>0.5</v>
      </c>
      <c r="AS1114">
        <v>1</v>
      </c>
    </row>
    <row r="1115" spans="1:45" x14ac:dyDescent="0.2">
      <c r="A1115">
        <f t="shared" si="70"/>
        <v>2025</v>
      </c>
      <c r="B1115">
        <f t="shared" si="71"/>
        <v>11</v>
      </c>
      <c r="C1115">
        <f t="shared" si="72"/>
        <v>45</v>
      </c>
      <c r="D1115" s="2">
        <f t="shared" si="73"/>
        <v>45965</v>
      </c>
      <c r="E1115" s="1">
        <v>45965.5</v>
      </c>
      <c r="F1115" t="s">
        <v>3579</v>
      </c>
      <c r="G1115" t="s">
        <v>36</v>
      </c>
      <c r="H1115">
        <v>466897</v>
      </c>
      <c r="I1115" t="s">
        <v>51</v>
      </c>
      <c r="J1115" t="s">
        <v>126</v>
      </c>
      <c r="M1115" t="s">
        <v>40</v>
      </c>
      <c r="N1115" t="s">
        <v>41</v>
      </c>
      <c r="O1115" t="s">
        <v>436</v>
      </c>
      <c r="P1115">
        <v>22</v>
      </c>
      <c r="Q1115">
        <v>0</v>
      </c>
      <c r="R1115">
        <v>0</v>
      </c>
      <c r="S1115">
        <v>0</v>
      </c>
      <c r="T1115" t="s">
        <v>54</v>
      </c>
      <c r="U1115" t="s">
        <v>392</v>
      </c>
      <c r="W1115" t="s">
        <v>3580</v>
      </c>
      <c r="Y1115">
        <v>0</v>
      </c>
      <c r="AA1115" t="s">
        <v>40</v>
      </c>
      <c r="AB1115" t="s">
        <v>46</v>
      </c>
      <c r="AC1115" t="s">
        <v>47</v>
      </c>
      <c r="AG1115" t="s">
        <v>3581</v>
      </c>
      <c r="AJ1115" t="s">
        <v>40</v>
      </c>
      <c r="AK1115" t="s">
        <v>3582</v>
      </c>
      <c r="AO1115" s="1">
        <v>45965</v>
      </c>
      <c r="AP1115" s="5">
        <v>0.5</v>
      </c>
      <c r="AS1115">
        <v>1</v>
      </c>
    </row>
    <row r="1116" spans="1:45" x14ac:dyDescent="0.2">
      <c r="A1116">
        <f t="shared" si="70"/>
        <v>2025</v>
      </c>
      <c r="B1116">
        <f t="shared" si="71"/>
        <v>11</v>
      </c>
      <c r="C1116">
        <f t="shared" si="72"/>
        <v>45</v>
      </c>
      <c r="D1116" s="2">
        <f t="shared" si="73"/>
        <v>45965</v>
      </c>
      <c r="E1116" s="1">
        <v>45965.5</v>
      </c>
      <c r="F1116" t="s">
        <v>3583</v>
      </c>
      <c r="G1116" t="s">
        <v>36</v>
      </c>
      <c r="H1116" t="s">
        <v>3584</v>
      </c>
      <c r="I1116" t="s">
        <v>78</v>
      </c>
      <c r="J1116" t="s">
        <v>834</v>
      </c>
      <c r="M1116" t="s">
        <v>40</v>
      </c>
      <c r="N1116" t="s">
        <v>41</v>
      </c>
      <c r="O1116" t="s">
        <v>835</v>
      </c>
      <c r="P1116">
        <v>66</v>
      </c>
      <c r="Q1116">
        <v>0</v>
      </c>
      <c r="R1116">
        <v>0</v>
      </c>
      <c r="S1116">
        <v>0</v>
      </c>
      <c r="T1116" t="s">
        <v>54</v>
      </c>
      <c r="U1116" t="s">
        <v>55</v>
      </c>
      <c r="W1116" t="s">
        <v>3585</v>
      </c>
      <c r="X1116" t="s">
        <v>3586</v>
      </c>
      <c r="Y1116">
        <v>0</v>
      </c>
      <c r="AA1116" t="s">
        <v>40</v>
      </c>
      <c r="AB1116" t="s">
        <v>46</v>
      </c>
      <c r="AC1116" t="s">
        <v>47</v>
      </c>
      <c r="AD1116" t="s">
        <v>81</v>
      </c>
      <c r="AE1116" t="s">
        <v>81</v>
      </c>
      <c r="AG1116" t="s">
        <v>3587</v>
      </c>
      <c r="AJ1116" t="s">
        <v>40</v>
      </c>
      <c r="AK1116" t="s">
        <v>3588</v>
      </c>
      <c r="AL1116" t="s">
        <v>3589</v>
      </c>
      <c r="AO1116" s="1">
        <v>45965</v>
      </c>
      <c r="AP1116" s="5">
        <v>0.5</v>
      </c>
      <c r="AS1116">
        <v>1</v>
      </c>
    </row>
    <row r="1117" spans="1:45" x14ac:dyDescent="0.2">
      <c r="A1117">
        <f t="shared" si="70"/>
        <v>2025</v>
      </c>
      <c r="B1117">
        <f t="shared" si="71"/>
        <v>11</v>
      </c>
      <c r="C1117">
        <f t="shared" si="72"/>
        <v>45</v>
      </c>
      <c r="D1117" s="2">
        <f t="shared" si="73"/>
        <v>45965</v>
      </c>
      <c r="E1117" s="1">
        <v>45965.5</v>
      </c>
      <c r="F1117" t="s">
        <v>3590</v>
      </c>
      <c r="G1117" t="s">
        <v>36</v>
      </c>
      <c r="H1117" t="s">
        <v>106</v>
      </c>
      <c r="I1117" t="s">
        <v>38</v>
      </c>
      <c r="J1117" t="s">
        <v>107</v>
      </c>
      <c r="M1117" t="s">
        <v>40</v>
      </c>
      <c r="N1117" t="s">
        <v>41</v>
      </c>
      <c r="O1117" t="s">
        <v>42</v>
      </c>
      <c r="P1117">
        <v>33</v>
      </c>
      <c r="Q1117">
        <v>0</v>
      </c>
      <c r="R1117">
        <v>0</v>
      </c>
      <c r="S1117">
        <v>0</v>
      </c>
      <c r="T1117" t="s">
        <v>3591</v>
      </c>
      <c r="U1117" t="s">
        <v>44</v>
      </c>
      <c r="W1117" t="s">
        <v>3433</v>
      </c>
      <c r="Y1117">
        <v>0</v>
      </c>
      <c r="AA1117" t="s">
        <v>40</v>
      </c>
      <c r="AB1117" t="s">
        <v>46</v>
      </c>
      <c r="AC1117" t="s">
        <v>47</v>
      </c>
      <c r="AF1117" t="s">
        <v>2869</v>
      </c>
      <c r="AJ1117" t="s">
        <v>40</v>
      </c>
      <c r="AK1117" t="s">
        <v>49</v>
      </c>
      <c r="AO1117" s="1">
        <v>45965</v>
      </c>
      <c r="AP1117" s="5">
        <v>0.5</v>
      </c>
      <c r="AS1117">
        <v>1</v>
      </c>
    </row>
    <row r="1118" spans="1:45" x14ac:dyDescent="0.2">
      <c r="A1118">
        <f t="shared" si="70"/>
        <v>2025</v>
      </c>
      <c r="B1118">
        <f t="shared" si="71"/>
        <v>11</v>
      </c>
      <c r="C1118">
        <f t="shared" si="72"/>
        <v>45</v>
      </c>
      <c r="D1118" s="2">
        <f t="shared" si="73"/>
        <v>45965</v>
      </c>
      <c r="E1118" s="1">
        <v>45965.541666666664</v>
      </c>
      <c r="F1118" t="s">
        <v>3592</v>
      </c>
      <c r="G1118" t="s">
        <v>36</v>
      </c>
      <c r="H1118">
        <v>467312</v>
      </c>
      <c r="I1118" t="s">
        <v>51</v>
      </c>
      <c r="J1118" t="s">
        <v>154</v>
      </c>
      <c r="M1118" t="s">
        <v>40</v>
      </c>
      <c r="N1118" t="s">
        <v>41</v>
      </c>
      <c r="O1118" t="s">
        <v>53</v>
      </c>
      <c r="P1118">
        <v>33</v>
      </c>
      <c r="Q1118">
        <v>0</v>
      </c>
      <c r="R1118">
        <v>0</v>
      </c>
      <c r="S1118">
        <v>0</v>
      </c>
      <c r="T1118" t="s">
        <v>54</v>
      </c>
      <c r="U1118" t="s">
        <v>55</v>
      </c>
      <c r="W1118" t="s">
        <v>3593</v>
      </c>
      <c r="Y1118">
        <v>0</v>
      </c>
      <c r="AA1118" t="s">
        <v>40</v>
      </c>
      <c r="AB1118" t="s">
        <v>46</v>
      </c>
      <c r="AC1118" t="s">
        <v>47</v>
      </c>
      <c r="AG1118" t="s">
        <v>3594</v>
      </c>
      <c r="AJ1118" t="s">
        <v>40</v>
      </c>
      <c r="AK1118">
        <v>5019306757</v>
      </c>
      <c r="AO1118" s="1">
        <v>45965</v>
      </c>
      <c r="AP1118" s="5">
        <v>0.54166666666666663</v>
      </c>
      <c r="AS1118">
        <v>1</v>
      </c>
    </row>
    <row r="1119" spans="1:45" x14ac:dyDescent="0.2">
      <c r="A1119">
        <f t="shared" si="70"/>
        <v>2025</v>
      </c>
      <c r="B1119">
        <f t="shared" si="71"/>
        <v>11</v>
      </c>
      <c r="C1119">
        <f t="shared" si="72"/>
        <v>45</v>
      </c>
      <c r="D1119" s="2">
        <f t="shared" si="73"/>
        <v>45965</v>
      </c>
      <c r="E1119" s="1">
        <v>45965.541666666664</v>
      </c>
      <c r="F1119" t="s">
        <v>3595</v>
      </c>
      <c r="G1119" t="s">
        <v>36</v>
      </c>
      <c r="H1119" t="s">
        <v>111</v>
      </c>
      <c r="I1119" t="s">
        <v>38</v>
      </c>
      <c r="J1119" t="s">
        <v>99</v>
      </c>
      <c r="M1119" t="s">
        <v>40</v>
      </c>
      <c r="N1119" t="s">
        <v>41</v>
      </c>
      <c r="O1119" t="s">
        <v>42</v>
      </c>
      <c r="P1119">
        <v>24</v>
      </c>
      <c r="Q1119">
        <v>0</v>
      </c>
      <c r="R1119">
        <v>0</v>
      </c>
      <c r="S1119">
        <v>0</v>
      </c>
      <c r="T1119" t="s">
        <v>3596</v>
      </c>
      <c r="U1119" t="s">
        <v>44</v>
      </c>
      <c r="W1119" t="s">
        <v>3526</v>
      </c>
      <c r="Y1119">
        <v>0</v>
      </c>
      <c r="AA1119" t="s">
        <v>40</v>
      </c>
      <c r="AB1119" t="s">
        <v>46</v>
      </c>
      <c r="AC1119" t="s">
        <v>47</v>
      </c>
      <c r="AF1119" t="s">
        <v>48</v>
      </c>
      <c r="AJ1119" t="s">
        <v>40</v>
      </c>
      <c r="AK1119" t="s">
        <v>49</v>
      </c>
      <c r="AO1119" s="1">
        <v>45965</v>
      </c>
      <c r="AP1119" s="5">
        <v>0.54166666666666663</v>
      </c>
      <c r="AS1119">
        <v>1</v>
      </c>
    </row>
    <row r="1120" spans="1:45" x14ac:dyDescent="0.2">
      <c r="A1120">
        <f t="shared" si="70"/>
        <v>2025</v>
      </c>
      <c r="B1120">
        <f t="shared" si="71"/>
        <v>11</v>
      </c>
      <c r="C1120">
        <f t="shared" si="72"/>
        <v>45</v>
      </c>
      <c r="D1120" s="2">
        <f t="shared" si="73"/>
        <v>45965</v>
      </c>
      <c r="E1120" s="1">
        <v>45965.541666666664</v>
      </c>
      <c r="F1120" t="s">
        <v>3597</v>
      </c>
      <c r="G1120" t="s">
        <v>36</v>
      </c>
      <c r="H1120" t="s">
        <v>106</v>
      </c>
      <c r="I1120" t="s">
        <v>38</v>
      </c>
      <c r="J1120" t="s">
        <v>107</v>
      </c>
      <c r="M1120" t="s">
        <v>40</v>
      </c>
      <c r="N1120" t="s">
        <v>41</v>
      </c>
      <c r="O1120" t="s">
        <v>42</v>
      </c>
      <c r="P1120">
        <v>33</v>
      </c>
      <c r="Q1120">
        <v>0</v>
      </c>
      <c r="R1120">
        <v>0</v>
      </c>
      <c r="S1120">
        <v>0</v>
      </c>
      <c r="T1120">
        <v>5019287984</v>
      </c>
      <c r="U1120" t="s">
        <v>44</v>
      </c>
      <c r="W1120" t="s">
        <v>3433</v>
      </c>
      <c r="Y1120">
        <v>0</v>
      </c>
      <c r="AA1120" t="s">
        <v>40</v>
      </c>
      <c r="AB1120" t="s">
        <v>46</v>
      </c>
      <c r="AC1120" t="s">
        <v>47</v>
      </c>
      <c r="AF1120" t="s">
        <v>2869</v>
      </c>
      <c r="AJ1120" t="s">
        <v>40</v>
      </c>
      <c r="AK1120" t="s">
        <v>49</v>
      </c>
      <c r="AO1120" s="1">
        <v>45965</v>
      </c>
      <c r="AP1120" s="5">
        <v>0.54166666666666663</v>
      </c>
      <c r="AS1120">
        <v>1</v>
      </c>
    </row>
    <row r="1121" spans="1:45" x14ac:dyDescent="0.2">
      <c r="A1121">
        <f t="shared" si="70"/>
        <v>2025</v>
      </c>
      <c r="B1121">
        <f t="shared" si="71"/>
        <v>11</v>
      </c>
      <c r="C1121">
        <f t="shared" si="72"/>
        <v>45</v>
      </c>
      <c r="D1121" s="2">
        <f t="shared" si="73"/>
        <v>45965</v>
      </c>
      <c r="E1121" s="1">
        <v>45965.583333333336</v>
      </c>
      <c r="F1121" t="s">
        <v>3598</v>
      </c>
      <c r="G1121" t="s">
        <v>36</v>
      </c>
      <c r="H1121" t="s">
        <v>320</v>
      </c>
      <c r="I1121" t="s">
        <v>38</v>
      </c>
      <c r="J1121" t="s">
        <v>321</v>
      </c>
      <c r="M1121" t="s">
        <v>40</v>
      </c>
      <c r="N1121" t="s">
        <v>41</v>
      </c>
      <c r="O1121" t="s">
        <v>42</v>
      </c>
      <c r="P1121">
        <v>33</v>
      </c>
      <c r="Q1121">
        <v>0</v>
      </c>
      <c r="R1121">
        <v>0</v>
      </c>
      <c r="S1121">
        <v>0</v>
      </c>
      <c r="T1121" t="s">
        <v>3599</v>
      </c>
      <c r="U1121" t="s">
        <v>44</v>
      </c>
      <c r="W1121" t="s">
        <v>3433</v>
      </c>
      <c r="Y1121">
        <v>0</v>
      </c>
      <c r="AA1121" t="s">
        <v>40</v>
      </c>
      <c r="AB1121" t="s">
        <v>46</v>
      </c>
      <c r="AC1121" t="s">
        <v>47</v>
      </c>
      <c r="AF1121" t="s">
        <v>322</v>
      </c>
      <c r="AJ1121" t="s">
        <v>40</v>
      </c>
      <c r="AK1121" t="s">
        <v>49</v>
      </c>
      <c r="AO1121" s="1">
        <v>45965</v>
      </c>
      <c r="AP1121" s="5">
        <v>0.58333333333333337</v>
      </c>
      <c r="AS1121">
        <v>1</v>
      </c>
    </row>
    <row r="1122" spans="1:45" x14ac:dyDescent="0.2">
      <c r="A1122">
        <f t="shared" si="70"/>
        <v>2025</v>
      </c>
      <c r="B1122">
        <f t="shared" si="71"/>
        <v>11</v>
      </c>
      <c r="C1122">
        <f t="shared" si="72"/>
        <v>45</v>
      </c>
      <c r="D1122" s="2">
        <f t="shared" si="73"/>
        <v>45965</v>
      </c>
      <c r="E1122" s="1">
        <v>45965.583333333336</v>
      </c>
      <c r="F1122" t="s">
        <v>3600</v>
      </c>
      <c r="G1122" t="s">
        <v>36</v>
      </c>
      <c r="H1122" t="s">
        <v>111</v>
      </c>
      <c r="I1122" t="s">
        <v>38</v>
      </c>
      <c r="J1122" t="s">
        <v>99</v>
      </c>
      <c r="M1122" t="s">
        <v>40</v>
      </c>
      <c r="N1122" t="s">
        <v>41</v>
      </c>
      <c r="O1122" t="s">
        <v>42</v>
      </c>
      <c r="P1122">
        <v>24</v>
      </c>
      <c r="Q1122">
        <v>0</v>
      </c>
      <c r="R1122">
        <v>0</v>
      </c>
      <c r="S1122">
        <v>0</v>
      </c>
      <c r="T1122" t="s">
        <v>3601</v>
      </c>
      <c r="U1122" t="s">
        <v>44</v>
      </c>
      <c r="W1122" t="s">
        <v>3526</v>
      </c>
      <c r="Y1122">
        <v>0</v>
      </c>
      <c r="AA1122" t="s">
        <v>40</v>
      </c>
      <c r="AB1122" t="s">
        <v>46</v>
      </c>
      <c r="AC1122" t="s">
        <v>47</v>
      </c>
      <c r="AF1122" t="s">
        <v>48</v>
      </c>
      <c r="AJ1122" t="s">
        <v>40</v>
      </c>
      <c r="AK1122" t="s">
        <v>49</v>
      </c>
      <c r="AO1122" s="1">
        <v>45965</v>
      </c>
      <c r="AP1122" s="5">
        <v>0.58333333333333337</v>
      </c>
      <c r="AS1122">
        <v>1</v>
      </c>
    </row>
    <row r="1123" spans="1:45" x14ac:dyDescent="0.2">
      <c r="A1123">
        <f t="shared" si="70"/>
        <v>2025</v>
      </c>
      <c r="B1123">
        <f t="shared" si="71"/>
        <v>11</v>
      </c>
      <c r="C1123">
        <f t="shared" si="72"/>
        <v>45</v>
      </c>
      <c r="D1123" s="2">
        <f t="shared" si="73"/>
        <v>45965</v>
      </c>
      <c r="E1123" s="1">
        <v>45965.583333333336</v>
      </c>
      <c r="F1123" t="s">
        <v>3602</v>
      </c>
      <c r="G1123" t="s">
        <v>36</v>
      </c>
      <c r="H1123">
        <v>464136</v>
      </c>
      <c r="I1123" t="s">
        <v>51</v>
      </c>
      <c r="J1123" t="s">
        <v>154</v>
      </c>
      <c r="M1123" t="s">
        <v>40</v>
      </c>
      <c r="N1123" t="s">
        <v>41</v>
      </c>
      <c r="O1123" t="s">
        <v>155</v>
      </c>
      <c r="P1123">
        <v>33</v>
      </c>
      <c r="Q1123">
        <v>0</v>
      </c>
      <c r="R1123">
        <v>0</v>
      </c>
      <c r="S1123">
        <v>0</v>
      </c>
      <c r="T1123" t="s">
        <v>54</v>
      </c>
      <c r="U1123" t="s">
        <v>55</v>
      </c>
      <c r="W1123" t="s">
        <v>3039</v>
      </c>
      <c r="Y1123">
        <v>0</v>
      </c>
      <c r="AA1123" t="s">
        <v>40</v>
      </c>
      <c r="AB1123" t="s">
        <v>46</v>
      </c>
      <c r="AC1123" t="s">
        <v>47</v>
      </c>
      <c r="AG1123" t="s">
        <v>3603</v>
      </c>
      <c r="AJ1123" t="s">
        <v>40</v>
      </c>
      <c r="AK1123">
        <v>5019324206</v>
      </c>
      <c r="AO1123" s="1">
        <v>45965</v>
      </c>
      <c r="AP1123" s="5">
        <v>0.58333333333333337</v>
      </c>
      <c r="AS1123">
        <v>1</v>
      </c>
    </row>
    <row r="1124" spans="1:45" x14ac:dyDescent="0.2">
      <c r="A1124">
        <f t="shared" si="70"/>
        <v>2025</v>
      </c>
      <c r="B1124">
        <f t="shared" si="71"/>
        <v>11</v>
      </c>
      <c r="C1124">
        <f t="shared" si="72"/>
        <v>45</v>
      </c>
      <c r="D1124" s="2">
        <f t="shared" si="73"/>
        <v>45965</v>
      </c>
      <c r="E1124" s="1">
        <v>45965.625</v>
      </c>
      <c r="F1124" t="s">
        <v>3604</v>
      </c>
      <c r="G1124" t="s">
        <v>36</v>
      </c>
      <c r="H1124">
        <v>464139</v>
      </c>
      <c r="I1124" t="s">
        <v>51</v>
      </c>
      <c r="J1124" t="s">
        <v>154</v>
      </c>
      <c r="M1124" t="s">
        <v>40</v>
      </c>
      <c r="N1124" t="s">
        <v>41</v>
      </c>
      <c r="O1124" t="s">
        <v>155</v>
      </c>
      <c r="P1124">
        <v>33</v>
      </c>
      <c r="Q1124">
        <v>0</v>
      </c>
      <c r="R1124">
        <v>0</v>
      </c>
      <c r="S1124">
        <v>0</v>
      </c>
      <c r="T1124" t="s">
        <v>54</v>
      </c>
      <c r="U1124" t="s">
        <v>55</v>
      </c>
      <c r="W1124" t="s">
        <v>3526</v>
      </c>
      <c r="Y1124">
        <v>0</v>
      </c>
      <c r="AA1124" t="s">
        <v>40</v>
      </c>
      <c r="AB1124" t="s">
        <v>46</v>
      </c>
      <c r="AC1124" t="s">
        <v>47</v>
      </c>
      <c r="AG1124" t="s">
        <v>3605</v>
      </c>
      <c r="AJ1124" t="s">
        <v>40</v>
      </c>
      <c r="AK1124">
        <v>5019317094</v>
      </c>
      <c r="AO1124" s="1">
        <v>45965</v>
      </c>
      <c r="AP1124" s="5">
        <v>0.625</v>
      </c>
      <c r="AS1124">
        <v>1</v>
      </c>
    </row>
    <row r="1125" spans="1:45" x14ac:dyDescent="0.2">
      <c r="A1125">
        <f t="shared" si="70"/>
        <v>2025</v>
      </c>
      <c r="B1125">
        <f t="shared" si="71"/>
        <v>11</v>
      </c>
      <c r="C1125">
        <f t="shared" si="72"/>
        <v>45</v>
      </c>
      <c r="D1125" s="2">
        <f t="shared" si="73"/>
        <v>45965</v>
      </c>
      <c r="E1125" s="1">
        <v>45965.625</v>
      </c>
      <c r="F1125" t="s">
        <v>3606</v>
      </c>
      <c r="G1125" t="s">
        <v>36</v>
      </c>
      <c r="H1125" t="s">
        <v>297</v>
      </c>
      <c r="I1125" t="s">
        <v>38</v>
      </c>
      <c r="J1125" t="s">
        <v>112</v>
      </c>
      <c r="M1125" t="s">
        <v>40</v>
      </c>
      <c r="N1125" t="s">
        <v>41</v>
      </c>
      <c r="O1125" t="s">
        <v>42</v>
      </c>
      <c r="P1125">
        <v>1</v>
      </c>
      <c r="Q1125">
        <v>0</v>
      </c>
      <c r="R1125">
        <v>0</v>
      </c>
      <c r="S1125">
        <v>0</v>
      </c>
      <c r="T1125" t="s">
        <v>3607</v>
      </c>
      <c r="U1125" t="s">
        <v>101</v>
      </c>
      <c r="W1125" t="s">
        <v>3526</v>
      </c>
      <c r="Y1125">
        <v>0</v>
      </c>
      <c r="AA1125" t="s">
        <v>40</v>
      </c>
      <c r="AB1125" t="s">
        <v>46</v>
      </c>
      <c r="AC1125" t="s">
        <v>47</v>
      </c>
      <c r="AF1125" t="s">
        <v>48</v>
      </c>
      <c r="AJ1125" t="s">
        <v>40</v>
      </c>
      <c r="AK1125" t="s">
        <v>49</v>
      </c>
      <c r="AO1125" s="1">
        <v>45965</v>
      </c>
      <c r="AP1125" s="5">
        <v>0.625</v>
      </c>
      <c r="AS1125">
        <v>1</v>
      </c>
    </row>
    <row r="1126" spans="1:45" x14ac:dyDescent="0.2">
      <c r="A1126">
        <f t="shared" si="70"/>
        <v>2025</v>
      </c>
      <c r="B1126">
        <f t="shared" si="71"/>
        <v>11</v>
      </c>
      <c r="C1126">
        <f t="shared" si="72"/>
        <v>45</v>
      </c>
      <c r="D1126" s="2">
        <f t="shared" si="73"/>
        <v>45965</v>
      </c>
      <c r="E1126" s="1">
        <v>45965.666666666664</v>
      </c>
      <c r="F1126" t="s">
        <v>3608</v>
      </c>
      <c r="G1126" t="s">
        <v>36</v>
      </c>
      <c r="H1126">
        <v>464112</v>
      </c>
      <c r="I1126" t="s">
        <v>51</v>
      </c>
      <c r="J1126" t="s">
        <v>154</v>
      </c>
      <c r="M1126" t="s">
        <v>40</v>
      </c>
      <c r="N1126" t="s">
        <v>41</v>
      </c>
      <c r="O1126" t="s">
        <v>155</v>
      </c>
      <c r="P1126">
        <v>33</v>
      </c>
      <c r="Q1126">
        <v>0</v>
      </c>
      <c r="R1126">
        <v>0</v>
      </c>
      <c r="S1126">
        <v>0</v>
      </c>
      <c r="T1126" t="s">
        <v>54</v>
      </c>
      <c r="U1126" t="s">
        <v>55</v>
      </c>
      <c r="W1126" t="s">
        <v>3526</v>
      </c>
      <c r="Y1126">
        <v>0</v>
      </c>
      <c r="AA1126" t="s">
        <v>40</v>
      </c>
      <c r="AB1126" t="s">
        <v>46</v>
      </c>
      <c r="AC1126" t="s">
        <v>47</v>
      </c>
      <c r="AG1126" t="s">
        <v>3609</v>
      </c>
      <c r="AJ1126" t="s">
        <v>40</v>
      </c>
      <c r="AK1126">
        <v>5019304439</v>
      </c>
      <c r="AO1126" s="1">
        <v>45965</v>
      </c>
      <c r="AP1126" s="5">
        <v>0.66666666666666663</v>
      </c>
      <c r="AS1126">
        <v>1</v>
      </c>
    </row>
    <row r="1127" spans="1:45" x14ac:dyDescent="0.2">
      <c r="A1127">
        <f t="shared" si="70"/>
        <v>2025</v>
      </c>
      <c r="B1127">
        <f t="shared" si="71"/>
        <v>11</v>
      </c>
      <c r="C1127">
        <f t="shared" si="72"/>
        <v>45</v>
      </c>
      <c r="D1127" s="2">
        <f t="shared" si="73"/>
        <v>45965</v>
      </c>
      <c r="E1127" s="1">
        <v>45965.666666666664</v>
      </c>
      <c r="F1127" t="s">
        <v>3610</v>
      </c>
      <c r="G1127" t="s">
        <v>36</v>
      </c>
      <c r="H1127">
        <v>464128</v>
      </c>
      <c r="I1127" t="s">
        <v>51</v>
      </c>
      <c r="J1127" t="s">
        <v>194</v>
      </c>
      <c r="M1127" t="s">
        <v>40</v>
      </c>
      <c r="N1127" t="s">
        <v>41</v>
      </c>
      <c r="O1127" t="s">
        <v>189</v>
      </c>
      <c r="P1127">
        <v>33</v>
      </c>
      <c r="Q1127">
        <v>0</v>
      </c>
      <c r="R1127">
        <v>0</v>
      </c>
      <c r="S1127">
        <v>0</v>
      </c>
      <c r="T1127" t="s">
        <v>54</v>
      </c>
      <c r="U1127" t="s">
        <v>55</v>
      </c>
      <c r="W1127" t="s">
        <v>3611</v>
      </c>
      <c r="Y1127">
        <v>0</v>
      </c>
      <c r="AA1127" t="s">
        <v>40</v>
      </c>
      <c r="AB1127" t="s">
        <v>46</v>
      </c>
      <c r="AC1127" t="s">
        <v>47</v>
      </c>
      <c r="AG1127" t="s">
        <v>3612</v>
      </c>
      <c r="AJ1127" t="s">
        <v>40</v>
      </c>
      <c r="AK1127">
        <v>5019309979</v>
      </c>
      <c r="AO1127" s="1">
        <v>45965</v>
      </c>
      <c r="AP1127" s="5">
        <v>0.66666666666666663</v>
      </c>
      <c r="AS1127">
        <v>1</v>
      </c>
    </row>
    <row r="1128" spans="1:45" x14ac:dyDescent="0.2">
      <c r="A1128">
        <f t="shared" si="70"/>
        <v>2025</v>
      </c>
      <c r="B1128">
        <f t="shared" si="71"/>
        <v>11</v>
      </c>
      <c r="C1128">
        <f t="shared" si="72"/>
        <v>45</v>
      </c>
      <c r="D1128" s="2">
        <f t="shared" si="73"/>
        <v>45965</v>
      </c>
      <c r="E1128" s="1">
        <v>45965.666666666664</v>
      </c>
      <c r="F1128" t="s">
        <v>3613</v>
      </c>
      <c r="G1128" t="s">
        <v>36</v>
      </c>
      <c r="H1128" t="s">
        <v>3614</v>
      </c>
      <c r="I1128" t="s">
        <v>1042</v>
      </c>
      <c r="J1128" t="s">
        <v>99</v>
      </c>
      <c r="M1128" t="s">
        <v>40</v>
      </c>
      <c r="N1128" t="s">
        <v>41</v>
      </c>
      <c r="O1128" t="s">
        <v>1043</v>
      </c>
      <c r="P1128">
        <v>13</v>
      </c>
      <c r="Q1128">
        <v>0</v>
      </c>
      <c r="R1128">
        <v>0</v>
      </c>
      <c r="S1128">
        <v>0</v>
      </c>
      <c r="T1128" t="s">
        <v>3615</v>
      </c>
      <c r="U1128" t="s">
        <v>44</v>
      </c>
      <c r="W1128" t="s">
        <v>3440</v>
      </c>
      <c r="Y1128">
        <v>0</v>
      </c>
      <c r="AA1128" t="s">
        <v>40</v>
      </c>
      <c r="AB1128" t="s">
        <v>46</v>
      </c>
      <c r="AC1128" t="s">
        <v>47</v>
      </c>
      <c r="AD1128" t="s">
        <v>81</v>
      </c>
      <c r="AE1128" t="s">
        <v>81</v>
      </c>
      <c r="AF1128" t="s">
        <v>367</v>
      </c>
      <c r="AG1128" t="s">
        <v>81</v>
      </c>
      <c r="AJ1128" t="s">
        <v>40</v>
      </c>
      <c r="AK1128" t="s">
        <v>49</v>
      </c>
      <c r="AL1128" t="s">
        <v>1045</v>
      </c>
      <c r="AN1128" t="s">
        <v>3616</v>
      </c>
      <c r="AO1128" s="1">
        <v>45965</v>
      </c>
      <c r="AP1128" s="5">
        <v>0.66666666666666663</v>
      </c>
      <c r="AS1128">
        <v>1</v>
      </c>
    </row>
    <row r="1129" spans="1:45" x14ac:dyDescent="0.2">
      <c r="A1129">
        <f t="shared" si="70"/>
        <v>2025</v>
      </c>
      <c r="B1129">
        <f t="shared" si="71"/>
        <v>11</v>
      </c>
      <c r="C1129">
        <f t="shared" si="72"/>
        <v>45</v>
      </c>
      <c r="D1129" s="2">
        <f t="shared" si="73"/>
        <v>45965</v>
      </c>
      <c r="E1129" s="1">
        <v>45965.708333333336</v>
      </c>
      <c r="F1129" t="s">
        <v>3617</v>
      </c>
      <c r="G1129" t="s">
        <v>36</v>
      </c>
      <c r="H1129" t="s">
        <v>3618</v>
      </c>
      <c r="I1129" t="s">
        <v>78</v>
      </c>
      <c r="J1129" t="s">
        <v>188</v>
      </c>
      <c r="M1129" t="s">
        <v>40</v>
      </c>
      <c r="N1129" t="s">
        <v>41</v>
      </c>
      <c r="O1129" t="s">
        <v>195</v>
      </c>
      <c r="P1129">
        <v>66</v>
      </c>
      <c r="Q1129">
        <v>0</v>
      </c>
      <c r="R1129">
        <v>0</v>
      </c>
      <c r="S1129">
        <v>0</v>
      </c>
      <c r="T1129" t="s">
        <v>54</v>
      </c>
      <c r="U1129" t="s">
        <v>55</v>
      </c>
      <c r="W1129" t="s">
        <v>3619</v>
      </c>
      <c r="Y1129">
        <v>0</v>
      </c>
      <c r="AA1129" t="s">
        <v>40</v>
      </c>
      <c r="AB1129" t="s">
        <v>46</v>
      </c>
      <c r="AC1129" t="s">
        <v>47</v>
      </c>
      <c r="AD1129" t="s">
        <v>81</v>
      </c>
      <c r="AE1129" t="s">
        <v>81</v>
      </c>
      <c r="AG1129" t="s">
        <v>3620</v>
      </c>
      <c r="AJ1129" t="s">
        <v>40</v>
      </c>
      <c r="AK1129" t="s">
        <v>3621</v>
      </c>
      <c r="AO1129" s="1">
        <v>45965</v>
      </c>
      <c r="AP1129" s="5">
        <v>0.70833333333333337</v>
      </c>
      <c r="AS1129">
        <v>1</v>
      </c>
    </row>
    <row r="1130" spans="1:45" x14ac:dyDescent="0.2">
      <c r="A1130">
        <f t="shared" si="70"/>
        <v>2025</v>
      </c>
      <c r="B1130">
        <f t="shared" si="71"/>
        <v>11</v>
      </c>
      <c r="C1130">
        <f t="shared" si="72"/>
        <v>45</v>
      </c>
      <c r="D1130" s="2">
        <f t="shared" si="73"/>
        <v>45965</v>
      </c>
      <c r="E1130" s="1">
        <v>45965.708333333336</v>
      </c>
      <c r="F1130" t="s">
        <v>3622</v>
      </c>
      <c r="G1130" t="s">
        <v>36</v>
      </c>
      <c r="H1130" t="s">
        <v>3623</v>
      </c>
      <c r="I1130" t="s">
        <v>78</v>
      </c>
      <c r="J1130" t="s">
        <v>2580</v>
      </c>
      <c r="M1130" t="s">
        <v>40</v>
      </c>
      <c r="N1130" t="s">
        <v>41</v>
      </c>
      <c r="O1130" t="s">
        <v>554</v>
      </c>
      <c r="P1130">
        <v>66</v>
      </c>
      <c r="Q1130">
        <v>0</v>
      </c>
      <c r="R1130">
        <v>0</v>
      </c>
      <c r="S1130">
        <v>0</v>
      </c>
      <c r="T1130" t="s">
        <v>54</v>
      </c>
      <c r="U1130" t="s">
        <v>55</v>
      </c>
      <c r="W1130" t="s">
        <v>3624</v>
      </c>
      <c r="Y1130">
        <v>0</v>
      </c>
      <c r="AA1130" t="s">
        <v>40</v>
      </c>
      <c r="AB1130" t="s">
        <v>46</v>
      </c>
      <c r="AC1130" t="s">
        <v>47</v>
      </c>
      <c r="AD1130" t="s">
        <v>81</v>
      </c>
      <c r="AE1130" t="s">
        <v>81</v>
      </c>
      <c r="AG1130" t="s">
        <v>3625</v>
      </c>
      <c r="AJ1130" t="s">
        <v>40</v>
      </c>
      <c r="AK1130" t="s">
        <v>3626</v>
      </c>
      <c r="AO1130" s="1">
        <v>45965</v>
      </c>
      <c r="AP1130" s="5">
        <v>0.70833333333333337</v>
      </c>
      <c r="AS1130">
        <v>1</v>
      </c>
    </row>
    <row r="1131" spans="1:45" x14ac:dyDescent="0.2">
      <c r="A1131">
        <f t="shared" si="70"/>
        <v>2025</v>
      </c>
      <c r="B1131">
        <f t="shared" si="71"/>
        <v>11</v>
      </c>
      <c r="C1131">
        <f t="shared" si="72"/>
        <v>45</v>
      </c>
      <c r="D1131" s="2">
        <f t="shared" si="73"/>
        <v>45965</v>
      </c>
      <c r="E1131" s="1">
        <v>45965.708333333336</v>
      </c>
      <c r="F1131" t="s">
        <v>3627</v>
      </c>
      <c r="G1131" t="s">
        <v>36</v>
      </c>
      <c r="H1131" t="s">
        <v>3628</v>
      </c>
      <c r="I1131" t="s">
        <v>78</v>
      </c>
      <c r="J1131" t="s">
        <v>188</v>
      </c>
      <c r="M1131" t="s">
        <v>40</v>
      </c>
      <c r="N1131" t="s">
        <v>41</v>
      </c>
      <c r="O1131" t="s">
        <v>195</v>
      </c>
      <c r="P1131">
        <v>66</v>
      </c>
      <c r="Q1131">
        <v>0</v>
      </c>
      <c r="R1131">
        <v>0</v>
      </c>
      <c r="S1131">
        <v>0</v>
      </c>
      <c r="T1131" t="s">
        <v>54</v>
      </c>
      <c r="U1131" t="s">
        <v>55</v>
      </c>
      <c r="W1131" t="s">
        <v>3629</v>
      </c>
      <c r="Y1131">
        <v>0</v>
      </c>
      <c r="AA1131" t="s">
        <v>40</v>
      </c>
      <c r="AB1131" t="s">
        <v>46</v>
      </c>
      <c r="AC1131" t="s">
        <v>47</v>
      </c>
      <c r="AD1131" t="s">
        <v>81</v>
      </c>
      <c r="AE1131" t="s">
        <v>81</v>
      </c>
      <c r="AG1131" t="s">
        <v>3630</v>
      </c>
      <c r="AJ1131" t="s">
        <v>40</v>
      </c>
      <c r="AK1131" t="s">
        <v>3631</v>
      </c>
      <c r="AO1131" s="1">
        <v>45965</v>
      </c>
      <c r="AP1131" s="5">
        <v>0.70833333333333337</v>
      </c>
      <c r="AS1131">
        <v>1</v>
      </c>
    </row>
    <row r="1132" spans="1:45" x14ac:dyDescent="0.2">
      <c r="A1132">
        <f t="shared" si="70"/>
        <v>2025</v>
      </c>
      <c r="B1132">
        <f t="shared" si="71"/>
        <v>11</v>
      </c>
      <c r="C1132">
        <f t="shared" si="72"/>
        <v>45</v>
      </c>
      <c r="D1132" s="2">
        <f t="shared" si="73"/>
        <v>45965</v>
      </c>
      <c r="E1132" s="1">
        <v>45965.75</v>
      </c>
      <c r="F1132" t="s">
        <v>3632</v>
      </c>
      <c r="G1132" t="s">
        <v>36</v>
      </c>
      <c r="H1132" t="s">
        <v>3633</v>
      </c>
      <c r="I1132" t="s">
        <v>78</v>
      </c>
      <c r="J1132" t="s">
        <v>713</v>
      </c>
      <c r="M1132" t="s">
        <v>40</v>
      </c>
      <c r="N1132" t="s">
        <v>41</v>
      </c>
      <c r="O1132" t="s">
        <v>714</v>
      </c>
      <c r="P1132">
        <v>66</v>
      </c>
      <c r="Q1132">
        <v>0</v>
      </c>
      <c r="R1132">
        <v>0</v>
      </c>
      <c r="S1132">
        <v>0</v>
      </c>
      <c r="T1132" t="s">
        <v>54</v>
      </c>
      <c r="U1132" t="s">
        <v>55</v>
      </c>
      <c r="W1132" t="s">
        <v>3634</v>
      </c>
      <c r="Y1132">
        <v>0</v>
      </c>
      <c r="AA1132" t="s">
        <v>40</v>
      </c>
      <c r="AB1132" t="s">
        <v>46</v>
      </c>
      <c r="AC1132" t="s">
        <v>47</v>
      </c>
      <c r="AD1132" t="s">
        <v>81</v>
      </c>
      <c r="AE1132" t="s">
        <v>81</v>
      </c>
      <c r="AG1132" t="s">
        <v>3635</v>
      </c>
      <c r="AJ1132" t="s">
        <v>40</v>
      </c>
      <c r="AK1132" t="s">
        <v>3636</v>
      </c>
      <c r="AO1132" s="1">
        <v>45965</v>
      </c>
      <c r="AP1132" s="5">
        <v>0.75</v>
      </c>
      <c r="AS1132">
        <v>1</v>
      </c>
    </row>
    <row r="1133" spans="1:45" x14ac:dyDescent="0.2">
      <c r="A1133">
        <f t="shared" si="70"/>
        <v>2025</v>
      </c>
      <c r="B1133">
        <f t="shared" si="71"/>
        <v>11</v>
      </c>
      <c r="C1133">
        <f t="shared" si="72"/>
        <v>45</v>
      </c>
      <c r="D1133" s="2">
        <f t="shared" si="73"/>
        <v>45965</v>
      </c>
      <c r="E1133" s="1">
        <v>45965.75</v>
      </c>
      <c r="F1133" t="s">
        <v>3637</v>
      </c>
      <c r="G1133" t="s">
        <v>36</v>
      </c>
      <c r="H1133" t="s">
        <v>3638</v>
      </c>
      <c r="I1133" t="s">
        <v>78</v>
      </c>
      <c r="J1133" t="s">
        <v>154</v>
      </c>
      <c r="M1133" t="s">
        <v>40</v>
      </c>
      <c r="N1133" t="s">
        <v>41</v>
      </c>
      <c r="O1133" t="s">
        <v>554</v>
      </c>
      <c r="P1133">
        <v>66</v>
      </c>
      <c r="Q1133">
        <v>0</v>
      </c>
      <c r="R1133">
        <v>0</v>
      </c>
      <c r="S1133">
        <v>0</v>
      </c>
      <c r="T1133" t="s">
        <v>54</v>
      </c>
      <c r="U1133" t="s">
        <v>55</v>
      </c>
      <c r="W1133" t="s">
        <v>3639</v>
      </c>
      <c r="Y1133">
        <v>0</v>
      </c>
      <c r="AA1133" t="s">
        <v>40</v>
      </c>
      <c r="AB1133" t="s">
        <v>46</v>
      </c>
      <c r="AC1133" t="s">
        <v>47</v>
      </c>
      <c r="AD1133" t="s">
        <v>81</v>
      </c>
      <c r="AE1133" t="s">
        <v>81</v>
      </c>
      <c r="AG1133" t="s">
        <v>3640</v>
      </c>
      <c r="AJ1133" t="s">
        <v>40</v>
      </c>
      <c r="AK1133" t="s">
        <v>3641</v>
      </c>
      <c r="AO1133" s="1">
        <v>45965</v>
      </c>
      <c r="AP1133" s="5">
        <v>0.75</v>
      </c>
      <c r="AS1133">
        <v>1</v>
      </c>
    </row>
    <row r="1134" spans="1:45" x14ac:dyDescent="0.2">
      <c r="A1134">
        <f t="shared" si="70"/>
        <v>2025</v>
      </c>
      <c r="B1134">
        <f t="shared" si="71"/>
        <v>11</v>
      </c>
      <c r="C1134">
        <f t="shared" si="72"/>
        <v>45</v>
      </c>
      <c r="D1134" s="2">
        <f t="shared" si="73"/>
        <v>45965</v>
      </c>
      <c r="E1134" s="1">
        <v>45965.75</v>
      </c>
      <c r="F1134" t="s">
        <v>3642</v>
      </c>
      <c r="G1134" t="s">
        <v>36</v>
      </c>
      <c r="H1134">
        <v>464129</v>
      </c>
      <c r="I1134" t="s">
        <v>51</v>
      </c>
      <c r="J1134" t="s">
        <v>126</v>
      </c>
      <c r="M1134" t="s">
        <v>40</v>
      </c>
      <c r="N1134" t="s">
        <v>41</v>
      </c>
      <c r="O1134" t="s">
        <v>127</v>
      </c>
      <c r="P1134">
        <v>33</v>
      </c>
      <c r="Q1134">
        <v>0</v>
      </c>
      <c r="R1134">
        <v>0</v>
      </c>
      <c r="S1134">
        <v>0</v>
      </c>
      <c r="T1134" t="s">
        <v>54</v>
      </c>
      <c r="U1134" t="s">
        <v>55</v>
      </c>
      <c r="W1134" t="s">
        <v>3643</v>
      </c>
      <c r="X1134" t="s">
        <v>3644</v>
      </c>
      <c r="Y1134">
        <v>0</v>
      </c>
      <c r="AA1134" t="s">
        <v>40</v>
      </c>
      <c r="AB1134" t="s">
        <v>46</v>
      </c>
      <c r="AC1134" t="s">
        <v>47</v>
      </c>
      <c r="AG1134" t="s">
        <v>3645</v>
      </c>
      <c r="AJ1134" t="s">
        <v>40</v>
      </c>
      <c r="AK1134">
        <v>5019324281</v>
      </c>
      <c r="AL1134" t="s">
        <v>3646</v>
      </c>
      <c r="AM1134" t="s">
        <v>3647</v>
      </c>
      <c r="AO1134" s="1">
        <v>45965</v>
      </c>
      <c r="AP1134" s="5">
        <v>0.75</v>
      </c>
      <c r="AS1134">
        <v>1</v>
      </c>
    </row>
    <row r="1135" spans="1:45" x14ac:dyDescent="0.2">
      <c r="A1135">
        <f t="shared" si="70"/>
        <v>2025</v>
      </c>
      <c r="B1135">
        <f t="shared" si="71"/>
        <v>11</v>
      </c>
      <c r="C1135">
        <f t="shared" si="72"/>
        <v>45</v>
      </c>
      <c r="D1135" s="2">
        <f t="shared" si="73"/>
        <v>45965</v>
      </c>
      <c r="E1135" s="1">
        <v>45965.791666666664</v>
      </c>
      <c r="F1135" t="s">
        <v>3648</v>
      </c>
      <c r="G1135" t="s">
        <v>36</v>
      </c>
      <c r="H1135">
        <v>464108</v>
      </c>
      <c r="I1135" t="s">
        <v>51</v>
      </c>
      <c r="J1135" t="s">
        <v>188</v>
      </c>
      <c r="M1135" t="s">
        <v>40</v>
      </c>
      <c r="N1135" t="s">
        <v>41</v>
      </c>
      <c r="O1135" t="s">
        <v>172</v>
      </c>
      <c r="P1135">
        <v>33</v>
      </c>
      <c r="Q1135">
        <v>0</v>
      </c>
      <c r="R1135">
        <v>0</v>
      </c>
      <c r="S1135">
        <v>0</v>
      </c>
      <c r="T1135" t="s">
        <v>54</v>
      </c>
      <c r="U1135" t="s">
        <v>55</v>
      </c>
      <c r="W1135" t="s">
        <v>3649</v>
      </c>
      <c r="X1135" t="s">
        <v>3650</v>
      </c>
      <c r="Y1135">
        <v>0</v>
      </c>
      <c r="AA1135" t="s">
        <v>40</v>
      </c>
      <c r="AB1135" t="s">
        <v>46</v>
      </c>
      <c r="AC1135" t="s">
        <v>47</v>
      </c>
      <c r="AG1135" t="s">
        <v>3651</v>
      </c>
      <c r="AJ1135" t="s">
        <v>40</v>
      </c>
      <c r="AK1135">
        <v>5019319586</v>
      </c>
      <c r="AL1135" t="s">
        <v>3652</v>
      </c>
      <c r="AM1135" t="s">
        <v>3653</v>
      </c>
      <c r="AO1135" s="1">
        <v>45965</v>
      </c>
      <c r="AP1135" s="5">
        <v>0.79166666666666663</v>
      </c>
      <c r="AS1135">
        <v>1</v>
      </c>
    </row>
    <row r="1136" spans="1:45" x14ac:dyDescent="0.2">
      <c r="A1136">
        <f t="shared" si="70"/>
        <v>2025</v>
      </c>
      <c r="B1136">
        <f t="shared" si="71"/>
        <v>11</v>
      </c>
      <c r="C1136">
        <f t="shared" si="72"/>
        <v>45</v>
      </c>
      <c r="D1136" s="2">
        <f t="shared" si="73"/>
        <v>45965</v>
      </c>
      <c r="E1136" s="1">
        <v>45965.791666666664</v>
      </c>
      <c r="F1136" t="s">
        <v>3654</v>
      </c>
      <c r="G1136" t="s">
        <v>36</v>
      </c>
      <c r="H1136">
        <v>464140</v>
      </c>
      <c r="I1136" t="s">
        <v>51</v>
      </c>
      <c r="J1136" t="s">
        <v>126</v>
      </c>
      <c r="M1136" t="s">
        <v>40</v>
      </c>
      <c r="N1136" t="s">
        <v>41</v>
      </c>
      <c r="O1136" t="s">
        <v>90</v>
      </c>
      <c r="P1136">
        <v>33</v>
      </c>
      <c r="Q1136">
        <v>0</v>
      </c>
      <c r="R1136">
        <v>0</v>
      </c>
      <c r="S1136">
        <v>0</v>
      </c>
      <c r="T1136" t="s">
        <v>54</v>
      </c>
      <c r="U1136" t="s">
        <v>55</v>
      </c>
      <c r="W1136" t="s">
        <v>2876</v>
      </c>
      <c r="X1136" t="s">
        <v>3655</v>
      </c>
      <c r="Y1136">
        <v>0</v>
      </c>
      <c r="AA1136" t="s">
        <v>40</v>
      </c>
      <c r="AB1136" t="s">
        <v>46</v>
      </c>
      <c r="AC1136" t="s">
        <v>47</v>
      </c>
      <c r="AG1136" t="s">
        <v>3656</v>
      </c>
      <c r="AJ1136" t="s">
        <v>40</v>
      </c>
      <c r="AK1136">
        <v>5019319444</v>
      </c>
      <c r="AL1136" t="s">
        <v>3657</v>
      </c>
      <c r="AM1136" t="s">
        <v>3658</v>
      </c>
      <c r="AO1136" s="1">
        <v>45965</v>
      </c>
      <c r="AP1136" s="5">
        <v>0.79166666666666663</v>
      </c>
      <c r="AS1136">
        <v>1</v>
      </c>
    </row>
    <row r="1137" spans="1:45" x14ac:dyDescent="0.2">
      <c r="A1137">
        <f t="shared" si="70"/>
        <v>2025</v>
      </c>
      <c r="B1137">
        <f t="shared" si="71"/>
        <v>11</v>
      </c>
      <c r="C1137">
        <f t="shared" si="72"/>
        <v>45</v>
      </c>
      <c r="D1137" s="2">
        <f t="shared" si="73"/>
        <v>45965</v>
      </c>
      <c r="E1137" s="1">
        <v>45965.833333333336</v>
      </c>
      <c r="F1137" t="s">
        <v>3659</v>
      </c>
      <c r="G1137" t="s">
        <v>36</v>
      </c>
      <c r="H1137" t="s">
        <v>3660</v>
      </c>
      <c r="I1137" t="s">
        <v>78</v>
      </c>
      <c r="J1137" t="s">
        <v>219</v>
      </c>
      <c r="M1137" t="s">
        <v>40</v>
      </c>
      <c r="N1137" t="s">
        <v>41</v>
      </c>
      <c r="O1137" t="s">
        <v>417</v>
      </c>
      <c r="P1137">
        <v>66</v>
      </c>
      <c r="Q1137">
        <v>0</v>
      </c>
      <c r="R1137">
        <v>0</v>
      </c>
      <c r="S1137">
        <v>0</v>
      </c>
      <c r="T1137" t="s">
        <v>54</v>
      </c>
      <c r="U1137" t="s">
        <v>55</v>
      </c>
      <c r="W1137" t="s">
        <v>3661</v>
      </c>
      <c r="X1137" t="s">
        <v>3662</v>
      </c>
      <c r="Y1137">
        <v>0</v>
      </c>
      <c r="AA1137" t="s">
        <v>40</v>
      </c>
      <c r="AB1137" t="s">
        <v>46</v>
      </c>
      <c r="AC1137" t="s">
        <v>47</v>
      </c>
      <c r="AD1137" t="s">
        <v>81</v>
      </c>
      <c r="AE1137" t="s">
        <v>81</v>
      </c>
      <c r="AG1137" t="s">
        <v>3663</v>
      </c>
      <c r="AJ1137" t="s">
        <v>40</v>
      </c>
      <c r="AK1137" t="s">
        <v>3664</v>
      </c>
      <c r="AL1137" t="s">
        <v>3665</v>
      </c>
      <c r="AM1137" t="s">
        <v>3666</v>
      </c>
      <c r="AO1137" s="1">
        <v>45965</v>
      </c>
      <c r="AP1137" s="5">
        <v>0.83333333333333337</v>
      </c>
      <c r="AS1137">
        <v>1</v>
      </c>
    </row>
    <row r="1138" spans="1:45" x14ac:dyDescent="0.2">
      <c r="A1138">
        <f t="shared" si="70"/>
        <v>2025</v>
      </c>
      <c r="B1138">
        <f t="shared" si="71"/>
        <v>11</v>
      </c>
      <c r="C1138">
        <f t="shared" si="72"/>
        <v>45</v>
      </c>
      <c r="D1138" s="2">
        <f t="shared" si="73"/>
        <v>45966</v>
      </c>
      <c r="E1138" s="1">
        <v>45966.25</v>
      </c>
      <c r="F1138" t="s">
        <v>3667</v>
      </c>
      <c r="G1138" t="s">
        <v>36</v>
      </c>
      <c r="H1138" t="s">
        <v>3668</v>
      </c>
      <c r="I1138" t="s">
        <v>78</v>
      </c>
      <c r="J1138" t="s">
        <v>52</v>
      </c>
      <c r="M1138" t="s">
        <v>40</v>
      </c>
      <c r="N1138" t="s">
        <v>41</v>
      </c>
      <c r="O1138" t="s">
        <v>79</v>
      </c>
      <c r="P1138">
        <v>66</v>
      </c>
      <c r="Q1138">
        <v>0</v>
      </c>
      <c r="R1138">
        <v>0</v>
      </c>
      <c r="S1138">
        <v>0</v>
      </c>
      <c r="T1138" t="s">
        <v>54</v>
      </c>
      <c r="U1138" t="s">
        <v>55</v>
      </c>
      <c r="W1138" t="s">
        <v>3669</v>
      </c>
      <c r="Y1138">
        <v>0</v>
      </c>
      <c r="AA1138" t="s">
        <v>40</v>
      </c>
      <c r="AB1138" t="s">
        <v>46</v>
      </c>
      <c r="AC1138" t="s">
        <v>47</v>
      </c>
      <c r="AD1138" t="s">
        <v>81</v>
      </c>
      <c r="AE1138" t="s">
        <v>81</v>
      </c>
      <c r="AG1138" t="s">
        <v>3670</v>
      </c>
      <c r="AJ1138" t="s">
        <v>40</v>
      </c>
      <c r="AK1138" t="s">
        <v>3671</v>
      </c>
      <c r="AO1138" s="1">
        <v>45966</v>
      </c>
      <c r="AP1138" s="5">
        <v>0.25</v>
      </c>
      <c r="AS1138">
        <v>1</v>
      </c>
    </row>
    <row r="1139" spans="1:45" x14ac:dyDescent="0.2">
      <c r="A1139">
        <f t="shared" si="70"/>
        <v>2025</v>
      </c>
      <c r="B1139">
        <f t="shared" si="71"/>
        <v>11</v>
      </c>
      <c r="C1139">
        <f t="shared" si="72"/>
        <v>45</v>
      </c>
      <c r="D1139" s="2">
        <f t="shared" si="73"/>
        <v>45966</v>
      </c>
      <c r="E1139" s="1">
        <v>45966.25</v>
      </c>
      <c r="F1139" t="s">
        <v>3672</v>
      </c>
      <c r="G1139" t="s">
        <v>36</v>
      </c>
      <c r="H1139" t="s">
        <v>3673</v>
      </c>
      <c r="I1139" t="s">
        <v>78</v>
      </c>
      <c r="J1139" t="s">
        <v>200</v>
      </c>
      <c r="M1139" t="s">
        <v>40</v>
      </c>
      <c r="N1139" t="s">
        <v>41</v>
      </c>
      <c r="O1139" t="s">
        <v>525</v>
      </c>
      <c r="P1139">
        <v>66</v>
      </c>
      <c r="Q1139">
        <v>0</v>
      </c>
      <c r="R1139">
        <v>0</v>
      </c>
      <c r="S1139">
        <v>0</v>
      </c>
      <c r="T1139" t="s">
        <v>54</v>
      </c>
      <c r="U1139" t="s">
        <v>55</v>
      </c>
      <c r="W1139" t="s">
        <v>3674</v>
      </c>
      <c r="Y1139">
        <v>0</v>
      </c>
      <c r="AA1139" t="s">
        <v>40</v>
      </c>
      <c r="AB1139" t="s">
        <v>46</v>
      </c>
      <c r="AC1139" t="s">
        <v>47</v>
      </c>
      <c r="AD1139" t="s">
        <v>81</v>
      </c>
      <c r="AE1139" t="s">
        <v>81</v>
      </c>
      <c r="AG1139" t="s">
        <v>3675</v>
      </c>
      <c r="AJ1139" t="s">
        <v>40</v>
      </c>
      <c r="AK1139" t="s">
        <v>3676</v>
      </c>
      <c r="AO1139" s="1">
        <v>45966</v>
      </c>
      <c r="AP1139" s="5">
        <v>0.25</v>
      </c>
      <c r="AS1139">
        <v>1</v>
      </c>
    </row>
    <row r="1140" spans="1:45" x14ac:dyDescent="0.2">
      <c r="A1140">
        <f t="shared" si="70"/>
        <v>2025</v>
      </c>
      <c r="B1140">
        <f t="shared" si="71"/>
        <v>11</v>
      </c>
      <c r="C1140">
        <f t="shared" si="72"/>
        <v>45</v>
      </c>
      <c r="D1140" s="2">
        <f t="shared" si="73"/>
        <v>45966</v>
      </c>
      <c r="E1140" s="1">
        <v>45966.291666666664</v>
      </c>
      <c r="F1140" t="s">
        <v>3677</v>
      </c>
      <c r="G1140" t="s">
        <v>36</v>
      </c>
      <c r="H1140" t="s">
        <v>253</v>
      </c>
      <c r="I1140" t="s">
        <v>38</v>
      </c>
      <c r="J1140" t="s">
        <v>254</v>
      </c>
      <c r="M1140" t="s">
        <v>40</v>
      </c>
      <c r="N1140" t="s">
        <v>41</v>
      </c>
      <c r="O1140" t="s">
        <v>42</v>
      </c>
      <c r="P1140">
        <v>1</v>
      </c>
      <c r="Q1140">
        <v>0</v>
      </c>
      <c r="R1140">
        <v>0</v>
      </c>
      <c r="S1140">
        <v>0</v>
      </c>
      <c r="T1140">
        <v>5019339899</v>
      </c>
      <c r="U1140" t="s">
        <v>101</v>
      </c>
      <c r="W1140" t="s">
        <v>3122</v>
      </c>
      <c r="Y1140">
        <v>0</v>
      </c>
      <c r="AA1140" t="s">
        <v>40</v>
      </c>
      <c r="AB1140" t="s">
        <v>46</v>
      </c>
      <c r="AC1140" t="s">
        <v>47</v>
      </c>
      <c r="AF1140" t="s">
        <v>48</v>
      </c>
      <c r="AJ1140" t="s">
        <v>40</v>
      </c>
      <c r="AK1140" t="s">
        <v>49</v>
      </c>
      <c r="AO1140" s="1">
        <v>45966</v>
      </c>
      <c r="AP1140" s="5">
        <v>0.29166666666666669</v>
      </c>
      <c r="AS1140">
        <v>1</v>
      </c>
    </row>
    <row r="1141" spans="1:45" x14ac:dyDescent="0.2">
      <c r="A1141">
        <f t="shared" si="70"/>
        <v>2025</v>
      </c>
      <c r="B1141">
        <f t="shared" si="71"/>
        <v>11</v>
      </c>
      <c r="C1141">
        <f t="shared" si="72"/>
        <v>45</v>
      </c>
      <c r="D1141" s="2">
        <f t="shared" si="73"/>
        <v>45966</v>
      </c>
      <c r="E1141" s="1">
        <v>45966.291666666664</v>
      </c>
      <c r="F1141" t="s">
        <v>3678</v>
      </c>
      <c r="G1141" t="s">
        <v>36</v>
      </c>
      <c r="H1141" t="s">
        <v>264</v>
      </c>
      <c r="I1141" t="s">
        <v>38</v>
      </c>
      <c r="J1141" t="s">
        <v>265</v>
      </c>
      <c r="M1141" t="s">
        <v>40</v>
      </c>
      <c r="N1141" t="s">
        <v>41</v>
      </c>
      <c r="O1141" t="s">
        <v>42</v>
      </c>
      <c r="P1141">
        <v>23</v>
      </c>
      <c r="Q1141">
        <v>0</v>
      </c>
      <c r="R1141">
        <v>0</v>
      </c>
      <c r="S1141">
        <v>0</v>
      </c>
      <c r="T1141" t="s">
        <v>3679</v>
      </c>
      <c r="U1141" t="s">
        <v>55</v>
      </c>
      <c r="W1141" t="s">
        <v>3197</v>
      </c>
      <c r="Y1141">
        <v>0</v>
      </c>
      <c r="AA1141" t="s">
        <v>40</v>
      </c>
      <c r="AB1141" t="s">
        <v>46</v>
      </c>
      <c r="AC1141" t="s">
        <v>47</v>
      </c>
      <c r="AF1141" t="s">
        <v>48</v>
      </c>
      <c r="AJ1141" t="s">
        <v>40</v>
      </c>
      <c r="AK1141" t="s">
        <v>49</v>
      </c>
      <c r="AO1141" s="1">
        <v>45966</v>
      </c>
      <c r="AP1141" s="5">
        <v>0.29166666666666669</v>
      </c>
      <c r="AS1141">
        <v>1</v>
      </c>
    </row>
    <row r="1142" spans="1:45" x14ac:dyDescent="0.2">
      <c r="A1142">
        <f t="shared" si="70"/>
        <v>2025</v>
      </c>
      <c r="B1142">
        <f t="shared" si="71"/>
        <v>11</v>
      </c>
      <c r="C1142">
        <f t="shared" si="72"/>
        <v>45</v>
      </c>
      <c r="D1142" s="2">
        <f t="shared" si="73"/>
        <v>45966</v>
      </c>
      <c r="E1142" s="1">
        <v>45966.291666666664</v>
      </c>
      <c r="F1142" t="s">
        <v>3680</v>
      </c>
      <c r="G1142" t="s">
        <v>36</v>
      </c>
      <c r="H1142">
        <v>467315</v>
      </c>
      <c r="I1142" t="s">
        <v>51</v>
      </c>
      <c r="J1142" t="s">
        <v>144</v>
      </c>
      <c r="M1142" t="s">
        <v>40</v>
      </c>
      <c r="N1142" t="s">
        <v>41</v>
      </c>
      <c r="O1142" t="s">
        <v>53</v>
      </c>
      <c r="P1142">
        <v>33</v>
      </c>
      <c r="Q1142">
        <v>0</v>
      </c>
      <c r="R1142">
        <v>0</v>
      </c>
      <c r="S1142">
        <v>0</v>
      </c>
      <c r="T1142" t="s">
        <v>54</v>
      </c>
      <c r="U1142" t="s">
        <v>55</v>
      </c>
      <c r="W1142" t="s">
        <v>3681</v>
      </c>
      <c r="X1142" t="s">
        <v>3682</v>
      </c>
      <c r="Y1142">
        <v>0</v>
      </c>
      <c r="AA1142" t="s">
        <v>40</v>
      </c>
      <c r="AB1142" t="s">
        <v>46</v>
      </c>
      <c r="AC1142" t="s">
        <v>47</v>
      </c>
      <c r="AG1142" t="s">
        <v>3683</v>
      </c>
      <c r="AJ1142" t="s">
        <v>40</v>
      </c>
      <c r="AK1142">
        <v>5019334886</v>
      </c>
      <c r="AL1142" t="s">
        <v>3684</v>
      </c>
      <c r="AM1142" t="s">
        <v>3685</v>
      </c>
      <c r="AO1142" s="1">
        <v>45966</v>
      </c>
      <c r="AP1142" s="5">
        <v>0.29166666666666669</v>
      </c>
      <c r="AS1142">
        <v>1</v>
      </c>
    </row>
    <row r="1143" spans="1:45" x14ac:dyDescent="0.2">
      <c r="A1143">
        <f t="shared" si="70"/>
        <v>2025</v>
      </c>
      <c r="B1143">
        <f t="shared" si="71"/>
        <v>11</v>
      </c>
      <c r="C1143">
        <f t="shared" si="72"/>
        <v>45</v>
      </c>
      <c r="D1143" s="2">
        <f t="shared" si="73"/>
        <v>45966</v>
      </c>
      <c r="E1143" s="1">
        <v>45966.333333333336</v>
      </c>
      <c r="F1143" t="s">
        <v>3686</v>
      </c>
      <c r="G1143" t="s">
        <v>36</v>
      </c>
      <c r="H1143">
        <v>469365</v>
      </c>
      <c r="I1143" t="s">
        <v>51</v>
      </c>
      <c r="J1143" t="s">
        <v>52</v>
      </c>
      <c r="M1143" t="s">
        <v>40</v>
      </c>
      <c r="N1143" t="s">
        <v>41</v>
      </c>
      <c r="O1143" t="s">
        <v>476</v>
      </c>
      <c r="P1143">
        <v>33</v>
      </c>
      <c r="Q1143">
        <v>0</v>
      </c>
      <c r="R1143">
        <v>0</v>
      </c>
      <c r="S1143">
        <v>0</v>
      </c>
      <c r="T1143" t="s">
        <v>54</v>
      </c>
      <c r="U1143" t="s">
        <v>55</v>
      </c>
      <c r="W1143" t="s">
        <v>3687</v>
      </c>
      <c r="Y1143">
        <v>0</v>
      </c>
      <c r="AA1143" t="s">
        <v>40</v>
      </c>
      <c r="AB1143" t="s">
        <v>46</v>
      </c>
      <c r="AC1143" t="s">
        <v>47</v>
      </c>
      <c r="AG1143" t="s">
        <v>3688</v>
      </c>
      <c r="AJ1143" t="s">
        <v>40</v>
      </c>
      <c r="AK1143">
        <v>5019325603</v>
      </c>
      <c r="AO1143" s="1">
        <v>45966</v>
      </c>
      <c r="AP1143" s="5">
        <v>0.33333333333333331</v>
      </c>
      <c r="AS1143">
        <v>1</v>
      </c>
    </row>
    <row r="1144" spans="1:45" x14ac:dyDescent="0.2">
      <c r="A1144">
        <f t="shared" si="70"/>
        <v>2025</v>
      </c>
      <c r="B1144">
        <f t="shared" si="71"/>
        <v>11</v>
      </c>
      <c r="C1144">
        <f t="shared" si="72"/>
        <v>45</v>
      </c>
      <c r="D1144" s="2">
        <f t="shared" si="73"/>
        <v>45966</v>
      </c>
      <c r="E1144" s="1">
        <v>45966.333333333336</v>
      </c>
      <c r="F1144" t="s">
        <v>3689</v>
      </c>
      <c r="G1144" t="s">
        <v>36</v>
      </c>
      <c r="H1144" t="s">
        <v>3690</v>
      </c>
      <c r="I1144" t="s">
        <v>38</v>
      </c>
      <c r="J1144" t="s">
        <v>60</v>
      </c>
      <c r="M1144" t="s">
        <v>40</v>
      </c>
      <c r="N1144" t="s">
        <v>41</v>
      </c>
      <c r="O1144" t="s">
        <v>42</v>
      </c>
      <c r="P1144">
        <v>20</v>
      </c>
      <c r="Q1144">
        <v>0</v>
      </c>
      <c r="R1144">
        <v>0</v>
      </c>
      <c r="S1144">
        <v>0</v>
      </c>
      <c r="T1144" t="s">
        <v>3691</v>
      </c>
      <c r="U1144" t="s">
        <v>44</v>
      </c>
      <c r="W1144" t="s">
        <v>3692</v>
      </c>
      <c r="Y1144">
        <v>0</v>
      </c>
      <c r="AA1144" t="s">
        <v>40</v>
      </c>
      <c r="AB1144" t="s">
        <v>46</v>
      </c>
      <c r="AC1144" t="s">
        <v>47</v>
      </c>
      <c r="AF1144" t="s">
        <v>133</v>
      </c>
      <c r="AJ1144" t="s">
        <v>40</v>
      </c>
      <c r="AK1144" t="s">
        <v>49</v>
      </c>
      <c r="AN1144">
        <v>261256752</v>
      </c>
      <c r="AO1144" s="1">
        <v>45966</v>
      </c>
      <c r="AP1144" s="5">
        <v>0.33333333333333331</v>
      </c>
      <c r="AS1144">
        <v>1</v>
      </c>
    </row>
    <row r="1145" spans="1:45" x14ac:dyDescent="0.2">
      <c r="A1145">
        <f t="shared" si="70"/>
        <v>2025</v>
      </c>
      <c r="B1145">
        <f t="shared" si="71"/>
        <v>11</v>
      </c>
      <c r="C1145">
        <f t="shared" si="72"/>
        <v>45</v>
      </c>
      <c r="D1145" s="2">
        <f t="shared" si="73"/>
        <v>45966</v>
      </c>
      <c r="E1145" s="1">
        <v>45966.333333333336</v>
      </c>
      <c r="F1145" t="s">
        <v>3693</v>
      </c>
      <c r="G1145" t="s">
        <v>36</v>
      </c>
      <c r="H1145" t="s">
        <v>3694</v>
      </c>
      <c r="I1145" t="s">
        <v>38</v>
      </c>
      <c r="J1145" t="s">
        <v>60</v>
      </c>
      <c r="M1145" t="s">
        <v>40</v>
      </c>
      <c r="N1145" t="s">
        <v>41</v>
      </c>
      <c r="O1145" t="s">
        <v>42</v>
      </c>
      <c r="P1145">
        <v>20</v>
      </c>
      <c r="Q1145">
        <v>0</v>
      </c>
      <c r="R1145">
        <v>0</v>
      </c>
      <c r="S1145">
        <v>0</v>
      </c>
      <c r="T1145" t="s">
        <v>3695</v>
      </c>
      <c r="U1145" t="s">
        <v>44</v>
      </c>
      <c r="W1145" t="s">
        <v>3692</v>
      </c>
      <c r="Y1145">
        <v>0</v>
      </c>
      <c r="AA1145" t="s">
        <v>40</v>
      </c>
      <c r="AB1145" t="s">
        <v>46</v>
      </c>
      <c r="AC1145" t="s">
        <v>47</v>
      </c>
      <c r="AF1145" t="s">
        <v>62</v>
      </c>
      <c r="AJ1145" t="s">
        <v>40</v>
      </c>
      <c r="AK1145" t="s">
        <v>49</v>
      </c>
      <c r="AN1145">
        <v>260110098</v>
      </c>
      <c r="AO1145" s="1">
        <v>45966</v>
      </c>
      <c r="AP1145" s="5">
        <v>0.33333333333333331</v>
      </c>
      <c r="AS1145">
        <v>1</v>
      </c>
    </row>
    <row r="1146" spans="1:45" x14ac:dyDescent="0.2">
      <c r="A1146">
        <f t="shared" si="70"/>
        <v>2025</v>
      </c>
      <c r="B1146">
        <f t="shared" si="71"/>
        <v>11</v>
      </c>
      <c r="C1146">
        <f t="shared" si="72"/>
        <v>45</v>
      </c>
      <c r="D1146" s="2">
        <f t="shared" si="73"/>
        <v>45966</v>
      </c>
      <c r="E1146" s="1">
        <v>45966.375</v>
      </c>
      <c r="F1146" t="s">
        <v>3696</v>
      </c>
      <c r="G1146" t="s">
        <v>36</v>
      </c>
      <c r="H1146" t="s">
        <v>37</v>
      </c>
      <c r="I1146" t="s">
        <v>38</v>
      </c>
      <c r="J1146" t="s">
        <v>112</v>
      </c>
      <c r="M1146" t="s">
        <v>40</v>
      </c>
      <c r="N1146" t="s">
        <v>41</v>
      </c>
      <c r="O1146" t="s">
        <v>42</v>
      </c>
      <c r="P1146">
        <v>23</v>
      </c>
      <c r="Q1146">
        <v>0</v>
      </c>
      <c r="R1146">
        <v>0</v>
      </c>
      <c r="S1146">
        <v>0</v>
      </c>
      <c r="T1146" t="s">
        <v>3697</v>
      </c>
      <c r="U1146" t="s">
        <v>44</v>
      </c>
      <c r="W1146" t="s">
        <v>3197</v>
      </c>
      <c r="Y1146">
        <v>0</v>
      </c>
      <c r="AA1146" t="s">
        <v>40</v>
      </c>
      <c r="AB1146" t="s">
        <v>46</v>
      </c>
      <c r="AC1146" t="s">
        <v>47</v>
      </c>
      <c r="AF1146" t="s">
        <v>48</v>
      </c>
      <c r="AJ1146" t="s">
        <v>40</v>
      </c>
      <c r="AK1146" t="s">
        <v>49</v>
      </c>
      <c r="AO1146" s="1">
        <v>45966</v>
      </c>
      <c r="AP1146" s="5">
        <v>0.375</v>
      </c>
      <c r="AS1146">
        <v>1</v>
      </c>
    </row>
    <row r="1147" spans="1:45" x14ac:dyDescent="0.2">
      <c r="A1147">
        <f t="shared" si="70"/>
        <v>2025</v>
      </c>
      <c r="B1147">
        <f t="shared" si="71"/>
        <v>11</v>
      </c>
      <c r="C1147">
        <f t="shared" si="72"/>
        <v>45</v>
      </c>
      <c r="D1147" s="2">
        <f t="shared" si="73"/>
        <v>45966</v>
      </c>
      <c r="E1147" s="1">
        <v>45966.375</v>
      </c>
      <c r="F1147" t="s">
        <v>3698</v>
      </c>
      <c r="G1147" t="s">
        <v>36</v>
      </c>
      <c r="H1147" t="s">
        <v>37</v>
      </c>
      <c r="I1147" t="s">
        <v>38</v>
      </c>
      <c r="J1147" t="s">
        <v>112</v>
      </c>
      <c r="M1147" t="s">
        <v>40</v>
      </c>
      <c r="N1147" t="s">
        <v>41</v>
      </c>
      <c r="O1147" t="s">
        <v>42</v>
      </c>
      <c r="P1147">
        <v>23</v>
      </c>
      <c r="Q1147">
        <v>0</v>
      </c>
      <c r="R1147">
        <v>0</v>
      </c>
      <c r="S1147">
        <v>0</v>
      </c>
      <c r="T1147" t="s">
        <v>3699</v>
      </c>
      <c r="U1147" t="s">
        <v>44</v>
      </c>
      <c r="W1147" t="s">
        <v>3197</v>
      </c>
      <c r="Y1147">
        <v>0</v>
      </c>
      <c r="AA1147" t="s">
        <v>40</v>
      </c>
      <c r="AB1147" t="s">
        <v>46</v>
      </c>
      <c r="AC1147" t="s">
        <v>47</v>
      </c>
      <c r="AF1147" t="s">
        <v>48</v>
      </c>
      <c r="AJ1147" t="s">
        <v>40</v>
      </c>
      <c r="AK1147" t="s">
        <v>49</v>
      </c>
      <c r="AO1147" s="1">
        <v>45966</v>
      </c>
      <c r="AP1147" s="5">
        <v>0.375</v>
      </c>
      <c r="AS1147">
        <v>1</v>
      </c>
    </row>
    <row r="1148" spans="1:45" x14ac:dyDescent="0.2">
      <c r="A1148">
        <f t="shared" si="70"/>
        <v>2025</v>
      </c>
      <c r="B1148">
        <f t="shared" si="71"/>
        <v>11</v>
      </c>
      <c r="C1148">
        <f t="shared" si="72"/>
        <v>45</v>
      </c>
      <c r="D1148" s="2">
        <f t="shared" si="73"/>
        <v>45966</v>
      </c>
      <c r="E1148" s="1">
        <v>45966.375</v>
      </c>
      <c r="F1148" t="s">
        <v>3700</v>
      </c>
      <c r="G1148" t="s">
        <v>36</v>
      </c>
      <c r="H1148">
        <v>469265</v>
      </c>
      <c r="I1148" t="s">
        <v>51</v>
      </c>
      <c r="J1148" t="s">
        <v>144</v>
      </c>
      <c r="M1148" t="s">
        <v>40</v>
      </c>
      <c r="N1148" t="s">
        <v>41</v>
      </c>
      <c r="O1148" t="s">
        <v>90</v>
      </c>
      <c r="P1148">
        <v>33</v>
      </c>
      <c r="Q1148">
        <v>0</v>
      </c>
      <c r="R1148">
        <v>0</v>
      </c>
      <c r="S1148">
        <v>0</v>
      </c>
      <c r="T1148" t="s">
        <v>54</v>
      </c>
      <c r="U1148" t="s">
        <v>55</v>
      </c>
      <c r="W1148" t="s">
        <v>3701</v>
      </c>
      <c r="X1148" t="s">
        <v>3702</v>
      </c>
      <c r="Y1148">
        <v>0</v>
      </c>
      <c r="AA1148" t="s">
        <v>40</v>
      </c>
      <c r="AB1148" t="s">
        <v>46</v>
      </c>
      <c r="AC1148" t="s">
        <v>47</v>
      </c>
      <c r="AG1148" t="s">
        <v>3703</v>
      </c>
      <c r="AJ1148" t="s">
        <v>40</v>
      </c>
      <c r="AK1148">
        <v>5019334963</v>
      </c>
      <c r="AL1148" t="s">
        <v>3704</v>
      </c>
      <c r="AM1148" t="s">
        <v>3705</v>
      </c>
      <c r="AO1148" s="1">
        <v>45966</v>
      </c>
      <c r="AP1148" s="5">
        <v>0.375</v>
      </c>
      <c r="AS1148">
        <v>1</v>
      </c>
    </row>
    <row r="1149" spans="1:45" x14ac:dyDescent="0.2">
      <c r="A1149">
        <f t="shared" si="70"/>
        <v>2025</v>
      </c>
      <c r="B1149">
        <f t="shared" si="71"/>
        <v>11</v>
      </c>
      <c r="C1149">
        <f t="shared" si="72"/>
        <v>45</v>
      </c>
      <c r="D1149" s="2">
        <f t="shared" si="73"/>
        <v>45966</v>
      </c>
      <c r="E1149" s="1">
        <v>45966.375</v>
      </c>
      <c r="F1149" t="s">
        <v>3706</v>
      </c>
      <c r="G1149" t="s">
        <v>36</v>
      </c>
      <c r="H1149" t="s">
        <v>264</v>
      </c>
      <c r="I1149" t="s">
        <v>38</v>
      </c>
      <c r="J1149" t="s">
        <v>265</v>
      </c>
      <c r="M1149" t="s">
        <v>40</v>
      </c>
      <c r="N1149" t="s">
        <v>41</v>
      </c>
      <c r="O1149" t="s">
        <v>42</v>
      </c>
      <c r="P1149">
        <v>23</v>
      </c>
      <c r="Q1149">
        <v>0</v>
      </c>
      <c r="R1149">
        <v>0</v>
      </c>
      <c r="S1149">
        <v>0</v>
      </c>
      <c r="T1149" t="s">
        <v>3410</v>
      </c>
      <c r="U1149" t="s">
        <v>233</v>
      </c>
      <c r="W1149" t="s">
        <v>3197</v>
      </c>
      <c r="Y1149">
        <v>0</v>
      </c>
      <c r="AA1149" t="s">
        <v>40</v>
      </c>
      <c r="AB1149" t="s">
        <v>46</v>
      </c>
      <c r="AC1149" t="s">
        <v>47</v>
      </c>
      <c r="AF1149" t="s">
        <v>48</v>
      </c>
      <c r="AJ1149" t="s">
        <v>40</v>
      </c>
      <c r="AK1149" t="s">
        <v>49</v>
      </c>
      <c r="AO1149" s="1">
        <v>45966</v>
      </c>
      <c r="AP1149" s="5">
        <v>0.375</v>
      </c>
      <c r="AS1149">
        <v>1</v>
      </c>
    </row>
    <row r="1150" spans="1:45" x14ac:dyDescent="0.2">
      <c r="A1150">
        <f t="shared" si="70"/>
        <v>2025</v>
      </c>
      <c r="B1150">
        <f t="shared" si="71"/>
        <v>11</v>
      </c>
      <c r="C1150">
        <f t="shared" si="72"/>
        <v>45</v>
      </c>
      <c r="D1150" s="2">
        <f t="shared" si="73"/>
        <v>45966</v>
      </c>
      <c r="E1150" s="1">
        <v>45966.375</v>
      </c>
      <c r="F1150" t="s">
        <v>3707</v>
      </c>
      <c r="G1150" t="s">
        <v>36</v>
      </c>
      <c r="H1150" t="s">
        <v>3708</v>
      </c>
      <c r="I1150" t="s">
        <v>38</v>
      </c>
      <c r="J1150" t="s">
        <v>3272</v>
      </c>
      <c r="M1150" t="s">
        <v>40</v>
      </c>
      <c r="N1150" t="s">
        <v>41</v>
      </c>
      <c r="O1150" t="s">
        <v>42</v>
      </c>
      <c r="P1150">
        <v>2</v>
      </c>
      <c r="Q1150">
        <v>0</v>
      </c>
      <c r="R1150">
        <v>0</v>
      </c>
      <c r="S1150">
        <v>0</v>
      </c>
      <c r="T1150" t="s">
        <v>3709</v>
      </c>
      <c r="U1150" t="s">
        <v>392</v>
      </c>
      <c r="W1150" t="s">
        <v>3710</v>
      </c>
      <c r="Y1150">
        <v>0</v>
      </c>
      <c r="AA1150" t="s">
        <v>40</v>
      </c>
      <c r="AB1150" t="s">
        <v>46</v>
      </c>
      <c r="AC1150" t="s">
        <v>47</v>
      </c>
      <c r="AF1150" t="s">
        <v>393</v>
      </c>
      <c r="AJ1150" t="s">
        <v>40</v>
      </c>
      <c r="AK1150" t="s">
        <v>49</v>
      </c>
      <c r="AO1150" s="1">
        <v>45966</v>
      </c>
      <c r="AP1150" s="5">
        <v>0.375</v>
      </c>
      <c r="AS1150">
        <v>1</v>
      </c>
    </row>
    <row r="1151" spans="1:45" x14ac:dyDescent="0.2">
      <c r="A1151">
        <f t="shared" si="70"/>
        <v>2025</v>
      </c>
      <c r="B1151">
        <f t="shared" si="71"/>
        <v>11</v>
      </c>
      <c r="C1151">
        <f t="shared" si="72"/>
        <v>45</v>
      </c>
      <c r="D1151" s="2">
        <f t="shared" si="73"/>
        <v>45966</v>
      </c>
      <c r="E1151" s="1">
        <v>45966.416666666664</v>
      </c>
      <c r="F1151" t="s">
        <v>3711</v>
      </c>
      <c r="G1151" t="s">
        <v>36</v>
      </c>
      <c r="H1151" t="s">
        <v>111</v>
      </c>
      <c r="I1151" t="s">
        <v>38</v>
      </c>
      <c r="J1151" t="s">
        <v>99</v>
      </c>
      <c r="M1151" t="s">
        <v>40</v>
      </c>
      <c r="N1151" t="s">
        <v>41</v>
      </c>
      <c r="O1151" t="s">
        <v>42</v>
      </c>
      <c r="P1151">
        <v>23</v>
      </c>
      <c r="Q1151">
        <v>0</v>
      </c>
      <c r="R1151">
        <v>0</v>
      </c>
      <c r="S1151">
        <v>0</v>
      </c>
      <c r="T1151" t="s">
        <v>3712</v>
      </c>
      <c r="U1151" t="s">
        <v>44</v>
      </c>
      <c r="W1151" t="s">
        <v>3197</v>
      </c>
      <c r="Y1151">
        <v>0</v>
      </c>
      <c r="AA1151" t="s">
        <v>40</v>
      </c>
      <c r="AB1151" t="s">
        <v>46</v>
      </c>
      <c r="AC1151" t="s">
        <v>47</v>
      </c>
      <c r="AF1151" t="s">
        <v>48</v>
      </c>
      <c r="AJ1151" t="s">
        <v>40</v>
      </c>
      <c r="AK1151" t="s">
        <v>49</v>
      </c>
      <c r="AO1151" s="1">
        <v>45966</v>
      </c>
      <c r="AP1151" s="5">
        <v>0.41666666666666669</v>
      </c>
      <c r="AS1151">
        <v>1</v>
      </c>
    </row>
    <row r="1152" spans="1:45" x14ac:dyDescent="0.2">
      <c r="A1152">
        <f t="shared" si="70"/>
        <v>2025</v>
      </c>
      <c r="B1152">
        <f t="shared" si="71"/>
        <v>11</v>
      </c>
      <c r="C1152">
        <f t="shared" si="72"/>
        <v>45</v>
      </c>
      <c r="D1152" s="2">
        <f t="shared" si="73"/>
        <v>45966</v>
      </c>
      <c r="E1152" s="1">
        <v>45966.416666666664</v>
      </c>
      <c r="F1152" t="s">
        <v>3713</v>
      </c>
      <c r="G1152" t="s">
        <v>36</v>
      </c>
      <c r="H1152">
        <v>466896</v>
      </c>
      <c r="I1152" t="s">
        <v>51</v>
      </c>
      <c r="J1152" t="s">
        <v>1059</v>
      </c>
      <c r="M1152" t="s">
        <v>40</v>
      </c>
      <c r="N1152" t="s">
        <v>41</v>
      </c>
      <c r="O1152" t="s">
        <v>436</v>
      </c>
      <c r="P1152">
        <v>22</v>
      </c>
      <c r="Q1152">
        <v>0</v>
      </c>
      <c r="R1152">
        <v>0</v>
      </c>
      <c r="S1152">
        <v>0</v>
      </c>
      <c r="T1152" t="s">
        <v>54</v>
      </c>
      <c r="U1152" t="s">
        <v>392</v>
      </c>
      <c r="W1152" t="s">
        <v>3714</v>
      </c>
      <c r="X1152" t="s">
        <v>3715</v>
      </c>
      <c r="Y1152">
        <v>0</v>
      </c>
      <c r="AA1152" t="s">
        <v>40</v>
      </c>
      <c r="AB1152" t="s">
        <v>46</v>
      </c>
      <c r="AC1152" t="s">
        <v>47</v>
      </c>
      <c r="AG1152" t="s">
        <v>3716</v>
      </c>
      <c r="AJ1152" t="s">
        <v>40</v>
      </c>
      <c r="AK1152" t="s">
        <v>3717</v>
      </c>
      <c r="AL1152" t="s">
        <v>3718</v>
      </c>
      <c r="AO1152" s="1">
        <v>45966</v>
      </c>
      <c r="AP1152" s="5">
        <v>0.41666666666666669</v>
      </c>
      <c r="AS1152">
        <v>1</v>
      </c>
    </row>
    <row r="1153" spans="1:45" x14ac:dyDescent="0.2">
      <c r="A1153">
        <f t="shared" si="70"/>
        <v>2025</v>
      </c>
      <c r="B1153">
        <f t="shared" si="71"/>
        <v>11</v>
      </c>
      <c r="C1153">
        <f t="shared" si="72"/>
        <v>45</v>
      </c>
      <c r="D1153" s="2">
        <f t="shared" si="73"/>
        <v>45966</v>
      </c>
      <c r="E1153" s="1">
        <v>45966.416666666664</v>
      </c>
      <c r="F1153" t="s">
        <v>3719</v>
      </c>
      <c r="G1153" t="s">
        <v>36</v>
      </c>
      <c r="H1153">
        <v>466898</v>
      </c>
      <c r="I1153" t="s">
        <v>51</v>
      </c>
      <c r="J1153" t="s">
        <v>1059</v>
      </c>
      <c r="M1153" t="s">
        <v>40</v>
      </c>
      <c r="N1153" t="s">
        <v>41</v>
      </c>
      <c r="O1153" t="s">
        <v>436</v>
      </c>
      <c r="P1153">
        <v>22</v>
      </c>
      <c r="Q1153">
        <v>0</v>
      </c>
      <c r="R1153">
        <v>0</v>
      </c>
      <c r="S1153">
        <v>0</v>
      </c>
      <c r="T1153" t="s">
        <v>54</v>
      </c>
      <c r="U1153" t="s">
        <v>392</v>
      </c>
      <c r="W1153" t="s">
        <v>3661</v>
      </c>
      <c r="X1153" t="s">
        <v>3720</v>
      </c>
      <c r="Y1153">
        <v>0</v>
      </c>
      <c r="AA1153" t="s">
        <v>40</v>
      </c>
      <c r="AB1153" t="s">
        <v>46</v>
      </c>
      <c r="AC1153" t="s">
        <v>47</v>
      </c>
      <c r="AG1153" t="s">
        <v>3721</v>
      </c>
      <c r="AJ1153" t="s">
        <v>40</v>
      </c>
      <c r="AK1153">
        <v>5019323794</v>
      </c>
      <c r="AL1153" t="s">
        <v>3722</v>
      </c>
      <c r="AO1153" s="1">
        <v>45966</v>
      </c>
      <c r="AP1153" s="5">
        <v>0.41666666666666669</v>
      </c>
      <c r="AS1153">
        <v>1</v>
      </c>
    </row>
    <row r="1154" spans="1:45" x14ac:dyDescent="0.2">
      <c r="A1154">
        <f t="shared" ref="A1154:A1217" si="74">YEAR(D1154)</f>
        <v>2025</v>
      </c>
      <c r="B1154">
        <f t="shared" ref="B1154:B1217" si="75">MONTH(D1154)</f>
        <v>11</v>
      </c>
      <c r="C1154">
        <f t="shared" ref="C1154:C1217" si="76">WEEKNUM(D1154)</f>
        <v>45</v>
      </c>
      <c r="D1154" s="2">
        <f t="shared" ref="D1154:D1217" si="77">INT(E1154)</f>
        <v>45966</v>
      </c>
      <c r="E1154" s="1">
        <v>45966.416666666664</v>
      </c>
      <c r="F1154" t="s">
        <v>3723</v>
      </c>
      <c r="G1154" t="s">
        <v>36</v>
      </c>
      <c r="H1154" t="s">
        <v>111</v>
      </c>
      <c r="I1154" t="s">
        <v>38</v>
      </c>
      <c r="J1154" t="s">
        <v>99</v>
      </c>
      <c r="M1154" t="s">
        <v>40</v>
      </c>
      <c r="N1154" t="s">
        <v>41</v>
      </c>
      <c r="O1154" t="s">
        <v>42</v>
      </c>
      <c r="P1154">
        <v>23</v>
      </c>
      <c r="Q1154">
        <v>0</v>
      </c>
      <c r="R1154">
        <v>0</v>
      </c>
      <c r="S1154">
        <v>0</v>
      </c>
      <c r="T1154" t="s">
        <v>3724</v>
      </c>
      <c r="U1154" t="s">
        <v>44</v>
      </c>
      <c r="W1154" t="s">
        <v>3197</v>
      </c>
      <c r="Y1154">
        <v>0</v>
      </c>
      <c r="AA1154" t="s">
        <v>40</v>
      </c>
      <c r="AB1154" t="s">
        <v>46</v>
      </c>
      <c r="AC1154" t="s">
        <v>47</v>
      </c>
      <c r="AF1154" t="s">
        <v>48</v>
      </c>
      <c r="AJ1154" t="s">
        <v>40</v>
      </c>
      <c r="AK1154" t="s">
        <v>49</v>
      </c>
      <c r="AO1154" s="1">
        <v>45966</v>
      </c>
      <c r="AP1154" s="5">
        <v>0.41666666666666669</v>
      </c>
      <c r="AS1154">
        <v>1</v>
      </c>
    </row>
    <row r="1155" spans="1:45" x14ac:dyDescent="0.2">
      <c r="A1155">
        <f t="shared" si="74"/>
        <v>2025</v>
      </c>
      <c r="B1155">
        <f t="shared" si="75"/>
        <v>11</v>
      </c>
      <c r="C1155">
        <f t="shared" si="76"/>
        <v>45</v>
      </c>
      <c r="D1155" s="2">
        <f t="shared" si="77"/>
        <v>45966</v>
      </c>
      <c r="E1155" s="1">
        <v>45966.416666666664</v>
      </c>
      <c r="F1155" t="s">
        <v>3725</v>
      </c>
      <c r="G1155" t="s">
        <v>36</v>
      </c>
      <c r="H1155" t="s">
        <v>3726</v>
      </c>
      <c r="I1155" t="s">
        <v>162</v>
      </c>
      <c r="J1155" t="s">
        <v>1032</v>
      </c>
      <c r="M1155" t="s">
        <v>40</v>
      </c>
      <c r="N1155" t="s">
        <v>41</v>
      </c>
      <c r="O1155" t="s">
        <v>3727</v>
      </c>
      <c r="P1155">
        <v>24</v>
      </c>
      <c r="Q1155">
        <v>0</v>
      </c>
      <c r="R1155">
        <v>0</v>
      </c>
      <c r="S1155">
        <v>0</v>
      </c>
      <c r="T1155" t="s">
        <v>54</v>
      </c>
      <c r="U1155" t="s">
        <v>44</v>
      </c>
      <c r="W1155" t="s">
        <v>3728</v>
      </c>
      <c r="X1155" t="s">
        <v>3729</v>
      </c>
      <c r="Y1155">
        <v>0</v>
      </c>
      <c r="AA1155" t="s">
        <v>40</v>
      </c>
      <c r="AB1155" t="s">
        <v>46</v>
      </c>
      <c r="AC1155" t="s">
        <v>47</v>
      </c>
      <c r="AD1155" t="s">
        <v>166</v>
      </c>
      <c r="AE1155" t="s">
        <v>166</v>
      </c>
      <c r="AG1155" t="s">
        <v>3730</v>
      </c>
      <c r="AJ1155" t="s">
        <v>40</v>
      </c>
      <c r="AK1155" t="s">
        <v>3731</v>
      </c>
      <c r="AL1155" t="s">
        <v>3732</v>
      </c>
      <c r="AM1155" t="s">
        <v>1039</v>
      </c>
      <c r="AO1155" s="1">
        <v>45966</v>
      </c>
      <c r="AP1155" s="5">
        <v>0.41666666666666669</v>
      </c>
      <c r="AS1155">
        <v>1</v>
      </c>
    </row>
    <row r="1156" spans="1:45" x14ac:dyDescent="0.2">
      <c r="A1156">
        <f t="shared" si="74"/>
        <v>2025</v>
      </c>
      <c r="B1156">
        <f t="shared" si="75"/>
        <v>11</v>
      </c>
      <c r="C1156">
        <f t="shared" si="76"/>
        <v>45</v>
      </c>
      <c r="D1156" s="2">
        <f t="shared" si="77"/>
        <v>45966</v>
      </c>
      <c r="E1156" s="1">
        <v>45966.416666666664</v>
      </c>
      <c r="F1156" t="s">
        <v>3733</v>
      </c>
      <c r="G1156" t="s">
        <v>36</v>
      </c>
      <c r="H1156" t="s">
        <v>3734</v>
      </c>
      <c r="I1156" t="s">
        <v>218</v>
      </c>
      <c r="J1156" t="s">
        <v>286</v>
      </c>
      <c r="M1156" t="s">
        <v>40</v>
      </c>
      <c r="N1156" t="s">
        <v>41</v>
      </c>
      <c r="O1156" t="s">
        <v>2088</v>
      </c>
      <c r="P1156">
        <v>99</v>
      </c>
      <c r="Q1156">
        <v>0</v>
      </c>
      <c r="R1156">
        <v>0</v>
      </c>
      <c r="S1156">
        <v>0</v>
      </c>
      <c r="T1156" t="s">
        <v>54</v>
      </c>
      <c r="U1156" t="s">
        <v>55</v>
      </c>
      <c r="W1156" t="s">
        <v>3735</v>
      </c>
      <c r="Y1156">
        <v>0</v>
      </c>
      <c r="AA1156" t="s">
        <v>40</v>
      </c>
      <c r="AB1156" t="s">
        <v>46</v>
      </c>
      <c r="AC1156" t="s">
        <v>47</v>
      </c>
      <c r="AD1156" t="s">
        <v>223</v>
      </c>
      <c r="AE1156" t="s">
        <v>223</v>
      </c>
      <c r="AG1156" t="s">
        <v>3736</v>
      </c>
      <c r="AJ1156" t="s">
        <v>40</v>
      </c>
      <c r="AK1156" t="s">
        <v>3737</v>
      </c>
      <c r="AO1156" s="1">
        <v>45966</v>
      </c>
      <c r="AP1156" s="5">
        <v>0.41666666666666669</v>
      </c>
      <c r="AS1156">
        <v>1</v>
      </c>
    </row>
    <row r="1157" spans="1:45" x14ac:dyDescent="0.2">
      <c r="A1157">
        <f t="shared" si="74"/>
        <v>2025</v>
      </c>
      <c r="B1157">
        <f t="shared" si="75"/>
        <v>11</v>
      </c>
      <c r="C1157">
        <f t="shared" si="76"/>
        <v>45</v>
      </c>
      <c r="D1157" s="2">
        <f t="shared" si="77"/>
        <v>45966</v>
      </c>
      <c r="E1157" s="1">
        <v>45966.458333333336</v>
      </c>
      <c r="F1157" t="s">
        <v>3738</v>
      </c>
      <c r="G1157" t="s">
        <v>36</v>
      </c>
      <c r="H1157" t="s">
        <v>111</v>
      </c>
      <c r="I1157" t="s">
        <v>38</v>
      </c>
      <c r="J1157" t="s">
        <v>99</v>
      </c>
      <c r="M1157" t="s">
        <v>40</v>
      </c>
      <c r="N1157" t="s">
        <v>41</v>
      </c>
      <c r="O1157" t="s">
        <v>42</v>
      </c>
      <c r="P1157">
        <v>23</v>
      </c>
      <c r="Q1157">
        <v>0</v>
      </c>
      <c r="R1157">
        <v>0</v>
      </c>
      <c r="S1157">
        <v>0</v>
      </c>
      <c r="T1157" t="s">
        <v>3739</v>
      </c>
      <c r="U1157" t="s">
        <v>44</v>
      </c>
      <c r="W1157" t="s">
        <v>3197</v>
      </c>
      <c r="Y1157">
        <v>0</v>
      </c>
      <c r="AA1157" t="s">
        <v>40</v>
      </c>
      <c r="AB1157" t="s">
        <v>46</v>
      </c>
      <c r="AC1157" t="s">
        <v>47</v>
      </c>
      <c r="AF1157" t="s">
        <v>48</v>
      </c>
      <c r="AJ1157" t="s">
        <v>40</v>
      </c>
      <c r="AK1157" t="s">
        <v>49</v>
      </c>
      <c r="AO1157" s="1">
        <v>45966</v>
      </c>
      <c r="AP1157" s="5">
        <v>0.45833333333333331</v>
      </c>
      <c r="AS1157">
        <v>1</v>
      </c>
    </row>
    <row r="1158" spans="1:45" x14ac:dyDescent="0.2">
      <c r="A1158">
        <f t="shared" si="74"/>
        <v>2025</v>
      </c>
      <c r="B1158">
        <f t="shared" si="75"/>
        <v>11</v>
      </c>
      <c r="C1158">
        <f t="shared" si="76"/>
        <v>45</v>
      </c>
      <c r="D1158" s="2">
        <f t="shared" si="77"/>
        <v>45966</v>
      </c>
      <c r="E1158" s="1">
        <v>45966.458333333336</v>
      </c>
      <c r="F1158" t="s">
        <v>3740</v>
      </c>
      <c r="G1158" t="s">
        <v>36</v>
      </c>
      <c r="H1158" t="s">
        <v>111</v>
      </c>
      <c r="I1158" t="s">
        <v>38</v>
      </c>
      <c r="J1158" t="s">
        <v>99</v>
      </c>
      <c r="M1158" t="s">
        <v>40</v>
      </c>
      <c r="N1158" t="s">
        <v>41</v>
      </c>
      <c r="O1158" t="s">
        <v>42</v>
      </c>
      <c r="P1158">
        <v>23</v>
      </c>
      <c r="Q1158">
        <v>0</v>
      </c>
      <c r="R1158">
        <v>0</v>
      </c>
      <c r="S1158">
        <v>0</v>
      </c>
      <c r="T1158" t="s">
        <v>3741</v>
      </c>
      <c r="U1158" t="s">
        <v>44</v>
      </c>
      <c r="W1158" t="s">
        <v>3197</v>
      </c>
      <c r="Y1158">
        <v>0</v>
      </c>
      <c r="AA1158" t="s">
        <v>40</v>
      </c>
      <c r="AB1158" t="s">
        <v>46</v>
      </c>
      <c r="AC1158" t="s">
        <v>47</v>
      </c>
      <c r="AF1158" t="s">
        <v>48</v>
      </c>
      <c r="AJ1158" t="s">
        <v>40</v>
      </c>
      <c r="AK1158" t="s">
        <v>49</v>
      </c>
      <c r="AO1158" s="1">
        <v>45966</v>
      </c>
      <c r="AP1158" s="5">
        <v>0.45833333333333331</v>
      </c>
      <c r="AS1158">
        <v>1</v>
      </c>
    </row>
    <row r="1159" spans="1:45" x14ac:dyDescent="0.2">
      <c r="A1159">
        <f t="shared" si="74"/>
        <v>2025</v>
      </c>
      <c r="B1159">
        <f t="shared" si="75"/>
        <v>11</v>
      </c>
      <c r="C1159">
        <f t="shared" si="76"/>
        <v>45</v>
      </c>
      <c r="D1159" s="2">
        <f t="shared" si="77"/>
        <v>45966</v>
      </c>
      <c r="E1159" s="1">
        <v>45966.458333333336</v>
      </c>
      <c r="F1159" t="s">
        <v>3742</v>
      </c>
      <c r="G1159" t="s">
        <v>36</v>
      </c>
      <c r="H1159">
        <v>464115</v>
      </c>
      <c r="I1159" t="s">
        <v>51</v>
      </c>
      <c r="J1159" t="s">
        <v>52</v>
      </c>
      <c r="M1159" t="s">
        <v>40</v>
      </c>
      <c r="N1159" t="s">
        <v>41</v>
      </c>
      <c r="O1159" t="s">
        <v>66</v>
      </c>
      <c r="P1159">
        <v>33</v>
      </c>
      <c r="Q1159">
        <v>0</v>
      </c>
      <c r="R1159">
        <v>0</v>
      </c>
      <c r="S1159">
        <v>0</v>
      </c>
      <c r="T1159" t="s">
        <v>54</v>
      </c>
      <c r="U1159" t="s">
        <v>55</v>
      </c>
      <c r="W1159" t="s">
        <v>3743</v>
      </c>
      <c r="Y1159">
        <v>0</v>
      </c>
      <c r="AA1159" t="s">
        <v>40</v>
      </c>
      <c r="AB1159" t="s">
        <v>46</v>
      </c>
      <c r="AC1159" t="s">
        <v>47</v>
      </c>
      <c r="AG1159" t="s">
        <v>3744</v>
      </c>
      <c r="AJ1159" t="s">
        <v>40</v>
      </c>
      <c r="AK1159">
        <v>5019333628</v>
      </c>
      <c r="AO1159" s="1">
        <v>45966</v>
      </c>
      <c r="AP1159" s="5">
        <v>0.45833333333333331</v>
      </c>
      <c r="AS1159">
        <v>1</v>
      </c>
    </row>
    <row r="1160" spans="1:45" x14ac:dyDescent="0.2">
      <c r="A1160">
        <f t="shared" si="74"/>
        <v>2025</v>
      </c>
      <c r="B1160">
        <f t="shared" si="75"/>
        <v>11</v>
      </c>
      <c r="C1160">
        <f t="shared" si="76"/>
        <v>45</v>
      </c>
      <c r="D1160" s="2">
        <f t="shared" si="77"/>
        <v>45966</v>
      </c>
      <c r="E1160" s="1">
        <v>45966.458333333336</v>
      </c>
      <c r="F1160" t="s">
        <v>3745</v>
      </c>
      <c r="G1160" t="s">
        <v>36</v>
      </c>
      <c r="H1160">
        <v>466894</v>
      </c>
      <c r="I1160" t="s">
        <v>51</v>
      </c>
      <c r="J1160" t="s">
        <v>219</v>
      </c>
      <c r="M1160" t="s">
        <v>40</v>
      </c>
      <c r="N1160" t="s">
        <v>41</v>
      </c>
      <c r="O1160" t="s">
        <v>436</v>
      </c>
      <c r="P1160">
        <v>22</v>
      </c>
      <c r="Q1160">
        <v>0</v>
      </c>
      <c r="R1160">
        <v>0</v>
      </c>
      <c r="S1160">
        <v>0</v>
      </c>
      <c r="T1160" t="s">
        <v>54</v>
      </c>
      <c r="U1160" t="s">
        <v>392</v>
      </c>
      <c r="W1160" t="s">
        <v>3746</v>
      </c>
      <c r="X1160" t="s">
        <v>3747</v>
      </c>
      <c r="Y1160">
        <v>0</v>
      </c>
      <c r="AA1160" t="s">
        <v>40</v>
      </c>
      <c r="AB1160" t="s">
        <v>46</v>
      </c>
      <c r="AC1160" t="s">
        <v>47</v>
      </c>
      <c r="AG1160" t="s">
        <v>3748</v>
      </c>
      <c r="AJ1160" t="s">
        <v>40</v>
      </c>
      <c r="AK1160" t="s">
        <v>3749</v>
      </c>
      <c r="AL1160" t="s">
        <v>3750</v>
      </c>
      <c r="AM1160" t="s">
        <v>3751</v>
      </c>
      <c r="AO1160" s="1">
        <v>45966</v>
      </c>
      <c r="AP1160" s="5">
        <v>0.45833333333333331</v>
      </c>
      <c r="AS1160">
        <v>1</v>
      </c>
    </row>
    <row r="1161" spans="1:45" x14ac:dyDescent="0.2">
      <c r="A1161">
        <f t="shared" si="74"/>
        <v>2025</v>
      </c>
      <c r="B1161">
        <f t="shared" si="75"/>
        <v>11</v>
      </c>
      <c r="C1161">
        <f t="shared" si="76"/>
        <v>45</v>
      </c>
      <c r="D1161" s="2">
        <f t="shared" si="77"/>
        <v>45966</v>
      </c>
      <c r="E1161" s="1">
        <v>45966.458333333336</v>
      </c>
      <c r="F1161" t="s">
        <v>3752</v>
      </c>
      <c r="G1161" t="s">
        <v>36</v>
      </c>
      <c r="H1161" t="s">
        <v>37</v>
      </c>
      <c r="I1161" t="s">
        <v>38</v>
      </c>
      <c r="J1161" t="s">
        <v>39</v>
      </c>
      <c r="M1161" t="s">
        <v>40</v>
      </c>
      <c r="N1161" t="s">
        <v>41</v>
      </c>
      <c r="O1161" t="s">
        <v>42</v>
      </c>
      <c r="P1161">
        <v>13</v>
      </c>
      <c r="Q1161">
        <v>0</v>
      </c>
      <c r="R1161">
        <v>0</v>
      </c>
      <c r="S1161">
        <v>0</v>
      </c>
      <c r="T1161" t="s">
        <v>3753</v>
      </c>
      <c r="U1161" t="s">
        <v>44</v>
      </c>
      <c r="W1161" t="s">
        <v>3197</v>
      </c>
      <c r="Y1161">
        <v>0</v>
      </c>
      <c r="AA1161" t="s">
        <v>40</v>
      </c>
      <c r="AB1161" t="s">
        <v>46</v>
      </c>
      <c r="AC1161" t="s">
        <v>47</v>
      </c>
      <c r="AF1161" t="s">
        <v>48</v>
      </c>
      <c r="AJ1161" t="s">
        <v>40</v>
      </c>
      <c r="AK1161" t="s">
        <v>49</v>
      </c>
      <c r="AO1161" s="1">
        <v>45966</v>
      </c>
      <c r="AP1161" s="5">
        <v>0.45833333333333331</v>
      </c>
      <c r="AS1161">
        <v>1</v>
      </c>
    </row>
    <row r="1162" spans="1:45" x14ac:dyDescent="0.2">
      <c r="A1162">
        <f t="shared" si="74"/>
        <v>2025</v>
      </c>
      <c r="B1162">
        <f t="shared" si="75"/>
        <v>11</v>
      </c>
      <c r="C1162">
        <f t="shared" si="76"/>
        <v>45</v>
      </c>
      <c r="D1162" s="2">
        <f t="shared" si="77"/>
        <v>45966</v>
      </c>
      <c r="E1162" s="1">
        <v>45966.5</v>
      </c>
      <c r="F1162" t="s">
        <v>3754</v>
      </c>
      <c r="G1162" t="s">
        <v>36</v>
      </c>
      <c r="H1162" t="s">
        <v>3755</v>
      </c>
      <c r="I1162" t="s">
        <v>38</v>
      </c>
      <c r="J1162" t="s">
        <v>60</v>
      </c>
      <c r="M1162" t="s">
        <v>40</v>
      </c>
      <c r="N1162" t="s">
        <v>41</v>
      </c>
      <c r="O1162" t="s">
        <v>42</v>
      </c>
      <c r="P1162">
        <v>20</v>
      </c>
      <c r="Q1162">
        <v>0</v>
      </c>
      <c r="R1162">
        <v>0</v>
      </c>
      <c r="S1162">
        <v>0</v>
      </c>
      <c r="T1162">
        <v>5019227704</v>
      </c>
      <c r="U1162" t="s">
        <v>44</v>
      </c>
      <c r="W1162" t="s">
        <v>3692</v>
      </c>
      <c r="Y1162">
        <v>0</v>
      </c>
      <c r="AA1162" t="s">
        <v>40</v>
      </c>
      <c r="AB1162" t="s">
        <v>46</v>
      </c>
      <c r="AC1162" t="s">
        <v>47</v>
      </c>
      <c r="AF1162" t="s">
        <v>133</v>
      </c>
      <c r="AJ1162" t="s">
        <v>40</v>
      </c>
      <c r="AK1162" t="s">
        <v>49</v>
      </c>
      <c r="AN1162">
        <v>260353770</v>
      </c>
      <c r="AO1162" s="1">
        <v>45966</v>
      </c>
      <c r="AP1162" s="5">
        <v>0.5</v>
      </c>
      <c r="AS1162">
        <v>1</v>
      </c>
    </row>
    <row r="1163" spans="1:45" x14ac:dyDescent="0.2">
      <c r="A1163">
        <f t="shared" si="74"/>
        <v>2025</v>
      </c>
      <c r="B1163">
        <f t="shared" si="75"/>
        <v>11</v>
      </c>
      <c r="C1163">
        <f t="shared" si="76"/>
        <v>45</v>
      </c>
      <c r="D1163" s="2">
        <f t="shared" si="77"/>
        <v>45966</v>
      </c>
      <c r="E1163" s="1">
        <v>45966.5</v>
      </c>
      <c r="F1163" t="s">
        <v>3756</v>
      </c>
      <c r="G1163" t="s">
        <v>36</v>
      </c>
      <c r="H1163">
        <v>467329</v>
      </c>
      <c r="I1163" t="s">
        <v>51</v>
      </c>
      <c r="J1163" t="s">
        <v>52</v>
      </c>
      <c r="M1163" t="s">
        <v>40</v>
      </c>
      <c r="N1163" t="s">
        <v>41</v>
      </c>
      <c r="O1163" t="s">
        <v>53</v>
      </c>
      <c r="P1163">
        <v>33</v>
      </c>
      <c r="Q1163">
        <v>0</v>
      </c>
      <c r="R1163">
        <v>0</v>
      </c>
      <c r="S1163">
        <v>0</v>
      </c>
      <c r="T1163" t="s">
        <v>54</v>
      </c>
      <c r="U1163" t="s">
        <v>55</v>
      </c>
      <c r="W1163" t="s">
        <v>3242</v>
      </c>
      <c r="Y1163">
        <v>0</v>
      </c>
      <c r="AA1163" t="s">
        <v>40</v>
      </c>
      <c r="AB1163" t="s">
        <v>46</v>
      </c>
      <c r="AC1163" t="s">
        <v>47</v>
      </c>
      <c r="AG1163" t="s">
        <v>3757</v>
      </c>
      <c r="AJ1163" t="s">
        <v>40</v>
      </c>
      <c r="AK1163">
        <v>5019305919</v>
      </c>
      <c r="AO1163" s="1">
        <v>45966</v>
      </c>
      <c r="AP1163" s="5">
        <v>0.5</v>
      </c>
      <c r="AS1163">
        <v>1</v>
      </c>
    </row>
    <row r="1164" spans="1:45" x14ac:dyDescent="0.2">
      <c r="A1164">
        <f t="shared" si="74"/>
        <v>2025</v>
      </c>
      <c r="B1164">
        <f t="shared" si="75"/>
        <v>11</v>
      </c>
      <c r="C1164">
        <f t="shared" si="76"/>
        <v>45</v>
      </c>
      <c r="D1164" s="2">
        <f t="shared" si="77"/>
        <v>45966</v>
      </c>
      <c r="E1164" s="1">
        <v>45966.5</v>
      </c>
      <c r="F1164" t="s">
        <v>3758</v>
      </c>
      <c r="G1164" t="s">
        <v>36</v>
      </c>
      <c r="H1164" t="s">
        <v>3759</v>
      </c>
      <c r="I1164" t="s">
        <v>78</v>
      </c>
      <c r="J1164" t="s">
        <v>52</v>
      </c>
      <c r="M1164" t="s">
        <v>40</v>
      </c>
      <c r="N1164" t="s">
        <v>41</v>
      </c>
      <c r="O1164" t="s">
        <v>79</v>
      </c>
      <c r="P1164">
        <v>66</v>
      </c>
      <c r="Q1164">
        <v>0</v>
      </c>
      <c r="R1164">
        <v>0</v>
      </c>
      <c r="S1164">
        <v>0</v>
      </c>
      <c r="T1164" t="s">
        <v>54</v>
      </c>
      <c r="U1164" t="s">
        <v>55</v>
      </c>
      <c r="W1164" t="s">
        <v>3669</v>
      </c>
      <c r="Y1164">
        <v>0</v>
      </c>
      <c r="AA1164" t="s">
        <v>40</v>
      </c>
      <c r="AB1164" t="s">
        <v>46</v>
      </c>
      <c r="AC1164" t="s">
        <v>47</v>
      </c>
      <c r="AD1164" t="s">
        <v>81</v>
      </c>
      <c r="AE1164" t="s">
        <v>81</v>
      </c>
      <c r="AG1164" t="s">
        <v>3760</v>
      </c>
      <c r="AJ1164" t="s">
        <v>40</v>
      </c>
      <c r="AK1164" t="s">
        <v>3761</v>
      </c>
      <c r="AO1164" s="1">
        <v>45966</v>
      </c>
      <c r="AP1164" s="5">
        <v>0.5</v>
      </c>
      <c r="AS1164">
        <v>1</v>
      </c>
    </row>
    <row r="1165" spans="1:45" x14ac:dyDescent="0.2">
      <c r="A1165">
        <f t="shared" si="74"/>
        <v>2025</v>
      </c>
      <c r="B1165">
        <f t="shared" si="75"/>
        <v>11</v>
      </c>
      <c r="C1165">
        <f t="shared" si="76"/>
        <v>45</v>
      </c>
      <c r="D1165" s="2">
        <f t="shared" si="77"/>
        <v>45966</v>
      </c>
      <c r="E1165" s="1">
        <v>45966.5</v>
      </c>
      <c r="F1165" t="s">
        <v>3762</v>
      </c>
      <c r="G1165" t="s">
        <v>36</v>
      </c>
      <c r="H1165" t="s">
        <v>106</v>
      </c>
      <c r="I1165" t="s">
        <v>38</v>
      </c>
      <c r="J1165" t="s">
        <v>107</v>
      </c>
      <c r="M1165" t="s">
        <v>40</v>
      </c>
      <c r="N1165" t="s">
        <v>41</v>
      </c>
      <c r="O1165" t="s">
        <v>42</v>
      </c>
      <c r="P1165">
        <v>33</v>
      </c>
      <c r="Q1165">
        <v>0</v>
      </c>
      <c r="R1165">
        <v>0</v>
      </c>
      <c r="S1165">
        <v>0</v>
      </c>
      <c r="T1165">
        <v>5019288571</v>
      </c>
      <c r="U1165" t="s">
        <v>44</v>
      </c>
      <c r="W1165" t="s">
        <v>3624</v>
      </c>
      <c r="Y1165">
        <v>0</v>
      </c>
      <c r="AA1165" t="s">
        <v>40</v>
      </c>
      <c r="AB1165" t="s">
        <v>46</v>
      </c>
      <c r="AC1165" t="s">
        <v>47</v>
      </c>
      <c r="AF1165" t="s">
        <v>2869</v>
      </c>
      <c r="AJ1165" t="s">
        <v>40</v>
      </c>
      <c r="AK1165" t="s">
        <v>49</v>
      </c>
      <c r="AO1165" s="1">
        <v>45966</v>
      </c>
      <c r="AP1165" s="5">
        <v>0.5</v>
      </c>
      <c r="AS1165">
        <v>1</v>
      </c>
    </row>
    <row r="1166" spans="1:45" x14ac:dyDescent="0.2">
      <c r="A1166">
        <f t="shared" si="74"/>
        <v>2025</v>
      </c>
      <c r="B1166">
        <f t="shared" si="75"/>
        <v>11</v>
      </c>
      <c r="C1166">
        <f t="shared" si="76"/>
        <v>45</v>
      </c>
      <c r="D1166" s="2">
        <f t="shared" si="77"/>
        <v>45966</v>
      </c>
      <c r="E1166" s="1">
        <v>45966.5</v>
      </c>
      <c r="F1166" t="s">
        <v>3763</v>
      </c>
      <c r="G1166" t="s">
        <v>36</v>
      </c>
      <c r="H1166" t="s">
        <v>3764</v>
      </c>
      <c r="I1166" t="s">
        <v>78</v>
      </c>
      <c r="J1166" t="s">
        <v>126</v>
      </c>
      <c r="M1166" t="s">
        <v>40</v>
      </c>
      <c r="N1166" t="s">
        <v>41</v>
      </c>
      <c r="O1166" t="s">
        <v>3765</v>
      </c>
      <c r="P1166">
        <v>22</v>
      </c>
      <c r="Q1166">
        <v>0</v>
      </c>
      <c r="R1166">
        <v>0</v>
      </c>
      <c r="S1166">
        <v>0</v>
      </c>
      <c r="T1166" t="s">
        <v>54</v>
      </c>
      <c r="U1166" t="s">
        <v>392</v>
      </c>
      <c r="W1166" t="s">
        <v>3766</v>
      </c>
      <c r="Y1166">
        <v>0</v>
      </c>
      <c r="AA1166" t="s">
        <v>40</v>
      </c>
      <c r="AB1166" t="s">
        <v>46</v>
      </c>
      <c r="AC1166" t="s">
        <v>47</v>
      </c>
      <c r="AD1166" t="s">
        <v>81</v>
      </c>
      <c r="AE1166" t="s">
        <v>81</v>
      </c>
      <c r="AG1166" t="s">
        <v>3767</v>
      </c>
      <c r="AJ1166" t="s">
        <v>40</v>
      </c>
      <c r="AK1166" t="s">
        <v>3768</v>
      </c>
      <c r="AO1166" s="1">
        <v>45966</v>
      </c>
      <c r="AP1166" s="5">
        <v>0.5</v>
      </c>
      <c r="AS1166">
        <v>1</v>
      </c>
    </row>
    <row r="1167" spans="1:45" x14ac:dyDescent="0.2">
      <c r="A1167">
        <f t="shared" si="74"/>
        <v>2025</v>
      </c>
      <c r="B1167">
        <f t="shared" si="75"/>
        <v>11</v>
      </c>
      <c r="C1167">
        <f t="shared" si="76"/>
        <v>45</v>
      </c>
      <c r="D1167" s="2">
        <f t="shared" si="77"/>
        <v>45966</v>
      </c>
      <c r="E1167" s="1">
        <v>45966.541666666664</v>
      </c>
      <c r="F1167" t="s">
        <v>3769</v>
      </c>
      <c r="G1167" t="s">
        <v>36</v>
      </c>
      <c r="H1167" t="s">
        <v>111</v>
      </c>
      <c r="I1167" t="s">
        <v>38</v>
      </c>
      <c r="J1167" t="s">
        <v>99</v>
      </c>
      <c r="M1167" t="s">
        <v>40</v>
      </c>
      <c r="N1167" t="s">
        <v>41</v>
      </c>
      <c r="O1167" t="s">
        <v>42</v>
      </c>
      <c r="P1167">
        <v>23</v>
      </c>
      <c r="Q1167">
        <v>0</v>
      </c>
      <c r="R1167">
        <v>0</v>
      </c>
      <c r="S1167">
        <v>0</v>
      </c>
      <c r="T1167" t="s">
        <v>3770</v>
      </c>
      <c r="U1167" t="s">
        <v>44</v>
      </c>
      <c r="W1167" t="s">
        <v>3197</v>
      </c>
      <c r="Y1167">
        <v>0</v>
      </c>
      <c r="AA1167" t="s">
        <v>40</v>
      </c>
      <c r="AB1167" t="s">
        <v>46</v>
      </c>
      <c r="AC1167" t="s">
        <v>47</v>
      </c>
      <c r="AF1167" t="s">
        <v>48</v>
      </c>
      <c r="AJ1167" t="s">
        <v>40</v>
      </c>
      <c r="AK1167" t="s">
        <v>49</v>
      </c>
      <c r="AO1167" s="1">
        <v>45966</v>
      </c>
      <c r="AP1167" s="5">
        <v>0.54166666666666663</v>
      </c>
      <c r="AS1167">
        <v>1</v>
      </c>
    </row>
    <row r="1168" spans="1:45" x14ac:dyDescent="0.2">
      <c r="A1168">
        <f t="shared" si="74"/>
        <v>2025</v>
      </c>
      <c r="B1168">
        <f t="shared" si="75"/>
        <v>11</v>
      </c>
      <c r="C1168">
        <f t="shared" si="76"/>
        <v>45</v>
      </c>
      <c r="D1168" s="2">
        <f t="shared" si="77"/>
        <v>45966</v>
      </c>
      <c r="E1168" s="1">
        <v>45966.541666666664</v>
      </c>
      <c r="F1168" t="s">
        <v>3771</v>
      </c>
      <c r="G1168" t="s">
        <v>36</v>
      </c>
      <c r="H1168" t="s">
        <v>111</v>
      </c>
      <c r="I1168" t="s">
        <v>38</v>
      </c>
      <c r="J1168" t="s">
        <v>99</v>
      </c>
      <c r="M1168" t="s">
        <v>40</v>
      </c>
      <c r="N1168" t="s">
        <v>41</v>
      </c>
      <c r="O1168" t="s">
        <v>42</v>
      </c>
      <c r="P1168">
        <v>23</v>
      </c>
      <c r="Q1168">
        <v>0</v>
      </c>
      <c r="R1168">
        <v>0</v>
      </c>
      <c r="S1168">
        <v>0</v>
      </c>
      <c r="T1168" t="s">
        <v>3772</v>
      </c>
      <c r="U1168" t="s">
        <v>44</v>
      </c>
      <c r="W1168" t="s">
        <v>3197</v>
      </c>
      <c r="Y1168">
        <v>0</v>
      </c>
      <c r="AA1168" t="s">
        <v>40</v>
      </c>
      <c r="AB1168" t="s">
        <v>46</v>
      </c>
      <c r="AC1168" t="s">
        <v>47</v>
      </c>
      <c r="AF1168" t="s">
        <v>48</v>
      </c>
      <c r="AJ1168" t="s">
        <v>40</v>
      </c>
      <c r="AK1168" t="s">
        <v>49</v>
      </c>
      <c r="AO1168" s="1">
        <v>45966</v>
      </c>
      <c r="AP1168" s="5">
        <v>0.54166666666666663</v>
      </c>
      <c r="AS1168">
        <v>1</v>
      </c>
    </row>
    <row r="1169" spans="1:45" x14ac:dyDescent="0.2">
      <c r="A1169">
        <f t="shared" si="74"/>
        <v>2025</v>
      </c>
      <c r="B1169">
        <f t="shared" si="75"/>
        <v>11</v>
      </c>
      <c r="C1169">
        <f t="shared" si="76"/>
        <v>45</v>
      </c>
      <c r="D1169" s="2">
        <f t="shared" si="77"/>
        <v>45966</v>
      </c>
      <c r="E1169" s="1">
        <v>45966.541666666664</v>
      </c>
      <c r="F1169" t="s">
        <v>3773</v>
      </c>
      <c r="G1169" t="s">
        <v>36</v>
      </c>
      <c r="H1169" t="s">
        <v>37</v>
      </c>
      <c r="I1169" t="s">
        <v>38</v>
      </c>
      <c r="J1169" t="s">
        <v>112</v>
      </c>
      <c r="M1169" t="s">
        <v>40</v>
      </c>
      <c r="N1169" t="s">
        <v>41</v>
      </c>
      <c r="O1169" t="s">
        <v>42</v>
      </c>
      <c r="P1169">
        <v>23</v>
      </c>
      <c r="Q1169">
        <v>0</v>
      </c>
      <c r="R1169">
        <v>0</v>
      </c>
      <c r="S1169">
        <v>0</v>
      </c>
      <c r="T1169" t="s">
        <v>3774</v>
      </c>
      <c r="U1169" t="s">
        <v>44</v>
      </c>
      <c r="W1169" t="s">
        <v>3197</v>
      </c>
      <c r="Y1169">
        <v>0</v>
      </c>
      <c r="AA1169" t="s">
        <v>40</v>
      </c>
      <c r="AB1169" t="s">
        <v>46</v>
      </c>
      <c r="AC1169" t="s">
        <v>47</v>
      </c>
      <c r="AF1169" t="s">
        <v>48</v>
      </c>
      <c r="AJ1169" t="s">
        <v>40</v>
      </c>
      <c r="AK1169" t="s">
        <v>49</v>
      </c>
      <c r="AO1169" s="1">
        <v>45966</v>
      </c>
      <c r="AP1169" s="5">
        <v>0.54166666666666663</v>
      </c>
      <c r="AS1169">
        <v>1</v>
      </c>
    </row>
    <row r="1170" spans="1:45" x14ac:dyDescent="0.2">
      <c r="A1170">
        <f t="shared" si="74"/>
        <v>2025</v>
      </c>
      <c r="B1170">
        <f t="shared" si="75"/>
        <v>11</v>
      </c>
      <c r="C1170">
        <f t="shared" si="76"/>
        <v>45</v>
      </c>
      <c r="D1170" s="2">
        <f t="shared" si="77"/>
        <v>45966</v>
      </c>
      <c r="E1170" s="1">
        <v>45966.541666666664</v>
      </c>
      <c r="F1170" t="s">
        <v>3775</v>
      </c>
      <c r="G1170" t="s">
        <v>36</v>
      </c>
      <c r="H1170">
        <v>467311</v>
      </c>
      <c r="I1170" t="s">
        <v>51</v>
      </c>
      <c r="J1170" t="s">
        <v>52</v>
      </c>
      <c r="M1170" t="s">
        <v>40</v>
      </c>
      <c r="N1170" t="s">
        <v>41</v>
      </c>
      <c r="O1170" t="s">
        <v>53</v>
      </c>
      <c r="P1170">
        <v>33</v>
      </c>
      <c r="Q1170">
        <v>0</v>
      </c>
      <c r="R1170">
        <v>0</v>
      </c>
      <c r="S1170">
        <v>0</v>
      </c>
      <c r="T1170" t="s">
        <v>54</v>
      </c>
      <c r="U1170" t="s">
        <v>55</v>
      </c>
      <c r="W1170" t="s">
        <v>3776</v>
      </c>
      <c r="Y1170">
        <v>0</v>
      </c>
      <c r="AA1170" t="s">
        <v>40</v>
      </c>
      <c r="AB1170" t="s">
        <v>46</v>
      </c>
      <c r="AC1170" t="s">
        <v>47</v>
      </c>
      <c r="AG1170" t="s">
        <v>3777</v>
      </c>
      <c r="AJ1170" t="s">
        <v>40</v>
      </c>
      <c r="AK1170">
        <v>5019327178</v>
      </c>
      <c r="AO1170" s="1">
        <v>45966</v>
      </c>
      <c r="AP1170" s="5">
        <v>0.54166666666666663</v>
      </c>
      <c r="AS1170">
        <v>1</v>
      </c>
    </row>
    <row r="1171" spans="1:45" x14ac:dyDescent="0.2">
      <c r="A1171">
        <f t="shared" si="74"/>
        <v>2025</v>
      </c>
      <c r="B1171">
        <f t="shared" si="75"/>
        <v>11</v>
      </c>
      <c r="C1171">
        <f t="shared" si="76"/>
        <v>45</v>
      </c>
      <c r="D1171" s="2">
        <f t="shared" si="77"/>
        <v>45966</v>
      </c>
      <c r="E1171" s="1">
        <v>45966.583333333336</v>
      </c>
      <c r="F1171" t="s">
        <v>3778</v>
      </c>
      <c r="G1171" t="s">
        <v>36</v>
      </c>
      <c r="H1171">
        <v>464118</v>
      </c>
      <c r="I1171" t="s">
        <v>51</v>
      </c>
      <c r="J1171" t="s">
        <v>126</v>
      </c>
      <c r="M1171" t="s">
        <v>40</v>
      </c>
      <c r="N1171" t="s">
        <v>41</v>
      </c>
      <c r="O1171" t="s">
        <v>127</v>
      </c>
      <c r="P1171">
        <v>33</v>
      </c>
      <c r="Q1171">
        <v>0</v>
      </c>
      <c r="R1171">
        <v>0</v>
      </c>
      <c r="S1171">
        <v>0</v>
      </c>
      <c r="T1171" t="s">
        <v>54</v>
      </c>
      <c r="U1171" t="s">
        <v>55</v>
      </c>
      <c r="W1171" t="s">
        <v>3779</v>
      </c>
      <c r="Y1171">
        <v>0</v>
      </c>
      <c r="AA1171" t="s">
        <v>40</v>
      </c>
      <c r="AB1171" t="s">
        <v>46</v>
      </c>
      <c r="AC1171" t="s">
        <v>47</v>
      </c>
      <c r="AG1171" t="s">
        <v>3780</v>
      </c>
      <c r="AJ1171" t="s">
        <v>40</v>
      </c>
      <c r="AK1171" t="s">
        <v>3781</v>
      </c>
      <c r="AO1171" s="1">
        <v>45966</v>
      </c>
      <c r="AP1171" s="5">
        <v>0.58333333333333337</v>
      </c>
      <c r="AS1171">
        <v>1</v>
      </c>
    </row>
    <row r="1172" spans="1:45" x14ac:dyDescent="0.2">
      <c r="A1172">
        <f t="shared" si="74"/>
        <v>2025</v>
      </c>
      <c r="B1172">
        <f t="shared" si="75"/>
        <v>11</v>
      </c>
      <c r="C1172">
        <f t="shared" si="76"/>
        <v>45</v>
      </c>
      <c r="D1172" s="2">
        <f t="shared" si="77"/>
        <v>45966</v>
      </c>
      <c r="E1172" s="1">
        <v>45966.583333333336</v>
      </c>
      <c r="F1172" t="s">
        <v>3782</v>
      </c>
      <c r="G1172" t="s">
        <v>36</v>
      </c>
      <c r="H1172">
        <v>464119</v>
      </c>
      <c r="I1172" t="s">
        <v>51</v>
      </c>
      <c r="J1172" t="s">
        <v>154</v>
      </c>
      <c r="M1172" t="s">
        <v>40</v>
      </c>
      <c r="N1172" t="s">
        <v>41</v>
      </c>
      <c r="O1172" t="s">
        <v>155</v>
      </c>
      <c r="P1172">
        <v>33</v>
      </c>
      <c r="Q1172">
        <v>0</v>
      </c>
      <c r="R1172">
        <v>0</v>
      </c>
      <c r="S1172">
        <v>0</v>
      </c>
      <c r="T1172" t="s">
        <v>54</v>
      </c>
      <c r="U1172" t="s">
        <v>55</v>
      </c>
      <c r="W1172" t="s">
        <v>3224</v>
      </c>
      <c r="Y1172">
        <v>0</v>
      </c>
      <c r="AA1172" t="s">
        <v>40</v>
      </c>
      <c r="AB1172" t="s">
        <v>46</v>
      </c>
      <c r="AC1172" t="s">
        <v>47</v>
      </c>
      <c r="AG1172" t="s">
        <v>3783</v>
      </c>
      <c r="AJ1172" t="s">
        <v>40</v>
      </c>
      <c r="AK1172">
        <v>5019333735</v>
      </c>
      <c r="AO1172" s="1">
        <v>45966</v>
      </c>
      <c r="AP1172" s="5">
        <v>0.58333333333333337</v>
      </c>
      <c r="AS1172">
        <v>1</v>
      </c>
    </row>
    <row r="1173" spans="1:45" x14ac:dyDescent="0.2">
      <c r="A1173">
        <f t="shared" si="74"/>
        <v>2025</v>
      </c>
      <c r="B1173">
        <f t="shared" si="75"/>
        <v>11</v>
      </c>
      <c r="C1173">
        <f t="shared" si="76"/>
        <v>45</v>
      </c>
      <c r="D1173" s="2">
        <f t="shared" si="77"/>
        <v>45966</v>
      </c>
      <c r="E1173" s="1">
        <v>45966.583333333336</v>
      </c>
      <c r="F1173" t="s">
        <v>3784</v>
      </c>
      <c r="G1173" t="s">
        <v>36</v>
      </c>
      <c r="H1173" t="s">
        <v>3785</v>
      </c>
      <c r="I1173" t="s">
        <v>1042</v>
      </c>
      <c r="J1173" t="s">
        <v>451</v>
      </c>
      <c r="N1173" t="s">
        <v>41</v>
      </c>
      <c r="O1173" t="s">
        <v>1043</v>
      </c>
      <c r="P1173">
        <v>7</v>
      </c>
      <c r="Q1173">
        <v>0</v>
      </c>
      <c r="R1173">
        <v>0</v>
      </c>
      <c r="S1173">
        <v>0</v>
      </c>
      <c r="T1173" t="s">
        <v>3786</v>
      </c>
      <c r="U1173" t="s">
        <v>101</v>
      </c>
      <c r="W1173" t="s">
        <v>3197</v>
      </c>
      <c r="Y1173">
        <v>0</v>
      </c>
      <c r="AA1173" t="s">
        <v>40</v>
      </c>
      <c r="AC1173" t="s">
        <v>47</v>
      </c>
      <c r="AD1173" t="s">
        <v>81</v>
      </c>
      <c r="AE1173" t="s">
        <v>81</v>
      </c>
      <c r="AF1173" t="s">
        <v>48</v>
      </c>
      <c r="AG1173" t="s">
        <v>81</v>
      </c>
      <c r="AJ1173" t="s">
        <v>40</v>
      </c>
      <c r="AK1173" t="s">
        <v>49</v>
      </c>
      <c r="AL1173" t="s">
        <v>1045</v>
      </c>
      <c r="AO1173" s="1">
        <v>45966</v>
      </c>
      <c r="AP1173" s="5">
        <v>0.58333333333333337</v>
      </c>
      <c r="AS1173">
        <v>1</v>
      </c>
    </row>
    <row r="1174" spans="1:45" x14ac:dyDescent="0.2">
      <c r="A1174">
        <f t="shared" si="74"/>
        <v>2025</v>
      </c>
      <c r="B1174">
        <f t="shared" si="75"/>
        <v>11</v>
      </c>
      <c r="C1174">
        <f t="shared" si="76"/>
        <v>45</v>
      </c>
      <c r="D1174" s="2">
        <f t="shared" si="77"/>
        <v>45966</v>
      </c>
      <c r="E1174" s="1">
        <v>45966.625</v>
      </c>
      <c r="F1174" t="s">
        <v>3787</v>
      </c>
      <c r="G1174" t="s">
        <v>36</v>
      </c>
      <c r="H1174" t="s">
        <v>1586</v>
      </c>
      <c r="I1174" t="s">
        <v>38</v>
      </c>
      <c r="J1174" t="s">
        <v>39</v>
      </c>
      <c r="N1174" t="s">
        <v>41</v>
      </c>
      <c r="O1174" t="s">
        <v>42</v>
      </c>
      <c r="P1174">
        <v>4</v>
      </c>
      <c r="Q1174">
        <v>0</v>
      </c>
      <c r="R1174">
        <v>0</v>
      </c>
      <c r="S1174">
        <v>0</v>
      </c>
      <c r="T1174" t="s">
        <v>3788</v>
      </c>
      <c r="U1174" t="s">
        <v>101</v>
      </c>
      <c r="W1174" t="s">
        <v>3197</v>
      </c>
      <c r="Y1174">
        <v>0</v>
      </c>
      <c r="AA1174" t="s">
        <v>40</v>
      </c>
      <c r="AC1174" t="s">
        <v>47</v>
      </c>
      <c r="AF1174" t="s">
        <v>48</v>
      </c>
      <c r="AJ1174" t="s">
        <v>40</v>
      </c>
      <c r="AK1174" t="s">
        <v>49</v>
      </c>
      <c r="AO1174" s="1">
        <v>45966</v>
      </c>
      <c r="AP1174" s="5">
        <v>0.625</v>
      </c>
      <c r="AS1174">
        <v>1</v>
      </c>
    </row>
    <row r="1175" spans="1:45" x14ac:dyDescent="0.2">
      <c r="A1175">
        <f t="shared" si="74"/>
        <v>2025</v>
      </c>
      <c r="B1175">
        <f t="shared" si="75"/>
        <v>11</v>
      </c>
      <c r="C1175">
        <f t="shared" si="76"/>
        <v>45</v>
      </c>
      <c r="D1175" s="2">
        <f t="shared" si="77"/>
        <v>45966</v>
      </c>
      <c r="E1175" s="1">
        <v>45966.625</v>
      </c>
      <c r="F1175" t="s">
        <v>3789</v>
      </c>
      <c r="G1175" t="s">
        <v>36</v>
      </c>
      <c r="H1175">
        <v>464110</v>
      </c>
      <c r="I1175" t="s">
        <v>51</v>
      </c>
      <c r="J1175" t="s">
        <v>144</v>
      </c>
      <c r="M1175" t="s">
        <v>40</v>
      </c>
      <c r="N1175" t="s">
        <v>41</v>
      </c>
      <c r="O1175" t="s">
        <v>90</v>
      </c>
      <c r="P1175">
        <v>33</v>
      </c>
      <c r="Q1175">
        <v>0</v>
      </c>
      <c r="R1175">
        <v>0</v>
      </c>
      <c r="S1175">
        <v>0</v>
      </c>
      <c r="T1175" t="s">
        <v>54</v>
      </c>
      <c r="U1175" t="s">
        <v>55</v>
      </c>
      <c r="W1175" t="s">
        <v>3639</v>
      </c>
      <c r="X1175" t="s">
        <v>3790</v>
      </c>
      <c r="Y1175">
        <v>0</v>
      </c>
      <c r="AA1175" t="s">
        <v>40</v>
      </c>
      <c r="AB1175" t="s">
        <v>46</v>
      </c>
      <c r="AC1175" t="s">
        <v>47</v>
      </c>
      <c r="AG1175" t="s">
        <v>3791</v>
      </c>
      <c r="AJ1175" t="s">
        <v>40</v>
      </c>
      <c r="AK1175">
        <v>5019337724</v>
      </c>
      <c r="AL1175" t="s">
        <v>3792</v>
      </c>
      <c r="AM1175" t="s">
        <v>3793</v>
      </c>
      <c r="AO1175" s="1">
        <v>45966</v>
      </c>
      <c r="AP1175" s="5">
        <v>0.625</v>
      </c>
      <c r="AS1175">
        <v>1</v>
      </c>
    </row>
    <row r="1176" spans="1:45" x14ac:dyDescent="0.2">
      <c r="A1176">
        <f t="shared" si="74"/>
        <v>2025</v>
      </c>
      <c r="B1176">
        <f t="shared" si="75"/>
        <v>11</v>
      </c>
      <c r="C1176">
        <f t="shared" si="76"/>
        <v>45</v>
      </c>
      <c r="D1176" s="2">
        <f t="shared" si="77"/>
        <v>45966</v>
      </c>
      <c r="E1176" s="1">
        <v>45966.625</v>
      </c>
      <c r="F1176" t="s">
        <v>3794</v>
      </c>
      <c r="G1176" t="s">
        <v>36</v>
      </c>
      <c r="H1176">
        <v>464135</v>
      </c>
      <c r="I1176" t="s">
        <v>51</v>
      </c>
      <c r="J1176" t="s">
        <v>154</v>
      </c>
      <c r="M1176" t="s">
        <v>40</v>
      </c>
      <c r="N1176" t="s">
        <v>41</v>
      </c>
      <c r="O1176" t="s">
        <v>155</v>
      </c>
      <c r="P1176">
        <v>33</v>
      </c>
      <c r="Q1176">
        <v>0</v>
      </c>
      <c r="R1176">
        <v>0</v>
      </c>
      <c r="S1176">
        <v>0</v>
      </c>
      <c r="T1176" t="s">
        <v>54</v>
      </c>
      <c r="U1176" t="s">
        <v>55</v>
      </c>
      <c r="W1176" t="s">
        <v>3795</v>
      </c>
      <c r="Y1176">
        <v>0</v>
      </c>
      <c r="AA1176" t="s">
        <v>40</v>
      </c>
      <c r="AB1176" t="s">
        <v>46</v>
      </c>
      <c r="AC1176" t="s">
        <v>47</v>
      </c>
      <c r="AG1176" t="s">
        <v>3796</v>
      </c>
      <c r="AJ1176" t="s">
        <v>40</v>
      </c>
      <c r="AK1176">
        <v>5018955019</v>
      </c>
      <c r="AO1176" s="1">
        <v>45966</v>
      </c>
      <c r="AP1176" s="5">
        <v>0.625</v>
      </c>
      <c r="AS1176">
        <v>1</v>
      </c>
    </row>
    <row r="1177" spans="1:45" x14ac:dyDescent="0.2">
      <c r="A1177">
        <f t="shared" si="74"/>
        <v>2025</v>
      </c>
      <c r="B1177">
        <f t="shared" si="75"/>
        <v>11</v>
      </c>
      <c r="C1177">
        <f t="shared" si="76"/>
        <v>45</v>
      </c>
      <c r="D1177" s="2">
        <f t="shared" si="77"/>
        <v>45966</v>
      </c>
      <c r="E1177" s="1">
        <v>45966.666666666664</v>
      </c>
      <c r="F1177" t="s">
        <v>3797</v>
      </c>
      <c r="G1177" t="s">
        <v>36</v>
      </c>
      <c r="H1177" t="s">
        <v>3798</v>
      </c>
      <c r="I1177" t="s">
        <v>38</v>
      </c>
      <c r="J1177" t="s">
        <v>3799</v>
      </c>
      <c r="M1177" t="s">
        <v>40</v>
      </c>
      <c r="N1177" t="s">
        <v>41</v>
      </c>
      <c r="O1177" t="s">
        <v>42</v>
      </c>
      <c r="P1177">
        <v>11</v>
      </c>
      <c r="Q1177">
        <v>0</v>
      </c>
      <c r="R1177">
        <v>0</v>
      </c>
      <c r="S1177">
        <v>0</v>
      </c>
      <c r="T1177" t="s">
        <v>3800</v>
      </c>
      <c r="U1177" t="s">
        <v>55</v>
      </c>
      <c r="W1177" t="s">
        <v>3801</v>
      </c>
      <c r="Y1177">
        <v>0</v>
      </c>
      <c r="AA1177" t="s">
        <v>40</v>
      </c>
      <c r="AB1177" t="s">
        <v>46</v>
      </c>
      <c r="AC1177" t="s">
        <v>47</v>
      </c>
      <c r="AF1177" t="s">
        <v>48</v>
      </c>
      <c r="AJ1177" t="s">
        <v>40</v>
      </c>
      <c r="AK1177" t="s">
        <v>49</v>
      </c>
      <c r="AO1177" s="1">
        <v>45966</v>
      </c>
      <c r="AP1177" s="5">
        <v>0.66666666666666663</v>
      </c>
      <c r="AS1177">
        <v>1</v>
      </c>
    </row>
    <row r="1178" spans="1:45" x14ac:dyDescent="0.2">
      <c r="A1178">
        <f t="shared" si="74"/>
        <v>2025</v>
      </c>
      <c r="B1178">
        <f t="shared" si="75"/>
        <v>11</v>
      </c>
      <c r="C1178">
        <f t="shared" si="76"/>
        <v>45</v>
      </c>
      <c r="D1178" s="2">
        <f t="shared" si="77"/>
        <v>45966</v>
      </c>
      <c r="E1178" s="1">
        <v>45966.666666666664</v>
      </c>
      <c r="F1178" t="s">
        <v>3802</v>
      </c>
      <c r="G1178" t="s">
        <v>36</v>
      </c>
      <c r="H1178" t="s">
        <v>3803</v>
      </c>
      <c r="I1178" t="s">
        <v>78</v>
      </c>
      <c r="J1178" t="s">
        <v>163</v>
      </c>
      <c r="M1178" t="s">
        <v>40</v>
      </c>
      <c r="N1178" t="s">
        <v>41</v>
      </c>
      <c r="O1178" t="s">
        <v>1101</v>
      </c>
      <c r="P1178">
        <v>66</v>
      </c>
      <c r="Q1178">
        <v>0</v>
      </c>
      <c r="R1178">
        <v>0</v>
      </c>
      <c r="S1178">
        <v>0</v>
      </c>
      <c r="T1178" t="s">
        <v>54</v>
      </c>
      <c r="U1178" t="s">
        <v>55</v>
      </c>
      <c r="W1178" t="s">
        <v>3804</v>
      </c>
      <c r="Y1178">
        <v>0</v>
      </c>
      <c r="AA1178" t="s">
        <v>40</v>
      </c>
      <c r="AB1178" t="s">
        <v>46</v>
      </c>
      <c r="AC1178" t="s">
        <v>47</v>
      </c>
      <c r="AD1178" t="s">
        <v>81</v>
      </c>
      <c r="AE1178" t="s">
        <v>81</v>
      </c>
      <c r="AG1178" t="s">
        <v>3805</v>
      </c>
      <c r="AJ1178" t="s">
        <v>40</v>
      </c>
      <c r="AK1178" t="s">
        <v>3806</v>
      </c>
      <c r="AO1178" s="1">
        <v>45966</v>
      </c>
      <c r="AP1178" s="5">
        <v>0.66666666666666663</v>
      </c>
      <c r="AS1178">
        <v>1</v>
      </c>
    </row>
    <row r="1179" spans="1:45" x14ac:dyDescent="0.2">
      <c r="A1179">
        <f t="shared" si="74"/>
        <v>2025</v>
      </c>
      <c r="B1179">
        <f t="shared" si="75"/>
        <v>11</v>
      </c>
      <c r="C1179">
        <f t="shared" si="76"/>
        <v>45</v>
      </c>
      <c r="D1179" s="2">
        <f t="shared" si="77"/>
        <v>45966</v>
      </c>
      <c r="E1179" s="1">
        <v>45966.666666666664</v>
      </c>
      <c r="F1179" t="s">
        <v>3807</v>
      </c>
      <c r="G1179" t="s">
        <v>36</v>
      </c>
      <c r="H1179">
        <v>469263</v>
      </c>
      <c r="I1179" t="s">
        <v>51</v>
      </c>
      <c r="J1179" t="s">
        <v>144</v>
      </c>
      <c r="M1179" t="s">
        <v>40</v>
      </c>
      <c r="N1179" t="s">
        <v>41</v>
      </c>
      <c r="O1179" t="s">
        <v>90</v>
      </c>
      <c r="P1179">
        <v>33</v>
      </c>
      <c r="Q1179">
        <v>0</v>
      </c>
      <c r="R1179">
        <v>0</v>
      </c>
      <c r="S1179">
        <v>0</v>
      </c>
      <c r="T1179" t="s">
        <v>54</v>
      </c>
      <c r="U1179" t="s">
        <v>55</v>
      </c>
      <c r="W1179" t="s">
        <v>3808</v>
      </c>
      <c r="X1179" t="s">
        <v>3809</v>
      </c>
      <c r="Y1179">
        <v>0</v>
      </c>
      <c r="AA1179" t="s">
        <v>40</v>
      </c>
      <c r="AB1179" t="s">
        <v>46</v>
      </c>
      <c r="AC1179" t="s">
        <v>47</v>
      </c>
      <c r="AG1179" t="s">
        <v>3810</v>
      </c>
      <c r="AJ1179" t="s">
        <v>40</v>
      </c>
      <c r="AK1179">
        <v>5019324110</v>
      </c>
      <c r="AL1179" t="s">
        <v>3811</v>
      </c>
      <c r="AM1179" t="s">
        <v>3812</v>
      </c>
      <c r="AO1179" s="1">
        <v>45966</v>
      </c>
      <c r="AP1179" s="5">
        <v>0.66666666666666663</v>
      </c>
      <c r="AS1179">
        <v>1</v>
      </c>
    </row>
    <row r="1180" spans="1:45" x14ac:dyDescent="0.2">
      <c r="A1180">
        <f t="shared" si="74"/>
        <v>2025</v>
      </c>
      <c r="B1180">
        <f t="shared" si="75"/>
        <v>11</v>
      </c>
      <c r="C1180">
        <f t="shared" si="76"/>
        <v>45</v>
      </c>
      <c r="D1180" s="2">
        <f t="shared" si="77"/>
        <v>45966</v>
      </c>
      <c r="E1180" s="1">
        <v>45966.708333333336</v>
      </c>
      <c r="F1180" t="s">
        <v>3813</v>
      </c>
      <c r="G1180" t="s">
        <v>36</v>
      </c>
      <c r="H1180">
        <v>464117</v>
      </c>
      <c r="I1180" t="s">
        <v>51</v>
      </c>
      <c r="J1180" t="s">
        <v>188</v>
      </c>
      <c r="M1180" t="s">
        <v>40</v>
      </c>
      <c r="N1180" t="s">
        <v>41</v>
      </c>
      <c r="O1180" t="s">
        <v>189</v>
      </c>
      <c r="P1180">
        <v>33</v>
      </c>
      <c r="Q1180">
        <v>0</v>
      </c>
      <c r="R1180">
        <v>0</v>
      </c>
      <c r="S1180">
        <v>0</v>
      </c>
      <c r="T1180" t="s">
        <v>54</v>
      </c>
      <c r="U1180" t="s">
        <v>55</v>
      </c>
      <c r="W1180" t="s">
        <v>3585</v>
      </c>
      <c r="Y1180">
        <v>0</v>
      </c>
      <c r="AA1180" t="s">
        <v>40</v>
      </c>
      <c r="AB1180" t="s">
        <v>46</v>
      </c>
      <c r="AC1180" t="s">
        <v>47</v>
      </c>
      <c r="AG1180" t="s">
        <v>3814</v>
      </c>
      <c r="AJ1180" t="s">
        <v>40</v>
      </c>
      <c r="AK1180">
        <v>5019314396</v>
      </c>
      <c r="AL1180" t="s">
        <v>3815</v>
      </c>
      <c r="AM1180" t="s">
        <v>3816</v>
      </c>
      <c r="AO1180" s="1">
        <v>45966</v>
      </c>
      <c r="AP1180" s="5">
        <v>0.70833333333333337</v>
      </c>
      <c r="AS1180">
        <v>1</v>
      </c>
    </row>
    <row r="1181" spans="1:45" x14ac:dyDescent="0.2">
      <c r="A1181">
        <f t="shared" si="74"/>
        <v>2025</v>
      </c>
      <c r="B1181">
        <f t="shared" si="75"/>
        <v>11</v>
      </c>
      <c r="C1181">
        <f t="shared" si="76"/>
        <v>45</v>
      </c>
      <c r="D1181" s="2">
        <f t="shared" si="77"/>
        <v>45966</v>
      </c>
      <c r="E1181" s="1">
        <v>45966.708333333336</v>
      </c>
      <c r="F1181" t="s">
        <v>3817</v>
      </c>
      <c r="G1181" t="s">
        <v>36</v>
      </c>
      <c r="H1181">
        <v>464141</v>
      </c>
      <c r="I1181" t="s">
        <v>51</v>
      </c>
      <c r="J1181" t="s">
        <v>194</v>
      </c>
      <c r="M1181" t="s">
        <v>40</v>
      </c>
      <c r="N1181" t="s">
        <v>41</v>
      </c>
      <c r="O1181" t="s">
        <v>210</v>
      </c>
      <c r="P1181">
        <v>33</v>
      </c>
      <c r="Q1181">
        <v>0</v>
      </c>
      <c r="R1181">
        <v>0</v>
      </c>
      <c r="S1181">
        <v>0</v>
      </c>
      <c r="T1181" t="s">
        <v>54</v>
      </c>
      <c r="U1181" t="s">
        <v>55</v>
      </c>
      <c r="W1181" t="s">
        <v>3661</v>
      </c>
      <c r="X1181" t="s">
        <v>3818</v>
      </c>
      <c r="Y1181">
        <v>0</v>
      </c>
      <c r="AA1181" t="s">
        <v>40</v>
      </c>
      <c r="AB1181" t="s">
        <v>46</v>
      </c>
      <c r="AC1181" t="s">
        <v>47</v>
      </c>
      <c r="AG1181" t="s">
        <v>3819</v>
      </c>
      <c r="AJ1181" t="s">
        <v>40</v>
      </c>
      <c r="AK1181" t="s">
        <v>3820</v>
      </c>
      <c r="AL1181" t="s">
        <v>3821</v>
      </c>
      <c r="AM1181" t="s">
        <v>3822</v>
      </c>
      <c r="AN1181" t="s">
        <v>3823</v>
      </c>
      <c r="AO1181" s="1">
        <v>45966</v>
      </c>
      <c r="AP1181" s="5">
        <v>0.70833333333333337</v>
      </c>
      <c r="AS1181">
        <v>1</v>
      </c>
    </row>
    <row r="1182" spans="1:45" x14ac:dyDescent="0.2">
      <c r="A1182">
        <f t="shared" si="74"/>
        <v>2025</v>
      </c>
      <c r="B1182">
        <f t="shared" si="75"/>
        <v>11</v>
      </c>
      <c r="C1182">
        <f t="shared" si="76"/>
        <v>45</v>
      </c>
      <c r="D1182" s="2">
        <f t="shared" si="77"/>
        <v>45966</v>
      </c>
      <c r="E1182" s="1">
        <v>45966.75</v>
      </c>
      <c r="F1182" t="s">
        <v>3824</v>
      </c>
      <c r="G1182" t="s">
        <v>36</v>
      </c>
      <c r="H1182">
        <v>464133</v>
      </c>
      <c r="I1182" t="s">
        <v>51</v>
      </c>
      <c r="J1182" t="s">
        <v>194</v>
      </c>
      <c r="M1182" t="s">
        <v>40</v>
      </c>
      <c r="N1182" t="s">
        <v>41</v>
      </c>
      <c r="O1182" t="s">
        <v>189</v>
      </c>
      <c r="P1182">
        <v>33</v>
      </c>
      <c r="Q1182">
        <v>0</v>
      </c>
      <c r="R1182">
        <v>0</v>
      </c>
      <c r="S1182">
        <v>0</v>
      </c>
      <c r="T1182" t="s">
        <v>54</v>
      </c>
      <c r="U1182" t="s">
        <v>55</v>
      </c>
      <c r="W1182" t="s">
        <v>3224</v>
      </c>
      <c r="Y1182">
        <v>0</v>
      </c>
      <c r="AA1182" t="s">
        <v>40</v>
      </c>
      <c r="AB1182" t="s">
        <v>46</v>
      </c>
      <c r="AC1182" t="s">
        <v>47</v>
      </c>
      <c r="AG1182" t="s">
        <v>3825</v>
      </c>
      <c r="AJ1182" t="s">
        <v>40</v>
      </c>
      <c r="AK1182">
        <v>5019322341</v>
      </c>
      <c r="AO1182" s="1">
        <v>45966</v>
      </c>
      <c r="AP1182" s="5">
        <v>0.75</v>
      </c>
      <c r="AS1182">
        <v>1</v>
      </c>
    </row>
    <row r="1183" spans="1:45" x14ac:dyDescent="0.2">
      <c r="A1183">
        <f t="shared" si="74"/>
        <v>2025</v>
      </c>
      <c r="B1183">
        <f t="shared" si="75"/>
        <v>11</v>
      </c>
      <c r="C1183">
        <f t="shared" si="76"/>
        <v>45</v>
      </c>
      <c r="D1183" s="2">
        <f t="shared" si="77"/>
        <v>45966</v>
      </c>
      <c r="E1183" s="1">
        <v>45966.75</v>
      </c>
      <c r="F1183" t="s">
        <v>3826</v>
      </c>
      <c r="G1183" t="s">
        <v>36</v>
      </c>
      <c r="H1183">
        <v>464121</v>
      </c>
      <c r="I1183" t="s">
        <v>51</v>
      </c>
      <c r="J1183" t="s">
        <v>2580</v>
      </c>
      <c r="M1183" t="s">
        <v>40</v>
      </c>
      <c r="N1183" t="s">
        <v>41</v>
      </c>
      <c r="O1183" t="s">
        <v>182</v>
      </c>
      <c r="P1183">
        <v>33</v>
      </c>
      <c r="Q1183">
        <v>0</v>
      </c>
      <c r="R1183">
        <v>0</v>
      </c>
      <c r="S1183">
        <v>0</v>
      </c>
      <c r="T1183" t="s">
        <v>54</v>
      </c>
      <c r="U1183" t="s">
        <v>55</v>
      </c>
      <c r="W1183" t="s">
        <v>3827</v>
      </c>
      <c r="Y1183">
        <v>0</v>
      </c>
      <c r="AA1183" t="s">
        <v>40</v>
      </c>
      <c r="AB1183" t="s">
        <v>46</v>
      </c>
      <c r="AC1183" t="s">
        <v>47</v>
      </c>
      <c r="AG1183" t="s">
        <v>3828</v>
      </c>
      <c r="AJ1183" t="s">
        <v>40</v>
      </c>
      <c r="AK1183">
        <v>5019316349</v>
      </c>
      <c r="AO1183" s="1">
        <v>45966</v>
      </c>
      <c r="AP1183" s="5">
        <v>0.75</v>
      </c>
      <c r="AS1183">
        <v>1</v>
      </c>
    </row>
    <row r="1184" spans="1:45" x14ac:dyDescent="0.2">
      <c r="A1184">
        <f t="shared" si="74"/>
        <v>2025</v>
      </c>
      <c r="B1184">
        <f t="shared" si="75"/>
        <v>11</v>
      </c>
      <c r="C1184">
        <f t="shared" si="76"/>
        <v>45</v>
      </c>
      <c r="D1184" s="2">
        <f t="shared" si="77"/>
        <v>45966</v>
      </c>
      <c r="E1184" s="1">
        <v>45966.791666666664</v>
      </c>
      <c r="F1184" t="s">
        <v>3829</v>
      </c>
      <c r="G1184" t="s">
        <v>36</v>
      </c>
      <c r="H1184">
        <v>469300</v>
      </c>
      <c r="I1184" t="s">
        <v>51</v>
      </c>
      <c r="J1184" t="s">
        <v>188</v>
      </c>
      <c r="M1184" t="s">
        <v>40</v>
      </c>
      <c r="N1184" t="s">
        <v>41</v>
      </c>
      <c r="O1184" t="s">
        <v>172</v>
      </c>
      <c r="P1184">
        <v>33</v>
      </c>
      <c r="Q1184">
        <v>0</v>
      </c>
      <c r="R1184">
        <v>0</v>
      </c>
      <c r="S1184">
        <v>0</v>
      </c>
      <c r="T1184" t="s">
        <v>54</v>
      </c>
      <c r="U1184" t="s">
        <v>55</v>
      </c>
      <c r="W1184" t="s">
        <v>3830</v>
      </c>
      <c r="Y1184">
        <v>0</v>
      </c>
      <c r="AA1184" t="s">
        <v>40</v>
      </c>
      <c r="AB1184" t="s">
        <v>46</v>
      </c>
      <c r="AC1184" t="s">
        <v>47</v>
      </c>
      <c r="AG1184" t="s">
        <v>3831</v>
      </c>
      <c r="AJ1184" t="s">
        <v>40</v>
      </c>
      <c r="AK1184">
        <v>5019336922</v>
      </c>
      <c r="AO1184" s="1">
        <v>45966</v>
      </c>
      <c r="AP1184" s="5">
        <v>0.79166666666666663</v>
      </c>
      <c r="AS1184">
        <v>1</v>
      </c>
    </row>
    <row r="1185" spans="1:45" x14ac:dyDescent="0.2">
      <c r="A1185">
        <f t="shared" si="74"/>
        <v>2025</v>
      </c>
      <c r="B1185">
        <f t="shared" si="75"/>
        <v>11</v>
      </c>
      <c r="C1185">
        <f t="shared" si="76"/>
        <v>45</v>
      </c>
      <c r="D1185" s="2">
        <f t="shared" si="77"/>
        <v>45966</v>
      </c>
      <c r="E1185" s="1">
        <v>45966.791666666664</v>
      </c>
      <c r="F1185" t="s">
        <v>3832</v>
      </c>
      <c r="G1185" t="s">
        <v>36</v>
      </c>
      <c r="H1185">
        <v>468825</v>
      </c>
      <c r="I1185" t="s">
        <v>51</v>
      </c>
      <c r="J1185" t="s">
        <v>144</v>
      </c>
      <c r="M1185" t="s">
        <v>40</v>
      </c>
      <c r="N1185" t="s">
        <v>41</v>
      </c>
      <c r="O1185" t="s">
        <v>155</v>
      </c>
      <c r="P1185">
        <v>33</v>
      </c>
      <c r="Q1185">
        <v>0</v>
      </c>
      <c r="R1185">
        <v>0</v>
      </c>
      <c r="S1185">
        <v>0</v>
      </c>
      <c r="T1185" t="s">
        <v>54</v>
      </c>
      <c r="U1185" t="s">
        <v>55</v>
      </c>
      <c r="W1185" t="s">
        <v>3122</v>
      </c>
      <c r="Y1185">
        <v>0</v>
      </c>
      <c r="AA1185" t="s">
        <v>40</v>
      </c>
      <c r="AB1185" t="s">
        <v>46</v>
      </c>
      <c r="AC1185" t="s">
        <v>47</v>
      </c>
      <c r="AG1185" t="s">
        <v>3833</v>
      </c>
      <c r="AJ1185" t="s">
        <v>40</v>
      </c>
      <c r="AK1185">
        <v>5019308393</v>
      </c>
      <c r="AO1185" s="1">
        <v>45966</v>
      </c>
      <c r="AP1185" s="5">
        <v>0.79166666666666663</v>
      </c>
      <c r="AS1185">
        <v>1</v>
      </c>
    </row>
    <row r="1186" spans="1:45" x14ac:dyDescent="0.2">
      <c r="A1186">
        <f t="shared" si="74"/>
        <v>2025</v>
      </c>
      <c r="B1186">
        <f t="shared" si="75"/>
        <v>11</v>
      </c>
      <c r="C1186">
        <f t="shared" si="76"/>
        <v>45</v>
      </c>
      <c r="D1186" s="2">
        <f t="shared" si="77"/>
        <v>45966</v>
      </c>
      <c r="E1186" s="1">
        <v>45966.791666666664</v>
      </c>
      <c r="F1186" t="s">
        <v>3834</v>
      </c>
      <c r="G1186" t="s">
        <v>36</v>
      </c>
      <c r="H1186">
        <v>464126</v>
      </c>
      <c r="I1186" t="s">
        <v>51</v>
      </c>
      <c r="J1186" t="s">
        <v>194</v>
      </c>
      <c r="M1186" t="s">
        <v>40</v>
      </c>
      <c r="N1186" t="s">
        <v>41</v>
      </c>
      <c r="O1186" t="s">
        <v>189</v>
      </c>
      <c r="P1186">
        <v>33</v>
      </c>
      <c r="Q1186">
        <v>0</v>
      </c>
      <c r="R1186">
        <v>0</v>
      </c>
      <c r="S1186">
        <v>0</v>
      </c>
      <c r="T1186" t="s">
        <v>54</v>
      </c>
      <c r="U1186" t="s">
        <v>55</v>
      </c>
      <c r="W1186" t="s">
        <v>3835</v>
      </c>
      <c r="Y1186">
        <v>0</v>
      </c>
      <c r="AA1186" t="s">
        <v>40</v>
      </c>
      <c r="AB1186" t="s">
        <v>46</v>
      </c>
      <c r="AC1186" t="s">
        <v>47</v>
      </c>
      <c r="AG1186" t="s">
        <v>3836</v>
      </c>
      <c r="AJ1186" t="s">
        <v>40</v>
      </c>
      <c r="AK1186">
        <v>5019328662</v>
      </c>
      <c r="AO1186" s="1">
        <v>45966</v>
      </c>
      <c r="AP1186" s="5">
        <v>0.79166666666666663</v>
      </c>
      <c r="AS1186">
        <v>1</v>
      </c>
    </row>
    <row r="1187" spans="1:45" x14ac:dyDescent="0.2">
      <c r="A1187">
        <f t="shared" si="74"/>
        <v>2025</v>
      </c>
      <c r="B1187">
        <f t="shared" si="75"/>
        <v>11</v>
      </c>
      <c r="C1187">
        <f t="shared" si="76"/>
        <v>45</v>
      </c>
      <c r="D1187" s="2">
        <f t="shared" si="77"/>
        <v>45966</v>
      </c>
      <c r="E1187" s="1">
        <v>45966.833333333336</v>
      </c>
      <c r="F1187" t="s">
        <v>3837</v>
      </c>
      <c r="G1187" t="s">
        <v>36</v>
      </c>
      <c r="H1187" t="s">
        <v>3838</v>
      </c>
      <c r="I1187" t="s">
        <v>78</v>
      </c>
      <c r="J1187" t="s">
        <v>219</v>
      </c>
      <c r="M1187" t="s">
        <v>40</v>
      </c>
      <c r="N1187" t="s">
        <v>41</v>
      </c>
      <c r="O1187" t="s">
        <v>417</v>
      </c>
      <c r="P1187">
        <v>66</v>
      </c>
      <c r="Q1187">
        <v>0</v>
      </c>
      <c r="R1187">
        <v>0</v>
      </c>
      <c r="S1187">
        <v>0</v>
      </c>
      <c r="T1187" t="s">
        <v>54</v>
      </c>
      <c r="U1187" t="s">
        <v>55</v>
      </c>
      <c r="W1187" t="s">
        <v>2876</v>
      </c>
      <c r="X1187" t="s">
        <v>3839</v>
      </c>
      <c r="Y1187">
        <v>0</v>
      </c>
      <c r="AA1187" t="s">
        <v>40</v>
      </c>
      <c r="AB1187" t="s">
        <v>46</v>
      </c>
      <c r="AC1187" t="s">
        <v>47</v>
      </c>
      <c r="AD1187" t="s">
        <v>81</v>
      </c>
      <c r="AE1187" t="s">
        <v>81</v>
      </c>
      <c r="AG1187" t="s">
        <v>3840</v>
      </c>
      <c r="AJ1187" t="s">
        <v>40</v>
      </c>
      <c r="AK1187" t="s">
        <v>3841</v>
      </c>
      <c r="AL1187" t="s">
        <v>3842</v>
      </c>
      <c r="AM1187" t="s">
        <v>3843</v>
      </c>
      <c r="AO1187" s="1">
        <v>45966</v>
      </c>
      <c r="AP1187" s="5">
        <v>0.83333333333333337</v>
      </c>
      <c r="AS1187">
        <v>1</v>
      </c>
    </row>
    <row r="1188" spans="1:45" x14ac:dyDescent="0.2">
      <c r="A1188">
        <f t="shared" si="74"/>
        <v>2025</v>
      </c>
      <c r="B1188">
        <f t="shared" si="75"/>
        <v>11</v>
      </c>
      <c r="C1188">
        <f t="shared" si="76"/>
        <v>45</v>
      </c>
      <c r="D1188" s="2">
        <f t="shared" si="77"/>
        <v>45967</v>
      </c>
      <c r="E1188" s="1">
        <v>45967.25</v>
      </c>
      <c r="F1188" t="s">
        <v>3844</v>
      </c>
      <c r="G1188" t="s">
        <v>36</v>
      </c>
      <c r="H1188" t="s">
        <v>3147</v>
      </c>
      <c r="I1188" t="s">
        <v>38</v>
      </c>
      <c r="J1188" t="s">
        <v>99</v>
      </c>
      <c r="M1188" t="s">
        <v>40</v>
      </c>
      <c r="N1188" t="s">
        <v>41</v>
      </c>
      <c r="O1188" t="s">
        <v>42</v>
      </c>
      <c r="P1188">
        <v>24</v>
      </c>
      <c r="Q1188">
        <v>0</v>
      </c>
      <c r="R1188">
        <v>0</v>
      </c>
      <c r="S1188">
        <v>0</v>
      </c>
      <c r="T1188" t="s">
        <v>3845</v>
      </c>
      <c r="U1188" t="s">
        <v>44</v>
      </c>
      <c r="W1188" t="s">
        <v>3661</v>
      </c>
      <c r="Y1188">
        <v>0</v>
      </c>
      <c r="AA1188" t="s">
        <v>40</v>
      </c>
      <c r="AB1188" t="s">
        <v>46</v>
      </c>
      <c r="AC1188" t="s">
        <v>47</v>
      </c>
      <c r="AF1188" t="s">
        <v>367</v>
      </c>
      <c r="AJ1188" t="s">
        <v>40</v>
      </c>
      <c r="AK1188" t="s">
        <v>49</v>
      </c>
      <c r="AM1188" t="s">
        <v>3148</v>
      </c>
      <c r="AN1188" t="s">
        <v>3846</v>
      </c>
      <c r="AO1188" s="1">
        <v>45967</v>
      </c>
      <c r="AP1188" s="5">
        <v>0.25</v>
      </c>
      <c r="AS1188">
        <v>1</v>
      </c>
    </row>
    <row r="1189" spans="1:45" x14ac:dyDescent="0.2">
      <c r="A1189">
        <f t="shared" si="74"/>
        <v>2025</v>
      </c>
      <c r="B1189">
        <f t="shared" si="75"/>
        <v>11</v>
      </c>
      <c r="C1189">
        <f t="shared" si="76"/>
        <v>45</v>
      </c>
      <c r="D1189" s="2">
        <f t="shared" si="77"/>
        <v>45967</v>
      </c>
      <c r="E1189" s="1">
        <v>45967.25</v>
      </c>
      <c r="F1189" t="s">
        <v>3847</v>
      </c>
      <c r="G1189" t="s">
        <v>36</v>
      </c>
      <c r="H1189">
        <v>469857</v>
      </c>
      <c r="I1189" t="s">
        <v>51</v>
      </c>
      <c r="J1189" t="s">
        <v>144</v>
      </c>
      <c r="M1189" t="s">
        <v>40</v>
      </c>
      <c r="N1189" t="s">
        <v>41</v>
      </c>
      <c r="O1189" t="s">
        <v>90</v>
      </c>
      <c r="P1189">
        <v>33</v>
      </c>
      <c r="Q1189">
        <v>0</v>
      </c>
      <c r="R1189">
        <v>0</v>
      </c>
      <c r="S1189">
        <v>0</v>
      </c>
      <c r="T1189" t="s">
        <v>54</v>
      </c>
      <c r="U1189" t="s">
        <v>55</v>
      </c>
      <c r="W1189" t="s">
        <v>3848</v>
      </c>
      <c r="X1189" t="s">
        <v>3849</v>
      </c>
      <c r="Y1189">
        <v>0</v>
      </c>
      <c r="AA1189" t="s">
        <v>40</v>
      </c>
      <c r="AB1189" t="s">
        <v>46</v>
      </c>
      <c r="AC1189" t="s">
        <v>47</v>
      </c>
      <c r="AG1189" t="s">
        <v>3850</v>
      </c>
      <c r="AJ1189" t="s">
        <v>40</v>
      </c>
      <c r="AK1189">
        <v>5019339432</v>
      </c>
      <c r="AL1189" t="s">
        <v>3851</v>
      </c>
      <c r="AM1189" t="s">
        <v>3852</v>
      </c>
      <c r="AO1189" s="1">
        <v>45967</v>
      </c>
      <c r="AP1189" s="5">
        <v>0.25</v>
      </c>
      <c r="AS1189">
        <v>1</v>
      </c>
    </row>
    <row r="1190" spans="1:45" x14ac:dyDescent="0.2">
      <c r="A1190">
        <f t="shared" si="74"/>
        <v>2025</v>
      </c>
      <c r="B1190">
        <f t="shared" si="75"/>
        <v>11</v>
      </c>
      <c r="C1190">
        <f t="shared" si="76"/>
        <v>45</v>
      </c>
      <c r="D1190" s="2">
        <f t="shared" si="77"/>
        <v>45967</v>
      </c>
      <c r="E1190" s="1">
        <v>45967.291666666664</v>
      </c>
      <c r="F1190" t="s">
        <v>3853</v>
      </c>
      <c r="G1190" t="s">
        <v>36</v>
      </c>
      <c r="H1190">
        <v>467309</v>
      </c>
      <c r="I1190" t="s">
        <v>51</v>
      </c>
      <c r="J1190" t="s">
        <v>52</v>
      </c>
      <c r="M1190" t="s">
        <v>40</v>
      </c>
      <c r="N1190" t="s">
        <v>41</v>
      </c>
      <c r="O1190" t="s">
        <v>53</v>
      </c>
      <c r="P1190">
        <v>33</v>
      </c>
      <c r="Q1190">
        <v>0</v>
      </c>
      <c r="R1190">
        <v>0</v>
      </c>
      <c r="S1190">
        <v>0</v>
      </c>
      <c r="T1190" t="s">
        <v>54</v>
      </c>
      <c r="U1190" t="s">
        <v>55</v>
      </c>
      <c r="W1190" t="s">
        <v>3242</v>
      </c>
      <c r="Y1190">
        <v>0</v>
      </c>
      <c r="AA1190" t="s">
        <v>40</v>
      </c>
      <c r="AB1190" t="s">
        <v>46</v>
      </c>
      <c r="AC1190" t="s">
        <v>47</v>
      </c>
      <c r="AG1190" t="s">
        <v>3854</v>
      </c>
      <c r="AJ1190" t="s">
        <v>40</v>
      </c>
      <c r="AK1190">
        <v>5019339582</v>
      </c>
      <c r="AO1190" s="1">
        <v>45967</v>
      </c>
      <c r="AP1190" s="5">
        <v>0.29166666666666669</v>
      </c>
      <c r="AS1190">
        <v>1</v>
      </c>
    </row>
    <row r="1191" spans="1:45" x14ac:dyDescent="0.2">
      <c r="A1191">
        <f t="shared" si="74"/>
        <v>2025</v>
      </c>
      <c r="B1191">
        <f t="shared" si="75"/>
        <v>11</v>
      </c>
      <c r="C1191">
        <f t="shared" si="76"/>
        <v>45</v>
      </c>
      <c r="D1191" s="2">
        <f t="shared" si="77"/>
        <v>45967</v>
      </c>
      <c r="E1191" s="1">
        <v>45967.291666666664</v>
      </c>
      <c r="F1191" t="s">
        <v>3855</v>
      </c>
      <c r="G1191" t="s">
        <v>36</v>
      </c>
      <c r="H1191" t="s">
        <v>3856</v>
      </c>
      <c r="I1191" t="s">
        <v>38</v>
      </c>
      <c r="J1191" t="s">
        <v>60</v>
      </c>
      <c r="M1191" t="s">
        <v>40</v>
      </c>
      <c r="N1191" t="s">
        <v>41</v>
      </c>
      <c r="O1191" t="s">
        <v>42</v>
      </c>
      <c r="P1191">
        <v>20</v>
      </c>
      <c r="Q1191">
        <v>0</v>
      </c>
      <c r="R1191">
        <v>0</v>
      </c>
      <c r="S1191">
        <v>0</v>
      </c>
      <c r="T1191" t="s">
        <v>3857</v>
      </c>
      <c r="U1191" t="s">
        <v>44</v>
      </c>
      <c r="W1191" t="s">
        <v>3858</v>
      </c>
      <c r="Y1191">
        <v>0</v>
      </c>
      <c r="AA1191" t="s">
        <v>40</v>
      </c>
      <c r="AB1191" t="s">
        <v>46</v>
      </c>
      <c r="AC1191" t="s">
        <v>47</v>
      </c>
      <c r="AF1191" t="s">
        <v>133</v>
      </c>
      <c r="AJ1191" t="s">
        <v>40</v>
      </c>
      <c r="AK1191" t="s">
        <v>49</v>
      </c>
      <c r="AN1191">
        <v>261256752</v>
      </c>
      <c r="AO1191" s="1">
        <v>45967</v>
      </c>
      <c r="AP1191" s="5">
        <v>0.29166666666666669</v>
      </c>
      <c r="AS1191">
        <v>1</v>
      </c>
    </row>
    <row r="1192" spans="1:45" x14ac:dyDescent="0.2">
      <c r="A1192">
        <f t="shared" si="74"/>
        <v>2025</v>
      </c>
      <c r="B1192">
        <f t="shared" si="75"/>
        <v>11</v>
      </c>
      <c r="C1192">
        <f t="shared" si="76"/>
        <v>45</v>
      </c>
      <c r="D1192" s="2">
        <f t="shared" si="77"/>
        <v>45967</v>
      </c>
      <c r="E1192" s="1">
        <v>45967.291666666664</v>
      </c>
      <c r="F1192" t="s">
        <v>3859</v>
      </c>
      <c r="G1192" t="s">
        <v>36</v>
      </c>
      <c r="H1192" t="s">
        <v>253</v>
      </c>
      <c r="I1192" t="s">
        <v>38</v>
      </c>
      <c r="J1192" t="s">
        <v>254</v>
      </c>
      <c r="M1192" t="s">
        <v>40</v>
      </c>
      <c r="N1192" t="s">
        <v>41</v>
      </c>
      <c r="O1192" t="s">
        <v>42</v>
      </c>
      <c r="P1192">
        <v>1</v>
      </c>
      <c r="Q1192">
        <v>0</v>
      </c>
      <c r="R1192">
        <v>0</v>
      </c>
      <c r="S1192">
        <v>0</v>
      </c>
      <c r="T1192">
        <v>5019341909</v>
      </c>
      <c r="U1192" t="s">
        <v>101</v>
      </c>
      <c r="W1192" t="s">
        <v>3808</v>
      </c>
      <c r="Y1192">
        <v>0</v>
      </c>
      <c r="AA1192" t="s">
        <v>40</v>
      </c>
      <c r="AB1192" t="s">
        <v>46</v>
      </c>
      <c r="AC1192" t="s">
        <v>47</v>
      </c>
      <c r="AF1192" t="s">
        <v>48</v>
      </c>
      <c r="AJ1192" t="s">
        <v>40</v>
      </c>
      <c r="AK1192" t="s">
        <v>49</v>
      </c>
      <c r="AO1192" s="1">
        <v>45967</v>
      </c>
      <c r="AP1192" s="5">
        <v>0.29166666666666669</v>
      </c>
      <c r="AS1192">
        <v>1</v>
      </c>
    </row>
    <row r="1193" spans="1:45" x14ac:dyDescent="0.2">
      <c r="A1193">
        <f t="shared" si="74"/>
        <v>2025</v>
      </c>
      <c r="B1193">
        <f t="shared" si="75"/>
        <v>11</v>
      </c>
      <c r="C1193">
        <f t="shared" si="76"/>
        <v>45</v>
      </c>
      <c r="D1193" s="2">
        <f t="shared" si="77"/>
        <v>45967</v>
      </c>
      <c r="E1193" s="1">
        <v>45967.333333333336</v>
      </c>
      <c r="F1193" t="s">
        <v>3860</v>
      </c>
      <c r="G1193" t="s">
        <v>36</v>
      </c>
      <c r="H1193" t="s">
        <v>3147</v>
      </c>
      <c r="I1193" t="s">
        <v>38</v>
      </c>
      <c r="J1193" t="s">
        <v>99</v>
      </c>
      <c r="M1193" t="s">
        <v>40</v>
      </c>
      <c r="N1193" t="s">
        <v>41</v>
      </c>
      <c r="O1193" t="s">
        <v>42</v>
      </c>
      <c r="P1193">
        <v>24</v>
      </c>
      <c r="Q1193">
        <v>0</v>
      </c>
      <c r="R1193">
        <v>0</v>
      </c>
      <c r="S1193">
        <v>0</v>
      </c>
      <c r="T1193" t="s">
        <v>3861</v>
      </c>
      <c r="U1193" t="s">
        <v>44</v>
      </c>
      <c r="W1193" t="s">
        <v>3661</v>
      </c>
      <c r="Y1193">
        <v>0</v>
      </c>
      <c r="AA1193" t="s">
        <v>40</v>
      </c>
      <c r="AB1193" t="s">
        <v>46</v>
      </c>
      <c r="AC1193" t="s">
        <v>47</v>
      </c>
      <c r="AF1193" t="s">
        <v>367</v>
      </c>
      <c r="AJ1193" t="s">
        <v>40</v>
      </c>
      <c r="AK1193" t="s">
        <v>49</v>
      </c>
      <c r="AM1193" t="s">
        <v>3148</v>
      </c>
      <c r="AN1193" t="s">
        <v>3846</v>
      </c>
      <c r="AO1193" s="1">
        <v>45967</v>
      </c>
      <c r="AP1193" s="5">
        <v>0.33333333333333331</v>
      </c>
      <c r="AS1193">
        <v>1</v>
      </c>
    </row>
    <row r="1194" spans="1:45" x14ac:dyDescent="0.2">
      <c r="A1194">
        <f t="shared" si="74"/>
        <v>2025</v>
      </c>
      <c r="B1194">
        <f t="shared" si="75"/>
        <v>11</v>
      </c>
      <c r="C1194">
        <f t="shared" si="76"/>
        <v>45</v>
      </c>
      <c r="D1194" s="2">
        <f t="shared" si="77"/>
        <v>45967</v>
      </c>
      <c r="E1194" s="1">
        <v>45967.333333333336</v>
      </c>
      <c r="F1194" t="s">
        <v>3862</v>
      </c>
      <c r="G1194" t="s">
        <v>36</v>
      </c>
      <c r="H1194" t="s">
        <v>3863</v>
      </c>
      <c r="I1194" t="s">
        <v>38</v>
      </c>
      <c r="J1194" t="s">
        <v>60</v>
      </c>
      <c r="M1194" t="s">
        <v>40</v>
      </c>
      <c r="N1194" t="s">
        <v>41</v>
      </c>
      <c r="O1194" t="s">
        <v>42</v>
      </c>
      <c r="P1194">
        <v>20</v>
      </c>
      <c r="Q1194">
        <v>0</v>
      </c>
      <c r="R1194">
        <v>0</v>
      </c>
      <c r="S1194">
        <v>0</v>
      </c>
      <c r="T1194">
        <v>5019262668</v>
      </c>
      <c r="U1194" t="s">
        <v>44</v>
      </c>
      <c r="W1194" t="s">
        <v>3858</v>
      </c>
      <c r="Y1194">
        <v>0</v>
      </c>
      <c r="AA1194" t="s">
        <v>40</v>
      </c>
      <c r="AB1194" t="s">
        <v>46</v>
      </c>
      <c r="AC1194" t="s">
        <v>47</v>
      </c>
      <c r="AF1194" t="s">
        <v>62</v>
      </c>
      <c r="AJ1194" t="s">
        <v>40</v>
      </c>
      <c r="AK1194" t="s">
        <v>49</v>
      </c>
      <c r="AN1194">
        <v>260110098</v>
      </c>
      <c r="AO1194" s="1">
        <v>45967</v>
      </c>
      <c r="AP1194" s="5">
        <v>0.33333333333333331</v>
      </c>
      <c r="AS1194">
        <v>1</v>
      </c>
    </row>
    <row r="1195" spans="1:45" x14ac:dyDescent="0.2">
      <c r="A1195">
        <f t="shared" si="74"/>
        <v>2025</v>
      </c>
      <c r="B1195">
        <f t="shared" si="75"/>
        <v>11</v>
      </c>
      <c r="C1195">
        <f t="shared" si="76"/>
        <v>45</v>
      </c>
      <c r="D1195" s="2">
        <f t="shared" si="77"/>
        <v>45967</v>
      </c>
      <c r="E1195" s="1">
        <v>45967.333333333336</v>
      </c>
      <c r="F1195" t="s">
        <v>3864</v>
      </c>
      <c r="G1195" t="s">
        <v>36</v>
      </c>
      <c r="H1195" t="s">
        <v>3865</v>
      </c>
      <c r="I1195" t="s">
        <v>38</v>
      </c>
      <c r="J1195" t="s">
        <v>60</v>
      </c>
      <c r="M1195" t="s">
        <v>40</v>
      </c>
      <c r="N1195" t="s">
        <v>41</v>
      </c>
      <c r="O1195" t="s">
        <v>42</v>
      </c>
      <c r="P1195">
        <v>20</v>
      </c>
      <c r="Q1195">
        <v>0</v>
      </c>
      <c r="R1195">
        <v>0</v>
      </c>
      <c r="S1195">
        <v>0</v>
      </c>
      <c r="T1195">
        <v>5019348920</v>
      </c>
      <c r="U1195" t="s">
        <v>392</v>
      </c>
      <c r="W1195" t="s">
        <v>3866</v>
      </c>
      <c r="Y1195">
        <v>0</v>
      </c>
      <c r="AA1195" t="s">
        <v>40</v>
      </c>
      <c r="AB1195" t="s">
        <v>46</v>
      </c>
      <c r="AC1195" t="s">
        <v>47</v>
      </c>
      <c r="AF1195" t="s">
        <v>62</v>
      </c>
      <c r="AJ1195" t="s">
        <v>40</v>
      </c>
      <c r="AK1195" t="s">
        <v>49</v>
      </c>
      <c r="AN1195" t="s">
        <v>3867</v>
      </c>
      <c r="AO1195" s="1">
        <v>45967</v>
      </c>
      <c r="AP1195" s="5">
        <v>0.33333333333333331</v>
      </c>
      <c r="AS1195">
        <v>1</v>
      </c>
    </row>
    <row r="1196" spans="1:45" x14ac:dyDescent="0.2">
      <c r="A1196">
        <f t="shared" si="74"/>
        <v>2025</v>
      </c>
      <c r="B1196">
        <f t="shared" si="75"/>
        <v>11</v>
      </c>
      <c r="C1196">
        <f t="shared" si="76"/>
        <v>45</v>
      </c>
      <c r="D1196" s="2">
        <f t="shared" si="77"/>
        <v>45967</v>
      </c>
      <c r="E1196" s="1">
        <v>45967.333333333336</v>
      </c>
      <c r="F1196" t="s">
        <v>3868</v>
      </c>
      <c r="G1196" t="s">
        <v>36</v>
      </c>
      <c r="H1196" t="s">
        <v>264</v>
      </c>
      <c r="I1196" t="s">
        <v>38</v>
      </c>
      <c r="J1196" t="s">
        <v>265</v>
      </c>
      <c r="M1196" t="s">
        <v>40</v>
      </c>
      <c r="N1196" t="s">
        <v>41</v>
      </c>
      <c r="O1196" t="s">
        <v>42</v>
      </c>
      <c r="P1196">
        <v>23</v>
      </c>
      <c r="Q1196">
        <v>0</v>
      </c>
      <c r="R1196">
        <v>0</v>
      </c>
      <c r="S1196">
        <v>0</v>
      </c>
      <c r="T1196" t="s">
        <v>3869</v>
      </c>
      <c r="U1196" t="s">
        <v>55</v>
      </c>
      <c r="W1196" t="s">
        <v>3804</v>
      </c>
      <c r="Y1196">
        <v>0</v>
      </c>
      <c r="AA1196" t="s">
        <v>40</v>
      </c>
      <c r="AB1196" t="s">
        <v>46</v>
      </c>
      <c r="AC1196" t="s">
        <v>47</v>
      </c>
      <c r="AF1196" t="s">
        <v>48</v>
      </c>
      <c r="AJ1196" t="s">
        <v>40</v>
      </c>
      <c r="AK1196" t="s">
        <v>49</v>
      </c>
      <c r="AO1196" s="1">
        <v>45967</v>
      </c>
      <c r="AP1196" s="5">
        <v>0.33333333333333331</v>
      </c>
      <c r="AS1196">
        <v>1</v>
      </c>
    </row>
    <row r="1197" spans="1:45" x14ac:dyDescent="0.2">
      <c r="A1197">
        <f t="shared" si="74"/>
        <v>2025</v>
      </c>
      <c r="B1197">
        <f t="shared" si="75"/>
        <v>11</v>
      </c>
      <c r="C1197">
        <f t="shared" si="76"/>
        <v>45</v>
      </c>
      <c r="D1197" s="2">
        <f t="shared" si="77"/>
        <v>45967</v>
      </c>
      <c r="E1197" s="1">
        <v>45967.375</v>
      </c>
      <c r="F1197" t="s">
        <v>3870</v>
      </c>
      <c r="G1197" t="s">
        <v>36</v>
      </c>
      <c r="H1197" t="s">
        <v>3871</v>
      </c>
      <c r="I1197" t="s">
        <v>78</v>
      </c>
      <c r="J1197" t="s">
        <v>52</v>
      </c>
      <c r="M1197" t="s">
        <v>40</v>
      </c>
      <c r="N1197" t="s">
        <v>41</v>
      </c>
      <c r="O1197" t="s">
        <v>79</v>
      </c>
      <c r="P1197">
        <v>66</v>
      </c>
      <c r="Q1197">
        <v>0</v>
      </c>
      <c r="R1197">
        <v>0</v>
      </c>
      <c r="S1197">
        <v>0</v>
      </c>
      <c r="T1197" t="s">
        <v>54</v>
      </c>
      <c r="U1197" t="s">
        <v>55</v>
      </c>
      <c r="W1197" t="s">
        <v>3872</v>
      </c>
      <c r="Y1197">
        <v>0</v>
      </c>
      <c r="AA1197" t="s">
        <v>40</v>
      </c>
      <c r="AB1197" t="s">
        <v>46</v>
      </c>
      <c r="AC1197" t="s">
        <v>47</v>
      </c>
      <c r="AD1197" t="s">
        <v>81</v>
      </c>
      <c r="AE1197" t="s">
        <v>81</v>
      </c>
      <c r="AG1197" t="s">
        <v>3873</v>
      </c>
      <c r="AJ1197" t="s">
        <v>40</v>
      </c>
      <c r="AK1197" t="s">
        <v>3874</v>
      </c>
      <c r="AO1197" s="1">
        <v>45967</v>
      </c>
      <c r="AP1197" s="5">
        <v>0.375</v>
      </c>
      <c r="AS1197">
        <v>1</v>
      </c>
    </row>
    <row r="1198" spans="1:45" x14ac:dyDescent="0.2">
      <c r="A1198">
        <f t="shared" si="74"/>
        <v>2025</v>
      </c>
      <c r="B1198">
        <f t="shared" si="75"/>
        <v>11</v>
      </c>
      <c r="C1198">
        <f t="shared" si="76"/>
        <v>45</v>
      </c>
      <c r="D1198" s="2">
        <f t="shared" si="77"/>
        <v>45967</v>
      </c>
      <c r="E1198" s="1">
        <v>45967.375</v>
      </c>
      <c r="F1198" t="s">
        <v>3875</v>
      </c>
      <c r="G1198" t="s">
        <v>36</v>
      </c>
      <c r="H1198" t="s">
        <v>626</v>
      </c>
      <c r="I1198" t="s">
        <v>38</v>
      </c>
      <c r="J1198" t="s">
        <v>451</v>
      </c>
      <c r="M1198" t="s">
        <v>40</v>
      </c>
      <c r="N1198" t="s">
        <v>41</v>
      </c>
      <c r="O1198" t="s">
        <v>42</v>
      </c>
      <c r="P1198">
        <v>23</v>
      </c>
      <c r="Q1198">
        <v>0</v>
      </c>
      <c r="R1198">
        <v>0</v>
      </c>
      <c r="S1198">
        <v>0</v>
      </c>
      <c r="T1198" t="s">
        <v>3876</v>
      </c>
      <c r="U1198" t="s">
        <v>44</v>
      </c>
      <c r="W1198" t="s">
        <v>3804</v>
      </c>
      <c r="Y1198">
        <v>0</v>
      </c>
      <c r="AA1198" t="s">
        <v>40</v>
      </c>
      <c r="AB1198" t="s">
        <v>46</v>
      </c>
      <c r="AC1198" t="s">
        <v>47</v>
      </c>
      <c r="AF1198" t="s">
        <v>48</v>
      </c>
      <c r="AJ1198" t="s">
        <v>40</v>
      </c>
      <c r="AK1198" t="s">
        <v>49</v>
      </c>
      <c r="AO1198" s="1">
        <v>45967</v>
      </c>
      <c r="AP1198" s="5">
        <v>0.375</v>
      </c>
      <c r="AS1198">
        <v>1</v>
      </c>
    </row>
    <row r="1199" spans="1:45" x14ac:dyDescent="0.2">
      <c r="A1199">
        <f t="shared" si="74"/>
        <v>2025</v>
      </c>
      <c r="B1199">
        <f t="shared" si="75"/>
        <v>11</v>
      </c>
      <c r="C1199">
        <f t="shared" si="76"/>
        <v>45</v>
      </c>
      <c r="D1199" s="2">
        <f t="shared" si="77"/>
        <v>45967</v>
      </c>
      <c r="E1199" s="1">
        <v>45967.375</v>
      </c>
      <c r="F1199" t="s">
        <v>3877</v>
      </c>
      <c r="G1199" t="s">
        <v>36</v>
      </c>
      <c r="H1199" t="s">
        <v>3878</v>
      </c>
      <c r="I1199" t="s">
        <v>38</v>
      </c>
      <c r="J1199" t="s">
        <v>60</v>
      </c>
      <c r="M1199" t="s">
        <v>40</v>
      </c>
      <c r="N1199" t="s">
        <v>41</v>
      </c>
      <c r="O1199" t="s">
        <v>42</v>
      </c>
      <c r="P1199">
        <v>20</v>
      </c>
      <c r="Q1199">
        <v>0</v>
      </c>
      <c r="R1199">
        <v>0</v>
      </c>
      <c r="S1199">
        <v>0</v>
      </c>
      <c r="T1199">
        <v>5019340263</v>
      </c>
      <c r="U1199" t="s">
        <v>392</v>
      </c>
      <c r="W1199" t="s">
        <v>3866</v>
      </c>
      <c r="Y1199">
        <v>0</v>
      </c>
      <c r="AA1199" t="s">
        <v>40</v>
      </c>
      <c r="AB1199" t="s">
        <v>46</v>
      </c>
      <c r="AC1199" t="s">
        <v>47</v>
      </c>
      <c r="AF1199" t="s">
        <v>62</v>
      </c>
      <c r="AJ1199" t="s">
        <v>40</v>
      </c>
      <c r="AK1199" t="s">
        <v>49</v>
      </c>
      <c r="AN1199" t="s">
        <v>3879</v>
      </c>
      <c r="AO1199" s="1">
        <v>45967</v>
      </c>
      <c r="AP1199" s="5">
        <v>0.375</v>
      </c>
      <c r="AS1199">
        <v>1</v>
      </c>
    </row>
    <row r="1200" spans="1:45" x14ac:dyDescent="0.2">
      <c r="A1200">
        <f t="shared" si="74"/>
        <v>2025</v>
      </c>
      <c r="B1200">
        <f t="shared" si="75"/>
        <v>11</v>
      </c>
      <c r="C1200">
        <f t="shared" si="76"/>
        <v>45</v>
      </c>
      <c r="D1200" s="2">
        <f t="shared" si="77"/>
        <v>45967</v>
      </c>
      <c r="E1200" s="1">
        <v>45967.375</v>
      </c>
      <c r="F1200" t="s">
        <v>3880</v>
      </c>
      <c r="G1200" t="s">
        <v>36</v>
      </c>
      <c r="H1200" t="s">
        <v>2858</v>
      </c>
      <c r="I1200" t="s">
        <v>38</v>
      </c>
      <c r="J1200" t="s">
        <v>265</v>
      </c>
      <c r="M1200" t="s">
        <v>40</v>
      </c>
      <c r="N1200" t="s">
        <v>41</v>
      </c>
      <c r="O1200" t="s">
        <v>42</v>
      </c>
      <c r="P1200">
        <v>33</v>
      </c>
      <c r="Q1200">
        <v>0</v>
      </c>
      <c r="R1200">
        <v>0</v>
      </c>
      <c r="S1200">
        <v>0</v>
      </c>
      <c r="T1200">
        <v>4505818382</v>
      </c>
      <c r="U1200" t="s">
        <v>44</v>
      </c>
      <c r="W1200" t="s">
        <v>3639</v>
      </c>
      <c r="Y1200">
        <v>0</v>
      </c>
      <c r="AA1200" t="s">
        <v>40</v>
      </c>
      <c r="AB1200" t="s">
        <v>46</v>
      </c>
      <c r="AC1200" t="s">
        <v>47</v>
      </c>
      <c r="AF1200" t="s">
        <v>664</v>
      </c>
      <c r="AJ1200" t="s">
        <v>40</v>
      </c>
      <c r="AK1200" t="s">
        <v>49</v>
      </c>
      <c r="AO1200" s="1">
        <v>45967</v>
      </c>
      <c r="AP1200" s="5">
        <v>0.375</v>
      </c>
      <c r="AS1200">
        <v>1</v>
      </c>
    </row>
    <row r="1201" spans="1:45" x14ac:dyDescent="0.2">
      <c r="A1201">
        <f t="shared" si="74"/>
        <v>2025</v>
      </c>
      <c r="B1201">
        <f t="shared" si="75"/>
        <v>11</v>
      </c>
      <c r="C1201">
        <f t="shared" si="76"/>
        <v>45</v>
      </c>
      <c r="D1201" s="2">
        <f t="shared" si="77"/>
        <v>45967</v>
      </c>
      <c r="E1201" s="1">
        <v>45967.416666666664</v>
      </c>
      <c r="F1201" t="s">
        <v>3881</v>
      </c>
      <c r="G1201" t="s">
        <v>36</v>
      </c>
      <c r="H1201" t="s">
        <v>111</v>
      </c>
      <c r="I1201" t="s">
        <v>38</v>
      </c>
      <c r="J1201" t="s">
        <v>99</v>
      </c>
      <c r="M1201" t="s">
        <v>40</v>
      </c>
      <c r="N1201" t="s">
        <v>41</v>
      </c>
      <c r="O1201" t="s">
        <v>42</v>
      </c>
      <c r="P1201">
        <v>23</v>
      </c>
      <c r="Q1201">
        <v>0</v>
      </c>
      <c r="R1201">
        <v>0</v>
      </c>
      <c r="S1201">
        <v>0</v>
      </c>
      <c r="T1201" t="s">
        <v>3882</v>
      </c>
      <c r="U1201" t="s">
        <v>44</v>
      </c>
      <c r="W1201" t="s">
        <v>3804</v>
      </c>
      <c r="Y1201">
        <v>0</v>
      </c>
      <c r="AA1201" t="s">
        <v>40</v>
      </c>
      <c r="AB1201" t="s">
        <v>46</v>
      </c>
      <c r="AC1201" t="s">
        <v>47</v>
      </c>
      <c r="AF1201" t="s">
        <v>48</v>
      </c>
      <c r="AJ1201" t="s">
        <v>40</v>
      </c>
      <c r="AK1201" t="s">
        <v>49</v>
      </c>
      <c r="AO1201" s="1">
        <v>45967</v>
      </c>
      <c r="AP1201" s="5">
        <v>0.41666666666666669</v>
      </c>
      <c r="AS1201">
        <v>1</v>
      </c>
    </row>
    <row r="1202" spans="1:45" x14ac:dyDescent="0.2">
      <c r="A1202">
        <f t="shared" si="74"/>
        <v>2025</v>
      </c>
      <c r="B1202">
        <f t="shared" si="75"/>
        <v>11</v>
      </c>
      <c r="C1202">
        <f t="shared" si="76"/>
        <v>45</v>
      </c>
      <c r="D1202" s="2">
        <f t="shared" si="77"/>
        <v>45967</v>
      </c>
      <c r="E1202" s="1">
        <v>45967.416666666664</v>
      </c>
      <c r="F1202" t="s">
        <v>3883</v>
      </c>
      <c r="G1202" t="s">
        <v>36</v>
      </c>
      <c r="H1202">
        <v>464170</v>
      </c>
      <c r="I1202" t="s">
        <v>51</v>
      </c>
      <c r="J1202" t="s">
        <v>52</v>
      </c>
      <c r="M1202" t="s">
        <v>40</v>
      </c>
      <c r="N1202" t="s">
        <v>41</v>
      </c>
      <c r="O1202" t="s">
        <v>172</v>
      </c>
      <c r="P1202">
        <v>33</v>
      </c>
      <c r="Q1202">
        <v>0</v>
      </c>
      <c r="R1202">
        <v>0</v>
      </c>
      <c r="S1202">
        <v>0</v>
      </c>
      <c r="T1202" t="s">
        <v>54</v>
      </c>
      <c r="U1202" t="s">
        <v>55</v>
      </c>
      <c r="W1202" t="s">
        <v>3884</v>
      </c>
      <c r="Y1202">
        <v>0</v>
      </c>
      <c r="AA1202" t="s">
        <v>40</v>
      </c>
      <c r="AB1202" t="s">
        <v>46</v>
      </c>
      <c r="AC1202" t="s">
        <v>47</v>
      </c>
      <c r="AG1202" t="s">
        <v>3885</v>
      </c>
      <c r="AJ1202" t="s">
        <v>40</v>
      </c>
      <c r="AK1202">
        <v>5019345605</v>
      </c>
      <c r="AO1202" s="1">
        <v>45967</v>
      </c>
      <c r="AP1202" s="5">
        <v>0.41666666666666669</v>
      </c>
      <c r="AS1202">
        <v>1</v>
      </c>
    </row>
    <row r="1203" spans="1:45" x14ac:dyDescent="0.2">
      <c r="A1203">
        <f t="shared" si="74"/>
        <v>2025</v>
      </c>
      <c r="B1203">
        <f t="shared" si="75"/>
        <v>11</v>
      </c>
      <c r="C1203">
        <f t="shared" si="76"/>
        <v>45</v>
      </c>
      <c r="D1203" s="2">
        <f t="shared" si="77"/>
        <v>45967</v>
      </c>
      <c r="E1203" s="1">
        <v>45967.416666666664</v>
      </c>
      <c r="F1203" t="s">
        <v>3886</v>
      </c>
      <c r="G1203" t="s">
        <v>36</v>
      </c>
      <c r="H1203" t="s">
        <v>111</v>
      </c>
      <c r="I1203" t="s">
        <v>38</v>
      </c>
      <c r="J1203" t="s">
        <v>99</v>
      </c>
      <c r="M1203" t="s">
        <v>40</v>
      </c>
      <c r="N1203" t="s">
        <v>41</v>
      </c>
      <c r="O1203" t="s">
        <v>42</v>
      </c>
      <c r="P1203">
        <v>23</v>
      </c>
      <c r="Q1203">
        <v>0</v>
      </c>
      <c r="R1203">
        <v>0</v>
      </c>
      <c r="S1203">
        <v>0</v>
      </c>
      <c r="T1203" t="s">
        <v>3887</v>
      </c>
      <c r="U1203" t="s">
        <v>44</v>
      </c>
      <c r="W1203" t="s">
        <v>3804</v>
      </c>
      <c r="Y1203">
        <v>0</v>
      </c>
      <c r="AA1203" t="s">
        <v>40</v>
      </c>
      <c r="AB1203" t="s">
        <v>46</v>
      </c>
      <c r="AC1203" t="s">
        <v>47</v>
      </c>
      <c r="AF1203" t="s">
        <v>48</v>
      </c>
      <c r="AJ1203" t="s">
        <v>40</v>
      </c>
      <c r="AK1203" t="s">
        <v>49</v>
      </c>
      <c r="AO1203" s="1">
        <v>45967</v>
      </c>
      <c r="AP1203" s="5">
        <v>0.41666666666666669</v>
      </c>
      <c r="AS1203">
        <v>1</v>
      </c>
    </row>
    <row r="1204" spans="1:45" x14ac:dyDescent="0.2">
      <c r="A1204">
        <f t="shared" si="74"/>
        <v>2025</v>
      </c>
      <c r="B1204">
        <f t="shared" si="75"/>
        <v>11</v>
      </c>
      <c r="C1204">
        <f t="shared" si="76"/>
        <v>45</v>
      </c>
      <c r="D1204" s="2">
        <f t="shared" si="77"/>
        <v>45967</v>
      </c>
      <c r="E1204" s="1">
        <v>45967.416666666664</v>
      </c>
      <c r="F1204" t="s">
        <v>3888</v>
      </c>
      <c r="G1204" t="s">
        <v>36</v>
      </c>
      <c r="H1204" t="s">
        <v>3147</v>
      </c>
      <c r="I1204" t="s">
        <v>38</v>
      </c>
      <c r="J1204" t="s">
        <v>99</v>
      </c>
      <c r="M1204" t="s">
        <v>40</v>
      </c>
      <c r="N1204" t="s">
        <v>41</v>
      </c>
      <c r="O1204" t="s">
        <v>42</v>
      </c>
      <c r="P1204">
        <v>24</v>
      </c>
      <c r="Q1204">
        <v>0</v>
      </c>
      <c r="R1204">
        <v>0</v>
      </c>
      <c r="S1204">
        <v>0</v>
      </c>
      <c r="T1204" t="s">
        <v>3889</v>
      </c>
      <c r="U1204" t="s">
        <v>44</v>
      </c>
      <c r="W1204" t="s">
        <v>3639</v>
      </c>
      <c r="Y1204">
        <v>0</v>
      </c>
      <c r="AA1204" t="s">
        <v>40</v>
      </c>
      <c r="AB1204" t="s">
        <v>46</v>
      </c>
      <c r="AC1204" t="s">
        <v>47</v>
      </c>
      <c r="AF1204" t="s">
        <v>367</v>
      </c>
      <c r="AJ1204" t="s">
        <v>40</v>
      </c>
      <c r="AK1204" t="s">
        <v>49</v>
      </c>
      <c r="AM1204" t="s">
        <v>3148</v>
      </c>
      <c r="AN1204" t="s">
        <v>3846</v>
      </c>
      <c r="AO1204" s="1">
        <v>45967</v>
      </c>
      <c r="AP1204" s="5">
        <v>0.41666666666666669</v>
      </c>
      <c r="AS1204">
        <v>1</v>
      </c>
    </row>
    <row r="1205" spans="1:45" x14ac:dyDescent="0.2">
      <c r="A1205">
        <f t="shared" si="74"/>
        <v>2025</v>
      </c>
      <c r="B1205">
        <f t="shared" si="75"/>
        <v>11</v>
      </c>
      <c r="C1205">
        <f t="shared" si="76"/>
        <v>45</v>
      </c>
      <c r="D1205" s="2">
        <f t="shared" si="77"/>
        <v>45967</v>
      </c>
      <c r="E1205" s="1">
        <v>45967.458333333336</v>
      </c>
      <c r="F1205" t="s">
        <v>3890</v>
      </c>
      <c r="G1205" t="s">
        <v>36</v>
      </c>
      <c r="H1205" t="s">
        <v>1586</v>
      </c>
      <c r="I1205" t="s">
        <v>38</v>
      </c>
      <c r="J1205" t="s">
        <v>39</v>
      </c>
      <c r="M1205" t="s">
        <v>40</v>
      </c>
      <c r="N1205" t="s">
        <v>41</v>
      </c>
      <c r="O1205" t="s">
        <v>42</v>
      </c>
      <c r="P1205">
        <v>1</v>
      </c>
      <c r="Q1205">
        <v>0</v>
      </c>
      <c r="R1205">
        <v>0</v>
      </c>
      <c r="S1205">
        <v>0</v>
      </c>
      <c r="T1205" t="s">
        <v>3891</v>
      </c>
      <c r="U1205" t="s">
        <v>101</v>
      </c>
      <c r="W1205" t="s">
        <v>3892</v>
      </c>
      <c r="Y1205">
        <v>0</v>
      </c>
      <c r="AA1205" t="s">
        <v>40</v>
      </c>
      <c r="AB1205" t="s">
        <v>46</v>
      </c>
      <c r="AC1205" t="s">
        <v>47</v>
      </c>
      <c r="AF1205" t="s">
        <v>1001</v>
      </c>
      <c r="AJ1205" t="s">
        <v>40</v>
      </c>
      <c r="AK1205" t="s">
        <v>49</v>
      </c>
      <c r="AO1205" s="1">
        <v>45967</v>
      </c>
      <c r="AP1205" s="5">
        <v>0.45833333333333331</v>
      </c>
      <c r="AS1205">
        <v>1</v>
      </c>
    </row>
    <row r="1206" spans="1:45" x14ac:dyDescent="0.2">
      <c r="A1206">
        <f t="shared" si="74"/>
        <v>2025</v>
      </c>
      <c r="B1206">
        <f t="shared" si="75"/>
        <v>11</v>
      </c>
      <c r="C1206">
        <f t="shared" si="76"/>
        <v>45</v>
      </c>
      <c r="D1206" s="2">
        <f t="shared" si="77"/>
        <v>45967</v>
      </c>
      <c r="E1206" s="1">
        <v>45967.458333333336</v>
      </c>
      <c r="F1206" t="s">
        <v>3893</v>
      </c>
      <c r="G1206" t="s">
        <v>36</v>
      </c>
      <c r="H1206" t="s">
        <v>1936</v>
      </c>
      <c r="I1206" t="s">
        <v>38</v>
      </c>
      <c r="J1206" t="s">
        <v>1937</v>
      </c>
      <c r="M1206" t="s">
        <v>40</v>
      </c>
      <c r="N1206" t="s">
        <v>41</v>
      </c>
      <c r="O1206" t="s">
        <v>42</v>
      </c>
      <c r="P1206">
        <v>12</v>
      </c>
      <c r="Q1206">
        <v>0</v>
      </c>
      <c r="R1206">
        <v>0</v>
      </c>
      <c r="S1206">
        <v>0</v>
      </c>
      <c r="T1206">
        <v>5019299437</v>
      </c>
      <c r="U1206" t="s">
        <v>44</v>
      </c>
      <c r="W1206" t="s">
        <v>3639</v>
      </c>
      <c r="Y1206">
        <v>0</v>
      </c>
      <c r="AA1206" t="s">
        <v>40</v>
      </c>
      <c r="AB1206" t="s">
        <v>46</v>
      </c>
      <c r="AC1206" t="s">
        <v>47</v>
      </c>
      <c r="AF1206" t="s">
        <v>1940</v>
      </c>
      <c r="AJ1206" t="s">
        <v>40</v>
      </c>
      <c r="AK1206" t="s">
        <v>49</v>
      </c>
      <c r="AO1206" s="1">
        <v>45967</v>
      </c>
      <c r="AP1206" s="5">
        <v>0.45833333333333331</v>
      </c>
      <c r="AS1206">
        <v>1</v>
      </c>
    </row>
    <row r="1207" spans="1:45" x14ac:dyDescent="0.2">
      <c r="A1207">
        <f t="shared" si="74"/>
        <v>2025</v>
      </c>
      <c r="B1207">
        <f t="shared" si="75"/>
        <v>11</v>
      </c>
      <c r="C1207">
        <f t="shared" si="76"/>
        <v>45</v>
      </c>
      <c r="D1207" s="2">
        <f t="shared" si="77"/>
        <v>45967</v>
      </c>
      <c r="E1207" s="1">
        <v>45967.458333333336</v>
      </c>
      <c r="F1207" t="s">
        <v>3894</v>
      </c>
      <c r="G1207" t="s">
        <v>36</v>
      </c>
      <c r="H1207" t="s">
        <v>3895</v>
      </c>
      <c r="I1207" t="s">
        <v>38</v>
      </c>
      <c r="J1207" t="s">
        <v>254</v>
      </c>
      <c r="M1207" t="s">
        <v>40</v>
      </c>
      <c r="N1207" t="s">
        <v>41</v>
      </c>
      <c r="O1207" t="s">
        <v>42</v>
      </c>
      <c r="P1207">
        <v>5</v>
      </c>
      <c r="Q1207">
        <v>0</v>
      </c>
      <c r="R1207">
        <v>0</v>
      </c>
      <c r="S1207">
        <v>0</v>
      </c>
      <c r="T1207" t="s">
        <v>3896</v>
      </c>
      <c r="U1207" t="s">
        <v>294</v>
      </c>
      <c r="W1207" t="s">
        <v>3897</v>
      </c>
      <c r="Y1207">
        <v>0</v>
      </c>
      <c r="AA1207" t="s">
        <v>40</v>
      </c>
      <c r="AB1207" t="s">
        <v>46</v>
      </c>
      <c r="AC1207" t="s">
        <v>47</v>
      </c>
      <c r="AF1207" t="s">
        <v>295</v>
      </c>
      <c r="AJ1207" t="s">
        <v>40</v>
      </c>
      <c r="AK1207" t="s">
        <v>49</v>
      </c>
      <c r="AO1207" s="1">
        <v>45967</v>
      </c>
      <c r="AP1207" s="5">
        <v>0.45833333333333331</v>
      </c>
      <c r="AS1207">
        <v>1</v>
      </c>
    </row>
    <row r="1208" spans="1:45" x14ac:dyDescent="0.2">
      <c r="A1208">
        <f t="shared" si="74"/>
        <v>2025</v>
      </c>
      <c r="B1208">
        <f t="shared" si="75"/>
        <v>11</v>
      </c>
      <c r="C1208">
        <f t="shared" si="76"/>
        <v>45</v>
      </c>
      <c r="D1208" s="2">
        <f t="shared" si="77"/>
        <v>45967</v>
      </c>
      <c r="E1208" s="1">
        <v>45967.458333333336</v>
      </c>
      <c r="F1208" t="s">
        <v>3898</v>
      </c>
      <c r="G1208" t="s">
        <v>36</v>
      </c>
      <c r="H1208" t="s">
        <v>3899</v>
      </c>
      <c r="I1208" t="s">
        <v>78</v>
      </c>
      <c r="J1208" t="s">
        <v>52</v>
      </c>
      <c r="M1208" t="s">
        <v>40</v>
      </c>
      <c r="N1208" t="s">
        <v>41</v>
      </c>
      <c r="O1208" t="s">
        <v>3900</v>
      </c>
      <c r="P1208">
        <v>66</v>
      </c>
      <c r="Q1208">
        <v>0</v>
      </c>
      <c r="R1208">
        <v>0</v>
      </c>
      <c r="S1208">
        <v>0</v>
      </c>
      <c r="T1208" t="s">
        <v>54</v>
      </c>
      <c r="U1208" t="s">
        <v>55</v>
      </c>
      <c r="W1208" t="s">
        <v>3901</v>
      </c>
      <c r="Y1208">
        <v>0</v>
      </c>
      <c r="AA1208" t="s">
        <v>40</v>
      </c>
      <c r="AB1208" t="s">
        <v>46</v>
      </c>
      <c r="AC1208" t="s">
        <v>47</v>
      </c>
      <c r="AD1208" t="s">
        <v>81</v>
      </c>
      <c r="AE1208" t="s">
        <v>81</v>
      </c>
      <c r="AG1208" t="s">
        <v>3902</v>
      </c>
      <c r="AJ1208" t="s">
        <v>40</v>
      </c>
      <c r="AK1208" t="s">
        <v>3903</v>
      </c>
      <c r="AO1208" s="1">
        <v>45967</v>
      </c>
      <c r="AP1208" s="5">
        <v>0.45833333333333331</v>
      </c>
      <c r="AS1208">
        <v>1</v>
      </c>
    </row>
    <row r="1209" spans="1:45" x14ac:dyDescent="0.2">
      <c r="A1209">
        <f t="shared" si="74"/>
        <v>2025</v>
      </c>
      <c r="B1209">
        <f t="shared" si="75"/>
        <v>11</v>
      </c>
      <c r="C1209">
        <f t="shared" si="76"/>
        <v>45</v>
      </c>
      <c r="D1209" s="2">
        <f t="shared" si="77"/>
        <v>45967</v>
      </c>
      <c r="E1209" s="1">
        <v>45967.458333333336</v>
      </c>
      <c r="F1209" t="s">
        <v>3904</v>
      </c>
      <c r="G1209" t="s">
        <v>36</v>
      </c>
      <c r="H1209" t="s">
        <v>3147</v>
      </c>
      <c r="I1209" t="s">
        <v>38</v>
      </c>
      <c r="J1209" t="s">
        <v>99</v>
      </c>
      <c r="M1209" t="s">
        <v>40</v>
      </c>
      <c r="N1209" t="s">
        <v>41</v>
      </c>
      <c r="O1209" t="s">
        <v>42</v>
      </c>
      <c r="P1209">
        <v>24</v>
      </c>
      <c r="Q1209">
        <v>0</v>
      </c>
      <c r="R1209">
        <v>0</v>
      </c>
      <c r="S1209">
        <v>0</v>
      </c>
      <c r="T1209" t="s">
        <v>3905</v>
      </c>
      <c r="U1209" t="s">
        <v>44</v>
      </c>
      <c r="W1209" t="s">
        <v>3639</v>
      </c>
      <c r="Y1209">
        <v>0</v>
      </c>
      <c r="AA1209" t="s">
        <v>40</v>
      </c>
      <c r="AB1209" t="s">
        <v>46</v>
      </c>
      <c r="AC1209" t="s">
        <v>47</v>
      </c>
      <c r="AF1209" t="s">
        <v>367</v>
      </c>
      <c r="AJ1209" t="s">
        <v>40</v>
      </c>
      <c r="AK1209" t="s">
        <v>49</v>
      </c>
      <c r="AM1209" t="s">
        <v>3148</v>
      </c>
      <c r="AN1209" t="s">
        <v>3846</v>
      </c>
      <c r="AO1209" s="1">
        <v>45967</v>
      </c>
      <c r="AP1209" s="5">
        <v>0.45833333333333331</v>
      </c>
      <c r="AS1209">
        <v>1</v>
      </c>
    </row>
    <row r="1210" spans="1:45" x14ac:dyDescent="0.2">
      <c r="A1210">
        <f t="shared" si="74"/>
        <v>2025</v>
      </c>
      <c r="B1210">
        <f t="shared" si="75"/>
        <v>11</v>
      </c>
      <c r="C1210">
        <f t="shared" si="76"/>
        <v>45</v>
      </c>
      <c r="D1210" s="2">
        <f t="shared" si="77"/>
        <v>45967</v>
      </c>
      <c r="E1210" s="1">
        <v>45967.5</v>
      </c>
      <c r="F1210" t="s">
        <v>3906</v>
      </c>
      <c r="G1210" t="s">
        <v>36</v>
      </c>
      <c r="H1210" t="s">
        <v>111</v>
      </c>
      <c r="I1210" t="s">
        <v>38</v>
      </c>
      <c r="J1210" t="s">
        <v>99</v>
      </c>
      <c r="M1210" t="s">
        <v>40</v>
      </c>
      <c r="N1210" t="s">
        <v>41</v>
      </c>
      <c r="O1210" t="s">
        <v>42</v>
      </c>
      <c r="P1210">
        <v>23</v>
      </c>
      <c r="Q1210">
        <v>0</v>
      </c>
      <c r="R1210">
        <v>0</v>
      </c>
      <c r="S1210">
        <v>0</v>
      </c>
      <c r="T1210" t="s">
        <v>3907</v>
      </c>
      <c r="U1210" t="s">
        <v>44</v>
      </c>
      <c r="W1210" t="s">
        <v>3804</v>
      </c>
      <c r="Y1210">
        <v>0</v>
      </c>
      <c r="AA1210" t="s">
        <v>40</v>
      </c>
      <c r="AB1210" t="s">
        <v>46</v>
      </c>
      <c r="AC1210" t="s">
        <v>47</v>
      </c>
      <c r="AF1210" t="s">
        <v>48</v>
      </c>
      <c r="AJ1210" t="s">
        <v>40</v>
      </c>
      <c r="AK1210" t="s">
        <v>49</v>
      </c>
      <c r="AO1210" s="1">
        <v>45967</v>
      </c>
      <c r="AP1210" s="5">
        <v>0.5</v>
      </c>
      <c r="AS1210">
        <v>1</v>
      </c>
    </row>
    <row r="1211" spans="1:45" x14ac:dyDescent="0.2">
      <c r="A1211">
        <f t="shared" si="74"/>
        <v>2025</v>
      </c>
      <c r="B1211">
        <f t="shared" si="75"/>
        <v>11</v>
      </c>
      <c r="C1211">
        <f t="shared" si="76"/>
        <v>45</v>
      </c>
      <c r="D1211" s="2">
        <f t="shared" si="77"/>
        <v>45967</v>
      </c>
      <c r="E1211" s="1">
        <v>45967.5</v>
      </c>
      <c r="F1211" t="s">
        <v>3908</v>
      </c>
      <c r="G1211" t="s">
        <v>36</v>
      </c>
      <c r="H1211">
        <v>467308</v>
      </c>
      <c r="I1211" t="s">
        <v>51</v>
      </c>
      <c r="J1211" t="s">
        <v>52</v>
      </c>
      <c r="M1211" t="s">
        <v>40</v>
      </c>
      <c r="N1211" t="s">
        <v>41</v>
      </c>
      <c r="O1211" t="s">
        <v>53</v>
      </c>
      <c r="P1211">
        <v>33</v>
      </c>
      <c r="Q1211">
        <v>0</v>
      </c>
      <c r="R1211">
        <v>0</v>
      </c>
      <c r="S1211">
        <v>0</v>
      </c>
      <c r="T1211" t="s">
        <v>54</v>
      </c>
      <c r="U1211" t="s">
        <v>55</v>
      </c>
      <c r="W1211" t="s">
        <v>3909</v>
      </c>
      <c r="Y1211">
        <v>0</v>
      </c>
      <c r="AA1211" t="s">
        <v>40</v>
      </c>
      <c r="AB1211" t="s">
        <v>46</v>
      </c>
      <c r="AC1211" t="s">
        <v>47</v>
      </c>
      <c r="AG1211" t="s">
        <v>3910</v>
      </c>
      <c r="AJ1211" t="s">
        <v>40</v>
      </c>
      <c r="AK1211">
        <v>5019344022</v>
      </c>
      <c r="AO1211" s="1">
        <v>45967</v>
      </c>
      <c r="AP1211" s="5">
        <v>0.5</v>
      </c>
      <c r="AS1211">
        <v>1</v>
      </c>
    </row>
    <row r="1212" spans="1:45" x14ac:dyDescent="0.2">
      <c r="A1212">
        <f t="shared" si="74"/>
        <v>2025</v>
      </c>
      <c r="B1212">
        <f t="shared" si="75"/>
        <v>11</v>
      </c>
      <c r="C1212">
        <f t="shared" si="76"/>
        <v>45</v>
      </c>
      <c r="D1212" s="2">
        <f t="shared" si="77"/>
        <v>45967</v>
      </c>
      <c r="E1212" s="1">
        <v>45967.5</v>
      </c>
      <c r="F1212" t="s">
        <v>3911</v>
      </c>
      <c r="G1212" t="s">
        <v>36</v>
      </c>
      <c r="H1212" t="s">
        <v>111</v>
      </c>
      <c r="I1212" t="s">
        <v>38</v>
      </c>
      <c r="J1212" t="s">
        <v>99</v>
      </c>
      <c r="M1212" t="s">
        <v>40</v>
      </c>
      <c r="N1212" t="s">
        <v>41</v>
      </c>
      <c r="O1212" t="s">
        <v>42</v>
      </c>
      <c r="P1212">
        <v>23</v>
      </c>
      <c r="Q1212">
        <v>0</v>
      </c>
      <c r="R1212">
        <v>0</v>
      </c>
      <c r="S1212">
        <v>0</v>
      </c>
      <c r="T1212" t="s">
        <v>3912</v>
      </c>
      <c r="U1212" t="s">
        <v>44</v>
      </c>
      <c r="W1212" t="s">
        <v>3804</v>
      </c>
      <c r="Y1212">
        <v>0</v>
      </c>
      <c r="AA1212" t="s">
        <v>40</v>
      </c>
      <c r="AB1212" t="s">
        <v>46</v>
      </c>
      <c r="AC1212" t="s">
        <v>47</v>
      </c>
      <c r="AF1212" t="s">
        <v>48</v>
      </c>
      <c r="AJ1212" t="s">
        <v>40</v>
      </c>
      <c r="AK1212" t="s">
        <v>49</v>
      </c>
      <c r="AO1212" s="1">
        <v>45967</v>
      </c>
      <c r="AP1212" s="5">
        <v>0.5</v>
      </c>
      <c r="AS1212">
        <v>1</v>
      </c>
    </row>
    <row r="1213" spans="1:45" x14ac:dyDescent="0.2">
      <c r="A1213">
        <f t="shared" si="74"/>
        <v>2025</v>
      </c>
      <c r="B1213">
        <f t="shared" si="75"/>
        <v>11</v>
      </c>
      <c r="C1213">
        <f t="shared" si="76"/>
        <v>45</v>
      </c>
      <c r="D1213" s="2">
        <f t="shared" si="77"/>
        <v>45967</v>
      </c>
      <c r="E1213" s="1">
        <v>45967.5</v>
      </c>
      <c r="F1213" t="s">
        <v>3913</v>
      </c>
      <c r="G1213" t="s">
        <v>36</v>
      </c>
      <c r="H1213">
        <v>467326</v>
      </c>
      <c r="I1213" t="s">
        <v>51</v>
      </c>
      <c r="J1213" t="s">
        <v>52</v>
      </c>
      <c r="M1213" t="s">
        <v>40</v>
      </c>
      <c r="N1213" t="s">
        <v>41</v>
      </c>
      <c r="O1213" t="s">
        <v>53</v>
      </c>
      <c r="P1213">
        <v>33</v>
      </c>
      <c r="Q1213">
        <v>0</v>
      </c>
      <c r="R1213">
        <v>0</v>
      </c>
      <c r="S1213">
        <v>0</v>
      </c>
      <c r="T1213" t="s">
        <v>54</v>
      </c>
      <c r="U1213" t="s">
        <v>55</v>
      </c>
      <c r="W1213" t="s">
        <v>3776</v>
      </c>
      <c r="Y1213">
        <v>0</v>
      </c>
      <c r="AA1213" t="s">
        <v>40</v>
      </c>
      <c r="AB1213" t="s">
        <v>46</v>
      </c>
      <c r="AC1213" t="s">
        <v>47</v>
      </c>
      <c r="AG1213" t="s">
        <v>3914</v>
      </c>
      <c r="AJ1213" t="s">
        <v>40</v>
      </c>
      <c r="AK1213">
        <v>5019331552</v>
      </c>
      <c r="AO1213" s="1">
        <v>45967</v>
      </c>
      <c r="AP1213" s="5">
        <v>0.5</v>
      </c>
      <c r="AS1213">
        <v>1</v>
      </c>
    </row>
    <row r="1214" spans="1:45" x14ac:dyDescent="0.2">
      <c r="A1214">
        <f t="shared" si="74"/>
        <v>2025</v>
      </c>
      <c r="B1214">
        <f t="shared" si="75"/>
        <v>11</v>
      </c>
      <c r="C1214">
        <f t="shared" si="76"/>
        <v>45</v>
      </c>
      <c r="D1214" s="2">
        <f t="shared" si="77"/>
        <v>45967</v>
      </c>
      <c r="E1214" s="1">
        <v>45967.5</v>
      </c>
      <c r="F1214" t="s">
        <v>3915</v>
      </c>
      <c r="G1214" t="s">
        <v>36</v>
      </c>
      <c r="H1214">
        <v>469677</v>
      </c>
      <c r="I1214" t="s">
        <v>51</v>
      </c>
      <c r="J1214" t="s">
        <v>834</v>
      </c>
      <c r="M1214" t="s">
        <v>40</v>
      </c>
      <c r="N1214" t="s">
        <v>41</v>
      </c>
      <c r="O1214" t="s">
        <v>436</v>
      </c>
      <c r="P1214">
        <v>12</v>
      </c>
      <c r="Q1214">
        <v>0</v>
      </c>
      <c r="R1214">
        <v>0</v>
      </c>
      <c r="S1214">
        <v>0</v>
      </c>
      <c r="T1214" t="s">
        <v>54</v>
      </c>
      <c r="U1214" t="s">
        <v>392</v>
      </c>
      <c r="W1214" t="s">
        <v>3916</v>
      </c>
      <c r="X1214" t="s">
        <v>3917</v>
      </c>
      <c r="Y1214">
        <v>0</v>
      </c>
      <c r="AA1214" t="s">
        <v>40</v>
      </c>
      <c r="AB1214" t="s">
        <v>46</v>
      </c>
      <c r="AC1214" t="s">
        <v>47</v>
      </c>
      <c r="AG1214" t="s">
        <v>3918</v>
      </c>
      <c r="AJ1214" t="s">
        <v>40</v>
      </c>
      <c r="AK1214">
        <v>5019335107</v>
      </c>
      <c r="AL1214" t="s">
        <v>3919</v>
      </c>
      <c r="AO1214" s="1">
        <v>45967</v>
      </c>
      <c r="AP1214" s="5">
        <v>0.5</v>
      </c>
      <c r="AS1214">
        <v>1</v>
      </c>
    </row>
    <row r="1215" spans="1:45" x14ac:dyDescent="0.2">
      <c r="A1215">
        <f t="shared" si="74"/>
        <v>2025</v>
      </c>
      <c r="B1215">
        <f t="shared" si="75"/>
        <v>11</v>
      </c>
      <c r="C1215">
        <f t="shared" si="76"/>
        <v>45</v>
      </c>
      <c r="D1215" s="2">
        <f t="shared" si="77"/>
        <v>45967</v>
      </c>
      <c r="E1215" s="1">
        <v>45967.541666666664</v>
      </c>
      <c r="F1215" t="s">
        <v>3920</v>
      </c>
      <c r="G1215" t="s">
        <v>36</v>
      </c>
      <c r="H1215" t="s">
        <v>106</v>
      </c>
      <c r="I1215" t="s">
        <v>38</v>
      </c>
      <c r="J1215" t="s">
        <v>107</v>
      </c>
      <c r="M1215" t="s">
        <v>40</v>
      </c>
      <c r="N1215" t="s">
        <v>41</v>
      </c>
      <c r="O1215" t="s">
        <v>42</v>
      </c>
      <c r="P1215">
        <v>33</v>
      </c>
      <c r="Q1215">
        <v>0</v>
      </c>
      <c r="R1215">
        <v>0</v>
      </c>
      <c r="S1215">
        <v>0</v>
      </c>
      <c r="T1215">
        <v>5019288570</v>
      </c>
      <c r="U1215" t="s">
        <v>44</v>
      </c>
      <c r="W1215" t="s">
        <v>3639</v>
      </c>
      <c r="Y1215">
        <v>0</v>
      </c>
      <c r="AA1215" t="s">
        <v>40</v>
      </c>
      <c r="AB1215" t="s">
        <v>46</v>
      </c>
      <c r="AC1215" t="s">
        <v>47</v>
      </c>
      <c r="AF1215" t="s">
        <v>2869</v>
      </c>
      <c r="AJ1215" t="s">
        <v>40</v>
      </c>
      <c r="AK1215" t="s">
        <v>49</v>
      </c>
      <c r="AO1215" s="1">
        <v>45967</v>
      </c>
      <c r="AP1215" s="5">
        <v>0.54166666666666663</v>
      </c>
      <c r="AS1215">
        <v>1</v>
      </c>
    </row>
    <row r="1216" spans="1:45" x14ac:dyDescent="0.2">
      <c r="A1216">
        <f t="shared" si="74"/>
        <v>2025</v>
      </c>
      <c r="B1216">
        <f t="shared" si="75"/>
        <v>11</v>
      </c>
      <c r="C1216">
        <f t="shared" si="76"/>
        <v>45</v>
      </c>
      <c r="D1216" s="2">
        <f t="shared" si="77"/>
        <v>45967</v>
      </c>
      <c r="E1216" s="1">
        <v>45967.541666666664</v>
      </c>
      <c r="F1216" t="s">
        <v>3921</v>
      </c>
      <c r="G1216" t="s">
        <v>36</v>
      </c>
      <c r="H1216" t="s">
        <v>3147</v>
      </c>
      <c r="I1216" t="s">
        <v>38</v>
      </c>
      <c r="J1216" t="s">
        <v>99</v>
      </c>
      <c r="M1216" t="s">
        <v>40</v>
      </c>
      <c r="N1216" t="s">
        <v>41</v>
      </c>
      <c r="O1216" t="s">
        <v>42</v>
      </c>
      <c r="P1216">
        <v>24</v>
      </c>
      <c r="Q1216">
        <v>0</v>
      </c>
      <c r="R1216">
        <v>0</v>
      </c>
      <c r="S1216">
        <v>0</v>
      </c>
      <c r="T1216" t="s">
        <v>3922</v>
      </c>
      <c r="U1216" t="s">
        <v>44</v>
      </c>
      <c r="W1216" t="s">
        <v>3639</v>
      </c>
      <c r="Y1216">
        <v>0</v>
      </c>
      <c r="AA1216" t="s">
        <v>40</v>
      </c>
      <c r="AB1216" t="s">
        <v>46</v>
      </c>
      <c r="AC1216" t="s">
        <v>47</v>
      </c>
      <c r="AF1216" t="s">
        <v>367</v>
      </c>
      <c r="AJ1216" t="s">
        <v>40</v>
      </c>
      <c r="AK1216" t="s">
        <v>49</v>
      </c>
      <c r="AM1216" t="s">
        <v>3148</v>
      </c>
      <c r="AN1216" t="s">
        <v>3846</v>
      </c>
      <c r="AO1216" s="1">
        <v>45967</v>
      </c>
      <c r="AP1216" s="5">
        <v>0.54166666666666663</v>
      </c>
      <c r="AS1216">
        <v>1</v>
      </c>
    </row>
    <row r="1217" spans="1:45" x14ac:dyDescent="0.2">
      <c r="A1217">
        <f t="shared" si="74"/>
        <v>2025</v>
      </c>
      <c r="B1217">
        <f t="shared" si="75"/>
        <v>11</v>
      </c>
      <c r="C1217">
        <f t="shared" si="76"/>
        <v>45</v>
      </c>
      <c r="D1217" s="2">
        <f t="shared" si="77"/>
        <v>45967</v>
      </c>
      <c r="E1217" s="1">
        <v>45967.541666666664</v>
      </c>
      <c r="F1217" t="s">
        <v>3923</v>
      </c>
      <c r="G1217" t="s">
        <v>36</v>
      </c>
      <c r="H1217" t="s">
        <v>3924</v>
      </c>
      <c r="I1217" t="s">
        <v>78</v>
      </c>
      <c r="J1217" t="s">
        <v>188</v>
      </c>
      <c r="M1217" t="s">
        <v>40</v>
      </c>
      <c r="N1217" t="s">
        <v>41</v>
      </c>
      <c r="O1217" t="s">
        <v>195</v>
      </c>
      <c r="P1217">
        <v>66</v>
      </c>
      <c r="Q1217">
        <v>0</v>
      </c>
      <c r="R1217">
        <v>0</v>
      </c>
      <c r="S1217">
        <v>0</v>
      </c>
      <c r="T1217" t="s">
        <v>54</v>
      </c>
      <c r="U1217" t="s">
        <v>55</v>
      </c>
      <c r="W1217" t="s">
        <v>3661</v>
      </c>
      <c r="Y1217">
        <v>0</v>
      </c>
      <c r="AA1217" t="s">
        <v>40</v>
      </c>
      <c r="AB1217" t="s">
        <v>46</v>
      </c>
      <c r="AC1217" t="s">
        <v>47</v>
      </c>
      <c r="AD1217" t="s">
        <v>81</v>
      </c>
      <c r="AE1217" t="s">
        <v>81</v>
      </c>
      <c r="AG1217" t="s">
        <v>3925</v>
      </c>
      <c r="AJ1217" t="s">
        <v>40</v>
      </c>
      <c r="AK1217" t="s">
        <v>3926</v>
      </c>
      <c r="AO1217" s="1">
        <v>45967</v>
      </c>
      <c r="AP1217" s="5">
        <v>0.54166666666666663</v>
      </c>
      <c r="AS1217">
        <v>1</v>
      </c>
    </row>
    <row r="1218" spans="1:45" x14ac:dyDescent="0.2">
      <c r="A1218">
        <f t="shared" ref="A1218:A1281" si="78">YEAR(D1218)</f>
        <v>2025</v>
      </c>
      <c r="B1218">
        <f t="shared" ref="B1218:B1281" si="79">MONTH(D1218)</f>
        <v>11</v>
      </c>
      <c r="C1218">
        <f t="shared" ref="C1218:C1281" si="80">WEEKNUM(D1218)</f>
        <v>45</v>
      </c>
      <c r="D1218" s="2">
        <f t="shared" ref="D1218:D1281" si="81">INT(E1218)</f>
        <v>45967</v>
      </c>
      <c r="E1218" s="1">
        <v>45967.541666666664</v>
      </c>
      <c r="F1218" t="s">
        <v>3927</v>
      </c>
      <c r="G1218" t="s">
        <v>36</v>
      </c>
      <c r="H1218" t="s">
        <v>3928</v>
      </c>
      <c r="I1218" t="s">
        <v>78</v>
      </c>
      <c r="J1218" t="s">
        <v>154</v>
      </c>
      <c r="M1218" t="s">
        <v>40</v>
      </c>
      <c r="N1218" t="s">
        <v>41</v>
      </c>
      <c r="O1218" t="s">
        <v>145</v>
      </c>
      <c r="P1218">
        <v>66</v>
      </c>
      <c r="Q1218">
        <v>0</v>
      </c>
      <c r="R1218">
        <v>0</v>
      </c>
      <c r="S1218">
        <v>0</v>
      </c>
      <c r="T1218" t="s">
        <v>54</v>
      </c>
      <c r="U1218" t="s">
        <v>55</v>
      </c>
      <c r="W1218" t="s">
        <v>3929</v>
      </c>
      <c r="Y1218">
        <v>0</v>
      </c>
      <c r="AA1218" t="s">
        <v>40</v>
      </c>
      <c r="AB1218" t="s">
        <v>46</v>
      </c>
      <c r="AC1218" t="s">
        <v>47</v>
      </c>
      <c r="AD1218" t="s">
        <v>81</v>
      </c>
      <c r="AE1218" t="s">
        <v>81</v>
      </c>
      <c r="AG1218" t="s">
        <v>3930</v>
      </c>
      <c r="AJ1218" t="s">
        <v>40</v>
      </c>
      <c r="AK1218" t="s">
        <v>3931</v>
      </c>
      <c r="AO1218" s="1">
        <v>45967</v>
      </c>
      <c r="AP1218" s="5">
        <v>0.54166666666666663</v>
      </c>
      <c r="AS1218">
        <v>1</v>
      </c>
    </row>
    <row r="1219" spans="1:45" x14ac:dyDescent="0.2">
      <c r="A1219">
        <f t="shared" si="78"/>
        <v>2025</v>
      </c>
      <c r="B1219">
        <f t="shared" si="79"/>
        <v>11</v>
      </c>
      <c r="C1219">
        <f t="shared" si="80"/>
        <v>45</v>
      </c>
      <c r="D1219" s="2">
        <f t="shared" si="81"/>
        <v>45967</v>
      </c>
      <c r="E1219" s="1">
        <v>45967.583333333336</v>
      </c>
      <c r="F1219" t="s">
        <v>3932</v>
      </c>
      <c r="G1219" t="s">
        <v>36</v>
      </c>
      <c r="H1219" t="s">
        <v>111</v>
      </c>
      <c r="I1219" t="s">
        <v>38</v>
      </c>
      <c r="J1219" t="s">
        <v>99</v>
      </c>
      <c r="M1219" t="s">
        <v>40</v>
      </c>
      <c r="N1219" t="s">
        <v>41</v>
      </c>
      <c r="O1219" t="s">
        <v>42</v>
      </c>
      <c r="P1219">
        <v>23</v>
      </c>
      <c r="Q1219">
        <v>0</v>
      </c>
      <c r="R1219">
        <v>0</v>
      </c>
      <c r="S1219">
        <v>0</v>
      </c>
      <c r="T1219" t="s">
        <v>3933</v>
      </c>
      <c r="U1219" t="s">
        <v>44</v>
      </c>
      <c r="W1219" t="s">
        <v>3804</v>
      </c>
      <c r="Y1219">
        <v>0</v>
      </c>
      <c r="AA1219" t="s">
        <v>40</v>
      </c>
      <c r="AB1219" t="s">
        <v>46</v>
      </c>
      <c r="AC1219" t="s">
        <v>47</v>
      </c>
      <c r="AF1219" t="s">
        <v>48</v>
      </c>
      <c r="AJ1219" t="s">
        <v>40</v>
      </c>
      <c r="AK1219" t="s">
        <v>49</v>
      </c>
      <c r="AO1219" s="1">
        <v>45967</v>
      </c>
      <c r="AP1219" s="5">
        <v>0.58333333333333337</v>
      </c>
      <c r="AS1219">
        <v>1</v>
      </c>
    </row>
    <row r="1220" spans="1:45" x14ac:dyDescent="0.2">
      <c r="A1220">
        <f t="shared" si="78"/>
        <v>2025</v>
      </c>
      <c r="B1220">
        <f t="shared" si="79"/>
        <v>11</v>
      </c>
      <c r="C1220">
        <f t="shared" si="80"/>
        <v>45</v>
      </c>
      <c r="D1220" s="2">
        <f t="shared" si="81"/>
        <v>45967</v>
      </c>
      <c r="E1220" s="1">
        <v>45967.583333333336</v>
      </c>
      <c r="F1220" t="s">
        <v>3934</v>
      </c>
      <c r="G1220" t="s">
        <v>36</v>
      </c>
      <c r="H1220" t="s">
        <v>111</v>
      </c>
      <c r="I1220" t="s">
        <v>38</v>
      </c>
      <c r="J1220" t="s">
        <v>99</v>
      </c>
      <c r="M1220" t="s">
        <v>40</v>
      </c>
      <c r="N1220" t="s">
        <v>41</v>
      </c>
      <c r="O1220" t="s">
        <v>42</v>
      </c>
      <c r="P1220">
        <v>23</v>
      </c>
      <c r="Q1220">
        <v>0</v>
      </c>
      <c r="R1220">
        <v>0</v>
      </c>
      <c r="S1220">
        <v>0</v>
      </c>
      <c r="T1220" t="s">
        <v>3935</v>
      </c>
      <c r="U1220" t="s">
        <v>44</v>
      </c>
      <c r="W1220" t="s">
        <v>3804</v>
      </c>
      <c r="Y1220">
        <v>0</v>
      </c>
      <c r="AA1220" t="s">
        <v>40</v>
      </c>
      <c r="AB1220" t="s">
        <v>46</v>
      </c>
      <c r="AC1220" t="s">
        <v>47</v>
      </c>
      <c r="AF1220" t="s">
        <v>48</v>
      </c>
      <c r="AJ1220" t="s">
        <v>40</v>
      </c>
      <c r="AK1220" t="s">
        <v>49</v>
      </c>
      <c r="AO1220" s="1">
        <v>45967</v>
      </c>
      <c r="AP1220" s="5">
        <v>0.58333333333333337</v>
      </c>
      <c r="AS1220">
        <v>1</v>
      </c>
    </row>
    <row r="1221" spans="1:45" x14ac:dyDescent="0.2">
      <c r="A1221">
        <f t="shared" si="78"/>
        <v>2025</v>
      </c>
      <c r="B1221">
        <f t="shared" si="79"/>
        <v>11</v>
      </c>
      <c r="C1221">
        <f t="shared" si="80"/>
        <v>45</v>
      </c>
      <c r="D1221" s="2">
        <f t="shared" si="81"/>
        <v>45967</v>
      </c>
      <c r="E1221" s="1">
        <v>45967.583333333336</v>
      </c>
      <c r="F1221" t="s">
        <v>3936</v>
      </c>
      <c r="G1221" t="s">
        <v>36</v>
      </c>
      <c r="H1221" t="s">
        <v>3937</v>
      </c>
      <c r="I1221" t="s">
        <v>38</v>
      </c>
      <c r="J1221" t="s">
        <v>1210</v>
      </c>
      <c r="M1221" t="s">
        <v>40</v>
      </c>
      <c r="N1221" t="s">
        <v>41</v>
      </c>
      <c r="O1221" t="s">
        <v>42</v>
      </c>
      <c r="P1221">
        <v>1</v>
      </c>
      <c r="Q1221">
        <v>0</v>
      </c>
      <c r="R1221">
        <v>0</v>
      </c>
      <c r="S1221">
        <v>0</v>
      </c>
      <c r="T1221">
        <v>5019316111</v>
      </c>
      <c r="U1221" t="s">
        <v>101</v>
      </c>
      <c r="W1221" t="s">
        <v>3897</v>
      </c>
      <c r="Y1221">
        <v>0</v>
      </c>
      <c r="AA1221" t="s">
        <v>40</v>
      </c>
      <c r="AB1221" t="s">
        <v>46</v>
      </c>
      <c r="AC1221" t="s">
        <v>47</v>
      </c>
      <c r="AF1221" t="s">
        <v>48</v>
      </c>
      <c r="AJ1221" t="s">
        <v>40</v>
      </c>
      <c r="AK1221" t="s">
        <v>49</v>
      </c>
      <c r="AO1221" s="1">
        <v>45967</v>
      </c>
      <c r="AP1221" s="5">
        <v>0.58333333333333337</v>
      </c>
      <c r="AS1221">
        <v>1</v>
      </c>
    </row>
    <row r="1222" spans="1:45" x14ac:dyDescent="0.2">
      <c r="A1222">
        <f t="shared" si="78"/>
        <v>2025</v>
      </c>
      <c r="B1222">
        <f t="shared" si="79"/>
        <v>11</v>
      </c>
      <c r="C1222">
        <f t="shared" si="80"/>
        <v>45</v>
      </c>
      <c r="D1222" s="2">
        <f t="shared" si="81"/>
        <v>45967</v>
      </c>
      <c r="E1222" s="1">
        <v>45967.583333333336</v>
      </c>
      <c r="F1222" t="s">
        <v>3938</v>
      </c>
      <c r="G1222" t="s">
        <v>36</v>
      </c>
      <c r="H1222">
        <v>464154</v>
      </c>
      <c r="I1222" t="s">
        <v>51</v>
      </c>
      <c r="J1222" t="s">
        <v>154</v>
      </c>
      <c r="M1222" t="s">
        <v>40</v>
      </c>
      <c r="N1222" t="s">
        <v>41</v>
      </c>
      <c r="O1222" t="s">
        <v>155</v>
      </c>
      <c r="P1222">
        <v>33</v>
      </c>
      <c r="Q1222">
        <v>0</v>
      </c>
      <c r="R1222">
        <v>0</v>
      </c>
      <c r="S1222">
        <v>0</v>
      </c>
      <c r="T1222" t="s">
        <v>54</v>
      </c>
      <c r="U1222" t="s">
        <v>55</v>
      </c>
      <c r="W1222" t="s">
        <v>3373</v>
      </c>
      <c r="Y1222">
        <v>0</v>
      </c>
      <c r="AA1222" t="s">
        <v>40</v>
      </c>
      <c r="AB1222" t="s">
        <v>46</v>
      </c>
      <c r="AC1222" t="s">
        <v>47</v>
      </c>
      <c r="AG1222" t="s">
        <v>3939</v>
      </c>
      <c r="AJ1222" t="s">
        <v>40</v>
      </c>
      <c r="AK1222">
        <v>5019340943</v>
      </c>
      <c r="AO1222" s="1">
        <v>45967</v>
      </c>
      <c r="AP1222" s="5">
        <v>0.58333333333333337</v>
      </c>
      <c r="AS1222">
        <v>1</v>
      </c>
    </row>
    <row r="1223" spans="1:45" x14ac:dyDescent="0.2">
      <c r="A1223">
        <f t="shared" si="78"/>
        <v>2025</v>
      </c>
      <c r="B1223">
        <f t="shared" si="79"/>
        <v>11</v>
      </c>
      <c r="C1223">
        <f t="shared" si="80"/>
        <v>45</v>
      </c>
      <c r="D1223" s="2">
        <f t="shared" si="81"/>
        <v>45967</v>
      </c>
      <c r="E1223" s="1">
        <v>45967.625</v>
      </c>
      <c r="F1223" t="s">
        <v>3940</v>
      </c>
      <c r="G1223" t="s">
        <v>36</v>
      </c>
      <c r="H1223">
        <v>464182</v>
      </c>
      <c r="I1223" t="s">
        <v>51</v>
      </c>
      <c r="J1223" t="s">
        <v>188</v>
      </c>
      <c r="M1223" t="s">
        <v>40</v>
      </c>
      <c r="N1223" t="s">
        <v>41</v>
      </c>
      <c r="O1223" t="s">
        <v>189</v>
      </c>
      <c r="P1223">
        <v>33</v>
      </c>
      <c r="Q1223">
        <v>0</v>
      </c>
      <c r="R1223">
        <v>0</v>
      </c>
      <c r="S1223">
        <v>0</v>
      </c>
      <c r="T1223" t="s">
        <v>54</v>
      </c>
      <c r="U1223" t="s">
        <v>55</v>
      </c>
      <c r="W1223" t="s">
        <v>3941</v>
      </c>
      <c r="Y1223">
        <v>0</v>
      </c>
      <c r="AA1223" t="s">
        <v>40</v>
      </c>
      <c r="AB1223" t="s">
        <v>46</v>
      </c>
      <c r="AC1223" t="s">
        <v>47</v>
      </c>
      <c r="AG1223" t="s">
        <v>3942</v>
      </c>
      <c r="AJ1223" t="s">
        <v>40</v>
      </c>
      <c r="AK1223">
        <v>5019345646</v>
      </c>
      <c r="AO1223" s="1">
        <v>45967</v>
      </c>
      <c r="AP1223" s="5">
        <v>0.625</v>
      </c>
      <c r="AS1223">
        <v>1</v>
      </c>
    </row>
    <row r="1224" spans="1:45" x14ac:dyDescent="0.2">
      <c r="A1224">
        <f t="shared" si="78"/>
        <v>2025</v>
      </c>
      <c r="B1224">
        <f t="shared" si="79"/>
        <v>11</v>
      </c>
      <c r="C1224">
        <f t="shared" si="80"/>
        <v>45</v>
      </c>
      <c r="D1224" s="2">
        <f t="shared" si="81"/>
        <v>45967</v>
      </c>
      <c r="E1224" s="1">
        <v>45967.625</v>
      </c>
      <c r="F1224" t="s">
        <v>3943</v>
      </c>
      <c r="G1224" t="s">
        <v>36</v>
      </c>
      <c r="H1224" t="s">
        <v>2015</v>
      </c>
      <c r="I1224" t="s">
        <v>38</v>
      </c>
      <c r="J1224" t="s">
        <v>3944</v>
      </c>
      <c r="M1224" t="s">
        <v>40</v>
      </c>
      <c r="N1224" t="s">
        <v>41</v>
      </c>
      <c r="O1224" t="s">
        <v>42</v>
      </c>
      <c r="P1224">
        <v>6</v>
      </c>
      <c r="Q1224">
        <v>0</v>
      </c>
      <c r="R1224">
        <v>0</v>
      </c>
      <c r="S1224">
        <v>0</v>
      </c>
      <c r="T1224" t="s">
        <v>3945</v>
      </c>
      <c r="U1224" t="s">
        <v>101</v>
      </c>
      <c r="W1224" t="s">
        <v>3808</v>
      </c>
      <c r="Y1224">
        <v>0</v>
      </c>
      <c r="AA1224" t="s">
        <v>40</v>
      </c>
      <c r="AB1224" t="s">
        <v>46</v>
      </c>
      <c r="AC1224" t="s">
        <v>47</v>
      </c>
      <c r="AF1224" t="s">
        <v>454</v>
      </c>
      <c r="AJ1224" t="s">
        <v>40</v>
      </c>
      <c r="AK1224" t="s">
        <v>49</v>
      </c>
      <c r="AO1224" s="1">
        <v>45967</v>
      </c>
      <c r="AP1224" s="5">
        <v>0.625</v>
      </c>
      <c r="AS1224">
        <v>1</v>
      </c>
    </row>
    <row r="1225" spans="1:45" x14ac:dyDescent="0.2">
      <c r="A1225">
        <f t="shared" si="78"/>
        <v>2025</v>
      </c>
      <c r="B1225">
        <f t="shared" si="79"/>
        <v>11</v>
      </c>
      <c r="C1225">
        <f t="shared" si="80"/>
        <v>45</v>
      </c>
      <c r="D1225" s="2">
        <f t="shared" si="81"/>
        <v>45967</v>
      </c>
      <c r="E1225" s="1">
        <v>45967.625</v>
      </c>
      <c r="F1225" t="s">
        <v>3946</v>
      </c>
      <c r="G1225" t="s">
        <v>36</v>
      </c>
      <c r="H1225" t="s">
        <v>111</v>
      </c>
      <c r="I1225" t="s">
        <v>38</v>
      </c>
      <c r="J1225" t="s">
        <v>99</v>
      </c>
      <c r="M1225" t="s">
        <v>40</v>
      </c>
      <c r="N1225" t="s">
        <v>41</v>
      </c>
      <c r="O1225" t="s">
        <v>42</v>
      </c>
      <c r="P1225">
        <v>20</v>
      </c>
      <c r="Q1225">
        <v>0</v>
      </c>
      <c r="R1225">
        <v>0</v>
      </c>
      <c r="S1225">
        <v>0</v>
      </c>
      <c r="T1225" t="s">
        <v>3947</v>
      </c>
      <c r="U1225" t="s">
        <v>44</v>
      </c>
      <c r="W1225" t="s">
        <v>3804</v>
      </c>
      <c r="Y1225">
        <v>0</v>
      </c>
      <c r="AA1225" t="s">
        <v>40</v>
      </c>
      <c r="AB1225" t="s">
        <v>46</v>
      </c>
      <c r="AC1225" t="s">
        <v>47</v>
      </c>
      <c r="AF1225" t="s">
        <v>48</v>
      </c>
      <c r="AJ1225" t="s">
        <v>40</v>
      </c>
      <c r="AK1225" t="s">
        <v>49</v>
      </c>
      <c r="AO1225" s="1">
        <v>45967</v>
      </c>
      <c r="AP1225" s="5">
        <v>0.625</v>
      </c>
      <c r="AS1225">
        <v>1</v>
      </c>
    </row>
    <row r="1226" spans="1:45" x14ac:dyDescent="0.2">
      <c r="A1226">
        <f t="shared" si="78"/>
        <v>2025</v>
      </c>
      <c r="B1226">
        <f t="shared" si="79"/>
        <v>11</v>
      </c>
      <c r="C1226">
        <f t="shared" si="80"/>
        <v>45</v>
      </c>
      <c r="D1226" s="2">
        <f t="shared" si="81"/>
        <v>45967</v>
      </c>
      <c r="E1226" s="1">
        <v>45967.666666666664</v>
      </c>
      <c r="F1226" t="s">
        <v>3948</v>
      </c>
      <c r="G1226" t="s">
        <v>36</v>
      </c>
      <c r="H1226">
        <v>464156</v>
      </c>
      <c r="I1226" t="s">
        <v>51</v>
      </c>
      <c r="J1226" t="s">
        <v>154</v>
      </c>
      <c r="M1226" t="s">
        <v>40</v>
      </c>
      <c r="N1226" t="s">
        <v>41</v>
      </c>
      <c r="O1226" t="s">
        <v>155</v>
      </c>
      <c r="P1226">
        <v>33</v>
      </c>
      <c r="Q1226">
        <v>0</v>
      </c>
      <c r="R1226">
        <v>0</v>
      </c>
      <c r="S1226">
        <v>0</v>
      </c>
      <c r="T1226" t="s">
        <v>54</v>
      </c>
      <c r="U1226" t="s">
        <v>55</v>
      </c>
      <c r="W1226" t="s">
        <v>3804</v>
      </c>
      <c r="Y1226">
        <v>0</v>
      </c>
      <c r="AA1226" t="s">
        <v>40</v>
      </c>
      <c r="AB1226" t="s">
        <v>46</v>
      </c>
      <c r="AC1226" t="s">
        <v>47</v>
      </c>
      <c r="AG1226" t="s">
        <v>3949</v>
      </c>
      <c r="AJ1226" t="s">
        <v>40</v>
      </c>
      <c r="AK1226">
        <v>5019340942</v>
      </c>
      <c r="AO1226" s="1">
        <v>45967</v>
      </c>
      <c r="AP1226" s="5">
        <v>0.66666666666666663</v>
      </c>
      <c r="AS1226">
        <v>1</v>
      </c>
    </row>
    <row r="1227" spans="1:45" x14ac:dyDescent="0.2">
      <c r="A1227">
        <f t="shared" si="78"/>
        <v>2025</v>
      </c>
      <c r="B1227">
        <f t="shared" si="79"/>
        <v>11</v>
      </c>
      <c r="C1227">
        <f t="shared" si="80"/>
        <v>45</v>
      </c>
      <c r="D1227" s="2">
        <f t="shared" si="81"/>
        <v>45967</v>
      </c>
      <c r="E1227" s="1">
        <v>45967.666666666664</v>
      </c>
      <c r="F1227" t="s">
        <v>3950</v>
      </c>
      <c r="G1227" t="s">
        <v>36</v>
      </c>
      <c r="H1227" t="s">
        <v>3951</v>
      </c>
      <c r="I1227" t="s">
        <v>1042</v>
      </c>
      <c r="J1227" t="s">
        <v>451</v>
      </c>
      <c r="M1227" t="s">
        <v>40</v>
      </c>
      <c r="N1227" t="s">
        <v>41</v>
      </c>
      <c r="O1227" t="s">
        <v>1043</v>
      </c>
      <c r="P1227">
        <v>7</v>
      </c>
      <c r="Q1227">
        <v>0</v>
      </c>
      <c r="R1227">
        <v>0</v>
      </c>
      <c r="S1227">
        <v>0</v>
      </c>
      <c r="T1227" t="s">
        <v>3952</v>
      </c>
      <c r="U1227" t="s">
        <v>233</v>
      </c>
      <c r="W1227" t="s">
        <v>3953</v>
      </c>
      <c r="Y1227">
        <v>0</v>
      </c>
      <c r="AA1227" t="s">
        <v>40</v>
      </c>
      <c r="AB1227" t="s">
        <v>46</v>
      </c>
      <c r="AC1227" t="s">
        <v>47</v>
      </c>
      <c r="AD1227" t="s">
        <v>81</v>
      </c>
      <c r="AE1227" t="s">
        <v>81</v>
      </c>
      <c r="AF1227" t="s">
        <v>454</v>
      </c>
      <c r="AG1227" t="s">
        <v>81</v>
      </c>
      <c r="AJ1227" t="s">
        <v>40</v>
      </c>
      <c r="AK1227" t="s">
        <v>49</v>
      </c>
      <c r="AL1227" t="s">
        <v>1045</v>
      </c>
      <c r="AO1227" s="1">
        <v>45967</v>
      </c>
      <c r="AP1227" s="5">
        <v>0.66666666666666663</v>
      </c>
      <c r="AS1227">
        <v>1</v>
      </c>
    </row>
    <row r="1228" spans="1:45" x14ac:dyDescent="0.2">
      <c r="A1228">
        <f t="shared" si="78"/>
        <v>2025</v>
      </c>
      <c r="B1228">
        <f t="shared" si="79"/>
        <v>11</v>
      </c>
      <c r="C1228">
        <f t="shared" si="80"/>
        <v>45</v>
      </c>
      <c r="D1228" s="2">
        <f t="shared" si="81"/>
        <v>45967</v>
      </c>
      <c r="E1228" s="1">
        <v>45967.666666666664</v>
      </c>
      <c r="F1228" t="s">
        <v>3954</v>
      </c>
      <c r="G1228" t="s">
        <v>36</v>
      </c>
      <c r="H1228" t="s">
        <v>340</v>
      </c>
      <c r="I1228" t="s">
        <v>38</v>
      </c>
      <c r="J1228" t="s">
        <v>341</v>
      </c>
      <c r="M1228" t="s">
        <v>40</v>
      </c>
      <c r="N1228" t="s">
        <v>41</v>
      </c>
      <c r="O1228" t="s">
        <v>42</v>
      </c>
      <c r="P1228">
        <v>20</v>
      </c>
      <c r="Q1228">
        <v>0</v>
      </c>
      <c r="R1228">
        <v>0</v>
      </c>
      <c r="S1228">
        <v>0</v>
      </c>
      <c r="T1228" t="s">
        <v>3955</v>
      </c>
      <c r="U1228" t="s">
        <v>55</v>
      </c>
      <c r="W1228" t="s">
        <v>3639</v>
      </c>
      <c r="Y1228">
        <v>0</v>
      </c>
      <c r="AA1228" t="s">
        <v>40</v>
      </c>
      <c r="AB1228" t="s">
        <v>46</v>
      </c>
      <c r="AC1228" t="s">
        <v>47</v>
      </c>
      <c r="AF1228" t="s">
        <v>342</v>
      </c>
      <c r="AJ1228" t="s">
        <v>40</v>
      </c>
      <c r="AK1228" t="s">
        <v>49</v>
      </c>
      <c r="AO1228" s="1">
        <v>45967</v>
      </c>
      <c r="AP1228" s="5">
        <v>0.66666666666666663</v>
      </c>
      <c r="AS1228">
        <v>1</v>
      </c>
    </row>
    <row r="1229" spans="1:45" x14ac:dyDescent="0.2">
      <c r="A1229">
        <f t="shared" si="78"/>
        <v>2025</v>
      </c>
      <c r="B1229">
        <f t="shared" si="79"/>
        <v>11</v>
      </c>
      <c r="C1229">
        <f t="shared" si="80"/>
        <v>45</v>
      </c>
      <c r="D1229" s="2">
        <f t="shared" si="81"/>
        <v>45967</v>
      </c>
      <c r="E1229" s="1">
        <v>45967.708333333336</v>
      </c>
      <c r="F1229" t="s">
        <v>3956</v>
      </c>
      <c r="G1229" t="s">
        <v>36</v>
      </c>
      <c r="H1229" t="s">
        <v>3957</v>
      </c>
      <c r="I1229" t="s">
        <v>218</v>
      </c>
      <c r="J1229" t="s">
        <v>144</v>
      </c>
      <c r="M1229" t="s">
        <v>40</v>
      </c>
      <c r="N1229" t="s">
        <v>41</v>
      </c>
      <c r="O1229" t="s">
        <v>2123</v>
      </c>
      <c r="P1229">
        <v>99</v>
      </c>
      <c r="Q1229">
        <v>0</v>
      </c>
      <c r="R1229">
        <v>0</v>
      </c>
      <c r="S1229">
        <v>0</v>
      </c>
      <c r="T1229" t="s">
        <v>54</v>
      </c>
      <c r="U1229" t="s">
        <v>55</v>
      </c>
      <c r="W1229" t="s">
        <v>3958</v>
      </c>
      <c r="Y1229">
        <v>0</v>
      </c>
      <c r="AA1229" t="s">
        <v>40</v>
      </c>
      <c r="AB1229" t="s">
        <v>46</v>
      </c>
      <c r="AC1229" t="s">
        <v>47</v>
      </c>
      <c r="AD1229" t="s">
        <v>223</v>
      </c>
      <c r="AE1229" t="s">
        <v>223</v>
      </c>
      <c r="AG1229" t="s">
        <v>3959</v>
      </c>
      <c r="AJ1229" t="s">
        <v>40</v>
      </c>
      <c r="AK1229" t="s">
        <v>3960</v>
      </c>
      <c r="AO1229" s="1">
        <v>45967</v>
      </c>
      <c r="AP1229" s="5">
        <v>0.70833333333333337</v>
      </c>
      <c r="AS1229">
        <v>1</v>
      </c>
    </row>
    <row r="1230" spans="1:45" x14ac:dyDescent="0.2">
      <c r="A1230">
        <f t="shared" si="78"/>
        <v>2025</v>
      </c>
      <c r="B1230">
        <f t="shared" si="79"/>
        <v>11</v>
      </c>
      <c r="C1230">
        <f t="shared" si="80"/>
        <v>45</v>
      </c>
      <c r="D1230" s="2">
        <f t="shared" si="81"/>
        <v>45967</v>
      </c>
      <c r="E1230" s="1">
        <v>45967.708333333336</v>
      </c>
      <c r="F1230" t="s">
        <v>3961</v>
      </c>
      <c r="G1230" t="s">
        <v>36</v>
      </c>
      <c r="H1230">
        <v>464164</v>
      </c>
      <c r="I1230" t="s">
        <v>51</v>
      </c>
      <c r="J1230" t="s">
        <v>219</v>
      </c>
      <c r="M1230" t="s">
        <v>40</v>
      </c>
      <c r="N1230" t="s">
        <v>41</v>
      </c>
      <c r="O1230" t="s">
        <v>90</v>
      </c>
      <c r="P1230">
        <v>33</v>
      </c>
      <c r="Q1230">
        <v>0</v>
      </c>
      <c r="R1230">
        <v>0</v>
      </c>
      <c r="S1230">
        <v>0</v>
      </c>
      <c r="T1230" t="s">
        <v>54</v>
      </c>
      <c r="U1230" t="s">
        <v>55</v>
      </c>
      <c r="W1230" t="s">
        <v>3848</v>
      </c>
      <c r="X1230" t="s">
        <v>3962</v>
      </c>
      <c r="Y1230">
        <v>0</v>
      </c>
      <c r="AA1230" t="s">
        <v>40</v>
      </c>
      <c r="AB1230" t="s">
        <v>46</v>
      </c>
      <c r="AC1230" t="s">
        <v>47</v>
      </c>
      <c r="AG1230" t="s">
        <v>3963</v>
      </c>
      <c r="AJ1230" t="s">
        <v>40</v>
      </c>
      <c r="AK1230">
        <v>5019340940</v>
      </c>
      <c r="AL1230" t="s">
        <v>3964</v>
      </c>
      <c r="AM1230" t="s">
        <v>3965</v>
      </c>
      <c r="AO1230" s="1">
        <v>45967</v>
      </c>
      <c r="AP1230" s="5">
        <v>0.70833333333333337</v>
      </c>
      <c r="AS1230">
        <v>1</v>
      </c>
    </row>
    <row r="1231" spans="1:45" x14ac:dyDescent="0.2">
      <c r="A1231">
        <f t="shared" si="78"/>
        <v>2025</v>
      </c>
      <c r="B1231">
        <f t="shared" si="79"/>
        <v>11</v>
      </c>
      <c r="C1231">
        <f t="shared" si="80"/>
        <v>45</v>
      </c>
      <c r="D1231" s="2">
        <f t="shared" si="81"/>
        <v>45967</v>
      </c>
      <c r="E1231" s="1">
        <v>45967.75</v>
      </c>
      <c r="F1231" t="s">
        <v>3966</v>
      </c>
      <c r="G1231" t="s">
        <v>36</v>
      </c>
      <c r="H1231">
        <v>464153</v>
      </c>
      <c r="I1231" t="s">
        <v>51</v>
      </c>
      <c r="J1231" t="s">
        <v>194</v>
      </c>
      <c r="M1231" t="s">
        <v>40</v>
      </c>
      <c r="N1231" t="s">
        <v>41</v>
      </c>
      <c r="O1231" t="s">
        <v>189</v>
      </c>
      <c r="P1231">
        <v>33</v>
      </c>
      <c r="Q1231">
        <v>0</v>
      </c>
      <c r="R1231">
        <v>0</v>
      </c>
      <c r="S1231">
        <v>0</v>
      </c>
      <c r="T1231" t="s">
        <v>54</v>
      </c>
      <c r="U1231" t="s">
        <v>55</v>
      </c>
      <c r="W1231" t="s">
        <v>3373</v>
      </c>
      <c r="Y1231">
        <v>0</v>
      </c>
      <c r="AA1231" t="s">
        <v>40</v>
      </c>
      <c r="AB1231" t="s">
        <v>46</v>
      </c>
      <c r="AC1231" t="s">
        <v>47</v>
      </c>
      <c r="AG1231" t="s">
        <v>3967</v>
      </c>
      <c r="AJ1231" t="s">
        <v>40</v>
      </c>
      <c r="AK1231">
        <v>5019334216</v>
      </c>
      <c r="AO1231" s="1">
        <v>45967</v>
      </c>
      <c r="AP1231" s="5">
        <v>0.75</v>
      </c>
      <c r="AS1231">
        <v>1</v>
      </c>
    </row>
    <row r="1232" spans="1:45" x14ac:dyDescent="0.2">
      <c r="A1232">
        <f t="shared" si="78"/>
        <v>2025</v>
      </c>
      <c r="B1232">
        <f t="shared" si="79"/>
        <v>11</v>
      </c>
      <c r="C1232">
        <f t="shared" si="80"/>
        <v>45</v>
      </c>
      <c r="D1232" s="2">
        <f t="shared" si="81"/>
        <v>45967</v>
      </c>
      <c r="E1232" s="1">
        <v>45967.75</v>
      </c>
      <c r="F1232" t="s">
        <v>3968</v>
      </c>
      <c r="G1232" t="s">
        <v>36</v>
      </c>
      <c r="H1232">
        <v>464181</v>
      </c>
      <c r="I1232" t="s">
        <v>51</v>
      </c>
      <c r="J1232" t="s">
        <v>144</v>
      </c>
      <c r="M1232" t="s">
        <v>40</v>
      </c>
      <c r="N1232" t="s">
        <v>41</v>
      </c>
      <c r="O1232" t="s">
        <v>2801</v>
      </c>
      <c r="P1232">
        <v>33</v>
      </c>
      <c r="Q1232">
        <v>0</v>
      </c>
      <c r="R1232">
        <v>0</v>
      </c>
      <c r="S1232">
        <v>0</v>
      </c>
      <c r="T1232" t="s">
        <v>54</v>
      </c>
      <c r="U1232" t="s">
        <v>55</v>
      </c>
      <c r="W1232" t="s">
        <v>3373</v>
      </c>
      <c r="X1232" t="s">
        <v>3969</v>
      </c>
      <c r="Y1232">
        <v>0</v>
      </c>
      <c r="AA1232" t="s">
        <v>40</v>
      </c>
      <c r="AB1232" t="s">
        <v>46</v>
      </c>
      <c r="AC1232" t="s">
        <v>47</v>
      </c>
      <c r="AG1232" t="s">
        <v>3970</v>
      </c>
      <c r="AJ1232" t="s">
        <v>40</v>
      </c>
      <c r="AK1232">
        <v>5019343476</v>
      </c>
      <c r="AL1232" t="s">
        <v>3971</v>
      </c>
      <c r="AM1232" t="s">
        <v>3972</v>
      </c>
      <c r="AO1232" s="1">
        <v>45967</v>
      </c>
      <c r="AP1232" s="5">
        <v>0.75</v>
      </c>
      <c r="AS1232">
        <v>1</v>
      </c>
    </row>
    <row r="1233" spans="1:45" x14ac:dyDescent="0.2">
      <c r="A1233">
        <f t="shared" si="78"/>
        <v>2025</v>
      </c>
      <c r="B1233">
        <f t="shared" si="79"/>
        <v>11</v>
      </c>
      <c r="C1233">
        <f t="shared" si="80"/>
        <v>45</v>
      </c>
      <c r="D1233" s="2">
        <f t="shared" si="81"/>
        <v>45967</v>
      </c>
      <c r="E1233" s="1">
        <v>45967.791666666664</v>
      </c>
      <c r="F1233" t="s">
        <v>3973</v>
      </c>
      <c r="G1233" t="s">
        <v>36</v>
      </c>
      <c r="H1233" t="s">
        <v>3974</v>
      </c>
      <c r="I1233" t="s">
        <v>78</v>
      </c>
      <c r="J1233" t="s">
        <v>375</v>
      </c>
      <c r="M1233" t="s">
        <v>40</v>
      </c>
      <c r="N1233" t="s">
        <v>41</v>
      </c>
      <c r="O1233" t="s">
        <v>554</v>
      </c>
      <c r="P1233">
        <v>66</v>
      </c>
      <c r="Q1233">
        <v>0</v>
      </c>
      <c r="R1233">
        <v>0</v>
      </c>
      <c r="S1233">
        <v>0</v>
      </c>
      <c r="T1233" t="s">
        <v>54</v>
      </c>
      <c r="U1233" t="s">
        <v>55</v>
      </c>
      <c r="W1233" t="s">
        <v>3975</v>
      </c>
      <c r="X1233" t="s">
        <v>3976</v>
      </c>
      <c r="Y1233">
        <v>0</v>
      </c>
      <c r="AA1233" t="s">
        <v>40</v>
      </c>
      <c r="AB1233" t="s">
        <v>46</v>
      </c>
      <c r="AC1233" t="s">
        <v>47</v>
      </c>
      <c r="AD1233" t="s">
        <v>81</v>
      </c>
      <c r="AE1233" t="s">
        <v>81</v>
      </c>
      <c r="AG1233" t="s">
        <v>3977</v>
      </c>
      <c r="AJ1233" t="s">
        <v>40</v>
      </c>
      <c r="AK1233" t="s">
        <v>3978</v>
      </c>
      <c r="AL1233" t="s">
        <v>3979</v>
      </c>
      <c r="AM1233" t="s">
        <v>3980</v>
      </c>
      <c r="AO1233" s="1">
        <v>45967</v>
      </c>
      <c r="AP1233" s="5">
        <v>0.79166666666666663</v>
      </c>
      <c r="AS1233">
        <v>1</v>
      </c>
    </row>
    <row r="1234" spans="1:45" x14ac:dyDescent="0.2">
      <c r="A1234">
        <f t="shared" si="78"/>
        <v>2025</v>
      </c>
      <c r="B1234">
        <f t="shared" si="79"/>
        <v>11</v>
      </c>
      <c r="C1234">
        <f t="shared" si="80"/>
        <v>45</v>
      </c>
      <c r="D1234" s="2">
        <f t="shared" si="81"/>
        <v>45967</v>
      </c>
      <c r="E1234" s="1">
        <v>45967.791666666664</v>
      </c>
      <c r="F1234" t="s">
        <v>3981</v>
      </c>
      <c r="G1234" t="s">
        <v>36</v>
      </c>
      <c r="H1234">
        <v>464177</v>
      </c>
      <c r="I1234" t="s">
        <v>51</v>
      </c>
      <c r="J1234" t="s">
        <v>188</v>
      </c>
      <c r="M1234" t="s">
        <v>40</v>
      </c>
      <c r="N1234" t="s">
        <v>41</v>
      </c>
      <c r="O1234" t="s">
        <v>172</v>
      </c>
      <c r="P1234">
        <v>33</v>
      </c>
      <c r="Q1234">
        <v>0</v>
      </c>
      <c r="R1234">
        <v>0</v>
      </c>
      <c r="S1234">
        <v>0</v>
      </c>
      <c r="T1234" t="s">
        <v>54</v>
      </c>
      <c r="U1234" t="s">
        <v>55</v>
      </c>
      <c r="W1234" t="s">
        <v>3982</v>
      </c>
      <c r="Y1234">
        <v>0</v>
      </c>
      <c r="AA1234" t="s">
        <v>40</v>
      </c>
      <c r="AB1234" t="s">
        <v>46</v>
      </c>
      <c r="AC1234" t="s">
        <v>47</v>
      </c>
      <c r="AG1234" t="s">
        <v>3983</v>
      </c>
      <c r="AJ1234" t="s">
        <v>40</v>
      </c>
      <c r="AK1234">
        <v>5019324305</v>
      </c>
      <c r="AO1234" s="1">
        <v>45967</v>
      </c>
      <c r="AP1234" s="5">
        <v>0.79166666666666663</v>
      </c>
      <c r="AS1234">
        <v>1</v>
      </c>
    </row>
    <row r="1235" spans="1:45" x14ac:dyDescent="0.2">
      <c r="A1235">
        <f t="shared" si="78"/>
        <v>2025</v>
      </c>
      <c r="B1235">
        <f t="shared" si="79"/>
        <v>11</v>
      </c>
      <c r="C1235">
        <f t="shared" si="80"/>
        <v>45</v>
      </c>
      <c r="D1235" s="2">
        <f t="shared" si="81"/>
        <v>45967</v>
      </c>
      <c r="E1235" s="1">
        <v>45967.791666666664</v>
      </c>
      <c r="F1235" t="s">
        <v>3984</v>
      </c>
      <c r="G1235" t="s">
        <v>36</v>
      </c>
      <c r="H1235">
        <v>469573</v>
      </c>
      <c r="I1235" t="s">
        <v>51</v>
      </c>
      <c r="J1235" t="s">
        <v>713</v>
      </c>
      <c r="M1235" t="s">
        <v>40</v>
      </c>
      <c r="N1235" t="s">
        <v>41</v>
      </c>
      <c r="O1235" t="s">
        <v>2951</v>
      </c>
      <c r="P1235">
        <v>33</v>
      </c>
      <c r="Q1235">
        <v>0</v>
      </c>
      <c r="R1235">
        <v>0</v>
      </c>
      <c r="S1235">
        <v>0</v>
      </c>
      <c r="T1235" t="s">
        <v>54</v>
      </c>
      <c r="U1235" t="s">
        <v>55</v>
      </c>
      <c r="W1235" t="s">
        <v>3985</v>
      </c>
      <c r="Y1235">
        <v>0</v>
      </c>
      <c r="AA1235" t="s">
        <v>40</v>
      </c>
      <c r="AB1235" t="s">
        <v>46</v>
      </c>
      <c r="AC1235" t="s">
        <v>47</v>
      </c>
      <c r="AG1235" t="s">
        <v>3986</v>
      </c>
      <c r="AJ1235" t="s">
        <v>40</v>
      </c>
      <c r="AK1235">
        <v>5019342338</v>
      </c>
      <c r="AO1235" s="1">
        <v>45967</v>
      </c>
      <c r="AP1235" s="5">
        <v>0.79166666666666663</v>
      </c>
      <c r="AS1235">
        <v>1</v>
      </c>
    </row>
    <row r="1236" spans="1:45" x14ac:dyDescent="0.2">
      <c r="A1236">
        <f t="shared" si="78"/>
        <v>2025</v>
      </c>
      <c r="B1236">
        <f t="shared" si="79"/>
        <v>11</v>
      </c>
      <c r="C1236">
        <f t="shared" si="80"/>
        <v>45</v>
      </c>
      <c r="D1236" s="2">
        <f t="shared" si="81"/>
        <v>45967</v>
      </c>
      <c r="E1236" s="1">
        <v>45967.833333333336</v>
      </c>
      <c r="F1236" t="s">
        <v>3987</v>
      </c>
      <c r="G1236" t="s">
        <v>36</v>
      </c>
      <c r="H1236" t="s">
        <v>3988</v>
      </c>
      <c r="I1236" t="s">
        <v>78</v>
      </c>
      <c r="J1236" t="s">
        <v>144</v>
      </c>
      <c r="M1236" t="s">
        <v>40</v>
      </c>
      <c r="N1236" t="s">
        <v>41</v>
      </c>
      <c r="O1236" t="s">
        <v>417</v>
      </c>
      <c r="P1236">
        <v>66</v>
      </c>
      <c r="Q1236">
        <v>0</v>
      </c>
      <c r="R1236">
        <v>0</v>
      </c>
      <c r="S1236">
        <v>0</v>
      </c>
      <c r="T1236" t="s">
        <v>54</v>
      </c>
      <c r="U1236" t="s">
        <v>55</v>
      </c>
      <c r="W1236" t="s">
        <v>3242</v>
      </c>
      <c r="Y1236">
        <v>0</v>
      </c>
      <c r="AA1236" t="s">
        <v>40</v>
      </c>
      <c r="AB1236" t="s">
        <v>46</v>
      </c>
      <c r="AC1236" t="s">
        <v>47</v>
      </c>
      <c r="AD1236" t="s">
        <v>81</v>
      </c>
      <c r="AE1236" t="s">
        <v>81</v>
      </c>
      <c r="AG1236" t="s">
        <v>3989</v>
      </c>
      <c r="AJ1236" t="s">
        <v>40</v>
      </c>
      <c r="AK1236" t="s">
        <v>3990</v>
      </c>
      <c r="AO1236" s="1">
        <v>45967</v>
      </c>
      <c r="AP1236" s="5">
        <v>0.83333333333333337</v>
      </c>
      <c r="AS1236">
        <v>1</v>
      </c>
    </row>
    <row r="1237" spans="1:45" x14ac:dyDescent="0.2">
      <c r="A1237">
        <f t="shared" si="78"/>
        <v>2025</v>
      </c>
      <c r="B1237">
        <f t="shared" si="79"/>
        <v>11</v>
      </c>
      <c r="C1237">
        <f t="shared" si="80"/>
        <v>45</v>
      </c>
      <c r="D1237" s="2">
        <f t="shared" si="81"/>
        <v>45968</v>
      </c>
      <c r="E1237" s="1">
        <v>45968.25</v>
      </c>
      <c r="F1237" t="s">
        <v>3991</v>
      </c>
      <c r="G1237" t="s">
        <v>36</v>
      </c>
      <c r="H1237" t="s">
        <v>111</v>
      </c>
      <c r="I1237" t="s">
        <v>38</v>
      </c>
      <c r="J1237" t="s">
        <v>99</v>
      </c>
      <c r="M1237" t="s">
        <v>40</v>
      </c>
      <c r="N1237" t="s">
        <v>41</v>
      </c>
      <c r="O1237" t="s">
        <v>42</v>
      </c>
      <c r="P1237">
        <v>23</v>
      </c>
      <c r="Q1237">
        <v>0</v>
      </c>
      <c r="R1237">
        <v>0</v>
      </c>
      <c r="S1237">
        <v>0</v>
      </c>
      <c r="T1237" t="s">
        <v>3992</v>
      </c>
      <c r="U1237" t="s">
        <v>44</v>
      </c>
      <c r="W1237" t="s">
        <v>3993</v>
      </c>
      <c r="Y1237">
        <v>0</v>
      </c>
      <c r="AA1237" t="s">
        <v>40</v>
      </c>
      <c r="AB1237" t="s">
        <v>46</v>
      </c>
      <c r="AC1237" t="s">
        <v>47</v>
      </c>
      <c r="AF1237" t="s">
        <v>48</v>
      </c>
      <c r="AJ1237" t="s">
        <v>40</v>
      </c>
      <c r="AK1237" t="s">
        <v>49</v>
      </c>
      <c r="AO1237" s="1">
        <v>45968</v>
      </c>
      <c r="AP1237" s="5">
        <v>0.25</v>
      </c>
      <c r="AS1237">
        <v>1</v>
      </c>
    </row>
    <row r="1238" spans="1:45" x14ac:dyDescent="0.2">
      <c r="A1238">
        <f t="shared" si="78"/>
        <v>2025</v>
      </c>
      <c r="B1238">
        <f t="shared" si="79"/>
        <v>11</v>
      </c>
      <c r="C1238">
        <f t="shared" si="80"/>
        <v>45</v>
      </c>
      <c r="D1238" s="2">
        <f t="shared" si="81"/>
        <v>45968</v>
      </c>
      <c r="E1238" s="1">
        <v>45968.25</v>
      </c>
      <c r="F1238" t="s">
        <v>3994</v>
      </c>
      <c r="G1238" t="s">
        <v>36</v>
      </c>
      <c r="H1238">
        <v>467322</v>
      </c>
      <c r="I1238" t="s">
        <v>51</v>
      </c>
      <c r="J1238" t="s">
        <v>52</v>
      </c>
      <c r="M1238" t="s">
        <v>40</v>
      </c>
      <c r="N1238" t="s">
        <v>41</v>
      </c>
      <c r="O1238" t="s">
        <v>53</v>
      </c>
      <c r="P1238">
        <v>33</v>
      </c>
      <c r="Q1238">
        <v>0</v>
      </c>
      <c r="R1238">
        <v>0</v>
      </c>
      <c r="S1238">
        <v>0</v>
      </c>
      <c r="T1238" t="s">
        <v>54</v>
      </c>
      <c r="U1238" t="s">
        <v>55</v>
      </c>
      <c r="W1238" t="s">
        <v>3909</v>
      </c>
      <c r="Y1238">
        <v>0</v>
      </c>
      <c r="AA1238" t="s">
        <v>40</v>
      </c>
      <c r="AB1238" t="s">
        <v>46</v>
      </c>
      <c r="AC1238" t="s">
        <v>47</v>
      </c>
      <c r="AG1238" t="s">
        <v>3995</v>
      </c>
      <c r="AJ1238" t="s">
        <v>40</v>
      </c>
      <c r="AK1238">
        <v>5019335672</v>
      </c>
      <c r="AO1238" s="1">
        <v>45968</v>
      </c>
      <c r="AP1238" s="5">
        <v>0.25</v>
      </c>
      <c r="AS1238">
        <v>1</v>
      </c>
    </row>
    <row r="1239" spans="1:45" x14ac:dyDescent="0.2">
      <c r="A1239">
        <f t="shared" si="78"/>
        <v>2025</v>
      </c>
      <c r="B1239">
        <f t="shared" si="79"/>
        <v>11</v>
      </c>
      <c r="C1239">
        <f t="shared" si="80"/>
        <v>45</v>
      </c>
      <c r="D1239" s="2">
        <f t="shared" si="81"/>
        <v>45968</v>
      </c>
      <c r="E1239" s="1">
        <v>45968.291666666664</v>
      </c>
      <c r="F1239" t="s">
        <v>3996</v>
      </c>
      <c r="G1239" t="s">
        <v>36</v>
      </c>
      <c r="H1239" t="s">
        <v>253</v>
      </c>
      <c r="I1239" t="s">
        <v>38</v>
      </c>
      <c r="J1239" t="s">
        <v>254</v>
      </c>
      <c r="M1239" t="s">
        <v>40</v>
      </c>
      <c r="N1239" t="s">
        <v>41</v>
      </c>
      <c r="O1239" t="s">
        <v>42</v>
      </c>
      <c r="P1239">
        <v>1</v>
      </c>
      <c r="Q1239">
        <v>0</v>
      </c>
      <c r="R1239">
        <v>0</v>
      </c>
      <c r="S1239">
        <v>0</v>
      </c>
      <c r="T1239">
        <v>5019364897</v>
      </c>
      <c r="U1239" t="s">
        <v>101</v>
      </c>
      <c r="W1239" t="s">
        <v>3997</v>
      </c>
      <c r="Y1239">
        <v>0</v>
      </c>
      <c r="AA1239" t="s">
        <v>40</v>
      </c>
      <c r="AB1239" t="s">
        <v>46</v>
      </c>
      <c r="AC1239" t="s">
        <v>47</v>
      </c>
      <c r="AF1239" t="s">
        <v>48</v>
      </c>
      <c r="AJ1239" t="s">
        <v>40</v>
      </c>
      <c r="AK1239" t="s">
        <v>49</v>
      </c>
      <c r="AO1239" s="1">
        <v>45968</v>
      </c>
      <c r="AP1239" s="5">
        <v>0.29166666666666669</v>
      </c>
      <c r="AS1239">
        <v>1</v>
      </c>
    </row>
    <row r="1240" spans="1:45" x14ac:dyDescent="0.2">
      <c r="A1240">
        <f t="shared" si="78"/>
        <v>2025</v>
      </c>
      <c r="B1240">
        <f t="shared" si="79"/>
        <v>11</v>
      </c>
      <c r="C1240">
        <f t="shared" si="80"/>
        <v>45</v>
      </c>
      <c r="D1240" s="2">
        <f t="shared" si="81"/>
        <v>45968</v>
      </c>
      <c r="E1240" s="1">
        <v>45968.291666666664</v>
      </c>
      <c r="F1240" t="s">
        <v>3998</v>
      </c>
      <c r="G1240" t="s">
        <v>36</v>
      </c>
      <c r="H1240" t="s">
        <v>111</v>
      </c>
      <c r="I1240" t="s">
        <v>38</v>
      </c>
      <c r="J1240" t="s">
        <v>99</v>
      </c>
      <c r="M1240" t="s">
        <v>40</v>
      </c>
      <c r="N1240" t="s">
        <v>41</v>
      </c>
      <c r="O1240" t="s">
        <v>42</v>
      </c>
      <c r="P1240">
        <v>23</v>
      </c>
      <c r="Q1240">
        <v>0</v>
      </c>
      <c r="R1240">
        <v>0</v>
      </c>
      <c r="S1240">
        <v>0</v>
      </c>
      <c r="T1240" t="s">
        <v>3999</v>
      </c>
      <c r="U1240" t="s">
        <v>44</v>
      </c>
      <c r="W1240" t="s">
        <v>3993</v>
      </c>
      <c r="Y1240">
        <v>0</v>
      </c>
      <c r="AA1240" t="s">
        <v>40</v>
      </c>
      <c r="AB1240" t="s">
        <v>46</v>
      </c>
      <c r="AC1240" t="s">
        <v>47</v>
      </c>
      <c r="AF1240" t="s">
        <v>48</v>
      </c>
      <c r="AJ1240" t="s">
        <v>40</v>
      </c>
      <c r="AK1240" t="s">
        <v>49</v>
      </c>
      <c r="AO1240" s="1">
        <v>45968</v>
      </c>
      <c r="AP1240" s="5">
        <v>0.29166666666666669</v>
      </c>
      <c r="AS1240">
        <v>1</v>
      </c>
    </row>
    <row r="1241" spans="1:45" x14ac:dyDescent="0.2">
      <c r="A1241">
        <f t="shared" si="78"/>
        <v>2025</v>
      </c>
      <c r="B1241">
        <f t="shared" si="79"/>
        <v>11</v>
      </c>
      <c r="C1241">
        <f t="shared" si="80"/>
        <v>45</v>
      </c>
      <c r="D1241" s="2">
        <f t="shared" si="81"/>
        <v>45968</v>
      </c>
      <c r="E1241" s="1">
        <v>45968.291666666664</v>
      </c>
      <c r="F1241" t="s">
        <v>4000</v>
      </c>
      <c r="G1241" t="s">
        <v>36</v>
      </c>
      <c r="H1241" t="s">
        <v>111</v>
      </c>
      <c r="I1241" t="s">
        <v>38</v>
      </c>
      <c r="J1241" t="s">
        <v>99</v>
      </c>
      <c r="M1241" t="s">
        <v>40</v>
      </c>
      <c r="N1241" t="s">
        <v>41</v>
      </c>
      <c r="O1241" t="s">
        <v>42</v>
      </c>
      <c r="P1241">
        <v>23</v>
      </c>
      <c r="Q1241">
        <v>0</v>
      </c>
      <c r="R1241">
        <v>0</v>
      </c>
      <c r="S1241">
        <v>0</v>
      </c>
      <c r="T1241" t="s">
        <v>4001</v>
      </c>
      <c r="U1241" t="s">
        <v>44</v>
      </c>
      <c r="W1241" t="s">
        <v>3993</v>
      </c>
      <c r="Y1241">
        <v>0</v>
      </c>
      <c r="AA1241" t="s">
        <v>40</v>
      </c>
      <c r="AB1241" t="s">
        <v>46</v>
      </c>
      <c r="AC1241" t="s">
        <v>47</v>
      </c>
      <c r="AF1241" t="s">
        <v>48</v>
      </c>
      <c r="AJ1241" t="s">
        <v>40</v>
      </c>
      <c r="AK1241" t="s">
        <v>49</v>
      </c>
      <c r="AO1241" s="1">
        <v>45968</v>
      </c>
      <c r="AP1241" s="5">
        <v>0.29166666666666669</v>
      </c>
      <c r="AS1241">
        <v>1</v>
      </c>
    </row>
    <row r="1242" spans="1:45" x14ac:dyDescent="0.2">
      <c r="A1242">
        <f t="shared" si="78"/>
        <v>2025</v>
      </c>
      <c r="B1242">
        <f t="shared" si="79"/>
        <v>11</v>
      </c>
      <c r="C1242">
        <f t="shared" si="80"/>
        <v>45</v>
      </c>
      <c r="D1242" s="2">
        <f t="shared" si="81"/>
        <v>45968</v>
      </c>
      <c r="E1242" s="1">
        <v>45968.291666666664</v>
      </c>
      <c r="F1242" t="s">
        <v>4002</v>
      </c>
      <c r="G1242" t="s">
        <v>36</v>
      </c>
      <c r="H1242" t="s">
        <v>4003</v>
      </c>
      <c r="I1242" t="s">
        <v>78</v>
      </c>
      <c r="J1242" t="s">
        <v>163</v>
      </c>
      <c r="M1242" t="s">
        <v>40</v>
      </c>
      <c r="N1242" t="s">
        <v>41</v>
      </c>
      <c r="O1242" t="s">
        <v>356</v>
      </c>
      <c r="P1242">
        <v>66</v>
      </c>
      <c r="Q1242">
        <v>0</v>
      </c>
      <c r="R1242">
        <v>0</v>
      </c>
      <c r="S1242">
        <v>0</v>
      </c>
      <c r="T1242" t="s">
        <v>54</v>
      </c>
      <c r="U1242" t="s">
        <v>233</v>
      </c>
      <c r="W1242" t="s">
        <v>4004</v>
      </c>
      <c r="Y1242">
        <v>0</v>
      </c>
      <c r="AA1242" t="s">
        <v>40</v>
      </c>
      <c r="AB1242" t="s">
        <v>46</v>
      </c>
      <c r="AC1242" t="s">
        <v>47</v>
      </c>
      <c r="AD1242" t="s">
        <v>81</v>
      </c>
      <c r="AE1242" t="s">
        <v>81</v>
      </c>
      <c r="AG1242" t="s">
        <v>4005</v>
      </c>
      <c r="AJ1242" t="s">
        <v>40</v>
      </c>
      <c r="AK1242" t="s">
        <v>4006</v>
      </c>
      <c r="AO1242" s="1">
        <v>45968</v>
      </c>
      <c r="AP1242" s="5">
        <v>0.29166666666666669</v>
      </c>
      <c r="AS1242">
        <v>1</v>
      </c>
    </row>
    <row r="1243" spans="1:45" x14ac:dyDescent="0.2">
      <c r="A1243">
        <f t="shared" si="78"/>
        <v>2025</v>
      </c>
      <c r="B1243">
        <f t="shared" si="79"/>
        <v>11</v>
      </c>
      <c r="C1243">
        <f t="shared" si="80"/>
        <v>45</v>
      </c>
      <c r="D1243" s="2">
        <f t="shared" si="81"/>
        <v>45968</v>
      </c>
      <c r="E1243" s="1">
        <v>45968.333333333336</v>
      </c>
      <c r="F1243" t="s">
        <v>4007</v>
      </c>
      <c r="G1243" t="s">
        <v>36</v>
      </c>
      <c r="H1243">
        <v>467333</v>
      </c>
      <c r="I1243" t="s">
        <v>51</v>
      </c>
      <c r="J1243" t="s">
        <v>52</v>
      </c>
      <c r="M1243" t="s">
        <v>40</v>
      </c>
      <c r="N1243" t="s">
        <v>41</v>
      </c>
      <c r="O1243" t="s">
        <v>53</v>
      </c>
      <c r="P1243">
        <v>33</v>
      </c>
      <c r="Q1243">
        <v>0</v>
      </c>
      <c r="R1243">
        <v>0</v>
      </c>
      <c r="S1243">
        <v>0</v>
      </c>
      <c r="T1243" t="s">
        <v>54</v>
      </c>
      <c r="U1243" t="s">
        <v>55</v>
      </c>
      <c r="W1243" t="s">
        <v>3242</v>
      </c>
      <c r="Y1243">
        <v>0</v>
      </c>
      <c r="AA1243" t="s">
        <v>40</v>
      </c>
      <c r="AB1243" t="s">
        <v>46</v>
      </c>
      <c r="AC1243" t="s">
        <v>47</v>
      </c>
      <c r="AG1243" t="s">
        <v>4008</v>
      </c>
      <c r="AJ1243" t="s">
        <v>40</v>
      </c>
      <c r="AK1243">
        <v>5019338345</v>
      </c>
      <c r="AO1243" s="1">
        <v>45968</v>
      </c>
      <c r="AP1243" s="5">
        <v>0.33333333333333331</v>
      </c>
      <c r="AS1243">
        <v>1</v>
      </c>
    </row>
    <row r="1244" spans="1:45" x14ac:dyDescent="0.2">
      <c r="A1244">
        <f t="shared" si="78"/>
        <v>2025</v>
      </c>
      <c r="B1244">
        <f t="shared" si="79"/>
        <v>11</v>
      </c>
      <c r="C1244">
        <f t="shared" si="80"/>
        <v>45</v>
      </c>
      <c r="D1244" s="2">
        <f t="shared" si="81"/>
        <v>45968</v>
      </c>
      <c r="E1244" s="1">
        <v>45968.333333333336</v>
      </c>
      <c r="F1244" t="s">
        <v>4009</v>
      </c>
      <c r="G1244" t="s">
        <v>36</v>
      </c>
      <c r="H1244" t="s">
        <v>297</v>
      </c>
      <c r="I1244" t="s">
        <v>38</v>
      </c>
      <c r="J1244" t="s">
        <v>112</v>
      </c>
      <c r="M1244" t="s">
        <v>40</v>
      </c>
      <c r="N1244" t="s">
        <v>41</v>
      </c>
      <c r="O1244" t="s">
        <v>42</v>
      </c>
      <c r="P1244">
        <v>23</v>
      </c>
      <c r="Q1244">
        <v>0</v>
      </c>
      <c r="R1244">
        <v>0</v>
      </c>
      <c r="S1244">
        <v>0</v>
      </c>
      <c r="T1244" t="s">
        <v>4010</v>
      </c>
      <c r="U1244" t="s">
        <v>44</v>
      </c>
      <c r="W1244" t="s">
        <v>3993</v>
      </c>
      <c r="Y1244">
        <v>0</v>
      </c>
      <c r="AA1244" t="s">
        <v>40</v>
      </c>
      <c r="AB1244" t="s">
        <v>46</v>
      </c>
      <c r="AC1244" t="s">
        <v>47</v>
      </c>
      <c r="AF1244" t="s">
        <v>48</v>
      </c>
      <c r="AJ1244" t="s">
        <v>40</v>
      </c>
      <c r="AK1244" t="s">
        <v>49</v>
      </c>
      <c r="AO1244" s="1">
        <v>45968</v>
      </c>
      <c r="AP1244" s="5">
        <v>0.33333333333333331</v>
      </c>
      <c r="AS1244">
        <v>1</v>
      </c>
    </row>
    <row r="1245" spans="1:45" x14ac:dyDescent="0.2">
      <c r="A1245">
        <f t="shared" si="78"/>
        <v>2025</v>
      </c>
      <c r="B1245">
        <f t="shared" si="79"/>
        <v>11</v>
      </c>
      <c r="C1245">
        <f t="shared" si="80"/>
        <v>45</v>
      </c>
      <c r="D1245" s="2">
        <f t="shared" si="81"/>
        <v>45968</v>
      </c>
      <c r="E1245" s="1">
        <v>45968.375</v>
      </c>
      <c r="F1245" t="s">
        <v>4011</v>
      </c>
      <c r="G1245" t="s">
        <v>36</v>
      </c>
      <c r="H1245" t="s">
        <v>37</v>
      </c>
      <c r="I1245" t="s">
        <v>38</v>
      </c>
      <c r="J1245" t="s">
        <v>112</v>
      </c>
      <c r="M1245" t="s">
        <v>40</v>
      </c>
      <c r="N1245" t="s">
        <v>41</v>
      </c>
      <c r="O1245" t="s">
        <v>42</v>
      </c>
      <c r="P1245">
        <v>23</v>
      </c>
      <c r="Q1245">
        <v>0</v>
      </c>
      <c r="R1245">
        <v>0</v>
      </c>
      <c r="S1245">
        <v>0</v>
      </c>
      <c r="T1245" t="s">
        <v>4012</v>
      </c>
      <c r="U1245" t="s">
        <v>44</v>
      </c>
      <c r="W1245" t="s">
        <v>3993</v>
      </c>
      <c r="Y1245">
        <v>0</v>
      </c>
      <c r="AA1245" t="s">
        <v>40</v>
      </c>
      <c r="AB1245" t="s">
        <v>46</v>
      </c>
      <c r="AC1245" t="s">
        <v>47</v>
      </c>
      <c r="AF1245" t="s">
        <v>48</v>
      </c>
      <c r="AJ1245" t="s">
        <v>40</v>
      </c>
      <c r="AK1245" t="s">
        <v>49</v>
      </c>
      <c r="AO1245" s="1">
        <v>45968</v>
      </c>
      <c r="AP1245" s="5">
        <v>0.375</v>
      </c>
      <c r="AS1245">
        <v>1</v>
      </c>
    </row>
    <row r="1246" spans="1:45" x14ac:dyDescent="0.2">
      <c r="A1246">
        <f t="shared" si="78"/>
        <v>2025</v>
      </c>
      <c r="B1246">
        <f t="shared" si="79"/>
        <v>11</v>
      </c>
      <c r="C1246">
        <f t="shared" si="80"/>
        <v>45</v>
      </c>
      <c r="D1246" s="2">
        <f t="shared" si="81"/>
        <v>45968</v>
      </c>
      <c r="E1246" s="1">
        <v>45968.375</v>
      </c>
      <c r="F1246" t="s">
        <v>4013</v>
      </c>
      <c r="G1246" t="s">
        <v>36</v>
      </c>
      <c r="H1246" t="s">
        <v>37</v>
      </c>
      <c r="I1246" t="s">
        <v>38</v>
      </c>
      <c r="J1246" t="s">
        <v>112</v>
      </c>
      <c r="M1246" t="s">
        <v>40</v>
      </c>
      <c r="N1246" t="s">
        <v>41</v>
      </c>
      <c r="O1246" t="s">
        <v>42</v>
      </c>
      <c r="P1246">
        <v>23</v>
      </c>
      <c r="Q1246">
        <v>0</v>
      </c>
      <c r="R1246">
        <v>0</v>
      </c>
      <c r="S1246">
        <v>0</v>
      </c>
      <c r="T1246" t="s">
        <v>4014</v>
      </c>
      <c r="U1246" t="s">
        <v>44</v>
      </c>
      <c r="W1246" t="s">
        <v>3993</v>
      </c>
      <c r="Y1246">
        <v>0</v>
      </c>
      <c r="AA1246" t="s">
        <v>40</v>
      </c>
      <c r="AB1246" t="s">
        <v>46</v>
      </c>
      <c r="AC1246" t="s">
        <v>47</v>
      </c>
      <c r="AF1246" t="s">
        <v>48</v>
      </c>
      <c r="AJ1246" t="s">
        <v>40</v>
      </c>
      <c r="AK1246" t="s">
        <v>49</v>
      </c>
      <c r="AO1246" s="1">
        <v>45968</v>
      </c>
      <c r="AP1246" s="5">
        <v>0.375</v>
      </c>
      <c r="AS1246">
        <v>1</v>
      </c>
    </row>
    <row r="1247" spans="1:45" x14ac:dyDescent="0.2">
      <c r="A1247">
        <f t="shared" si="78"/>
        <v>2025</v>
      </c>
      <c r="B1247">
        <f t="shared" si="79"/>
        <v>11</v>
      </c>
      <c r="C1247">
        <f t="shared" si="80"/>
        <v>45</v>
      </c>
      <c r="D1247" s="2">
        <f t="shared" si="81"/>
        <v>45968</v>
      </c>
      <c r="E1247" s="1">
        <v>45968.375</v>
      </c>
      <c r="F1247" t="s">
        <v>4015</v>
      </c>
      <c r="G1247" t="s">
        <v>36</v>
      </c>
      <c r="H1247" t="s">
        <v>4016</v>
      </c>
      <c r="I1247" t="s">
        <v>78</v>
      </c>
      <c r="J1247" t="s">
        <v>52</v>
      </c>
      <c r="M1247" t="s">
        <v>40</v>
      </c>
      <c r="N1247" t="s">
        <v>41</v>
      </c>
      <c r="O1247" t="s">
        <v>1832</v>
      </c>
      <c r="P1247">
        <v>66</v>
      </c>
      <c r="Q1247">
        <v>0</v>
      </c>
      <c r="R1247">
        <v>0</v>
      </c>
      <c r="S1247">
        <v>0</v>
      </c>
      <c r="T1247" t="s">
        <v>54</v>
      </c>
      <c r="U1247" t="s">
        <v>55</v>
      </c>
      <c r="W1247" t="s">
        <v>4017</v>
      </c>
      <c r="Y1247">
        <v>0</v>
      </c>
      <c r="AA1247" t="s">
        <v>40</v>
      </c>
      <c r="AB1247" t="s">
        <v>46</v>
      </c>
      <c r="AC1247" t="s">
        <v>47</v>
      </c>
      <c r="AD1247" t="s">
        <v>81</v>
      </c>
      <c r="AE1247" t="s">
        <v>81</v>
      </c>
      <c r="AG1247" t="s">
        <v>4018</v>
      </c>
      <c r="AJ1247" t="s">
        <v>40</v>
      </c>
      <c r="AK1247" t="s">
        <v>4019</v>
      </c>
      <c r="AO1247" s="1">
        <v>45968</v>
      </c>
      <c r="AP1247" s="5">
        <v>0.375</v>
      </c>
      <c r="AS1247">
        <v>1</v>
      </c>
    </row>
    <row r="1248" spans="1:45" x14ac:dyDescent="0.2">
      <c r="A1248">
        <f t="shared" si="78"/>
        <v>2025</v>
      </c>
      <c r="B1248">
        <f t="shared" si="79"/>
        <v>11</v>
      </c>
      <c r="C1248">
        <f t="shared" si="80"/>
        <v>45</v>
      </c>
      <c r="D1248" s="2">
        <f t="shared" si="81"/>
        <v>45968</v>
      </c>
      <c r="E1248" s="1">
        <v>45968.416666666664</v>
      </c>
      <c r="F1248" t="s">
        <v>4020</v>
      </c>
      <c r="G1248" t="s">
        <v>36</v>
      </c>
      <c r="H1248" t="s">
        <v>4021</v>
      </c>
      <c r="I1248" t="s">
        <v>78</v>
      </c>
      <c r="J1248" t="s">
        <v>52</v>
      </c>
      <c r="M1248" t="s">
        <v>40</v>
      </c>
      <c r="N1248" t="s">
        <v>41</v>
      </c>
      <c r="O1248" t="s">
        <v>4022</v>
      </c>
      <c r="P1248">
        <v>66</v>
      </c>
      <c r="Q1248">
        <v>0</v>
      </c>
      <c r="R1248">
        <v>0</v>
      </c>
      <c r="S1248">
        <v>0</v>
      </c>
      <c r="T1248" t="s">
        <v>54</v>
      </c>
      <c r="U1248" t="s">
        <v>55</v>
      </c>
      <c r="W1248" t="s">
        <v>4023</v>
      </c>
      <c r="Y1248">
        <v>0</v>
      </c>
      <c r="AA1248" t="s">
        <v>40</v>
      </c>
      <c r="AB1248" t="s">
        <v>46</v>
      </c>
      <c r="AC1248" t="s">
        <v>47</v>
      </c>
      <c r="AD1248" t="s">
        <v>81</v>
      </c>
      <c r="AE1248" t="s">
        <v>81</v>
      </c>
      <c r="AG1248" t="s">
        <v>4024</v>
      </c>
      <c r="AJ1248" t="s">
        <v>40</v>
      </c>
      <c r="AK1248" t="s">
        <v>4025</v>
      </c>
      <c r="AO1248" s="1">
        <v>45968</v>
      </c>
      <c r="AP1248" s="5">
        <v>0.41666666666666669</v>
      </c>
      <c r="AS1248">
        <v>1</v>
      </c>
    </row>
    <row r="1249" spans="1:45" x14ac:dyDescent="0.2">
      <c r="A1249">
        <f t="shared" si="78"/>
        <v>2025</v>
      </c>
      <c r="B1249">
        <f t="shared" si="79"/>
        <v>11</v>
      </c>
      <c r="C1249">
        <f t="shared" si="80"/>
        <v>45</v>
      </c>
      <c r="D1249" s="2">
        <f t="shared" si="81"/>
        <v>45968</v>
      </c>
      <c r="E1249" s="1">
        <v>45968.416666666664</v>
      </c>
      <c r="F1249" t="s">
        <v>4026</v>
      </c>
      <c r="G1249" t="s">
        <v>36</v>
      </c>
      <c r="H1249" t="s">
        <v>2858</v>
      </c>
      <c r="I1249" t="s">
        <v>38</v>
      </c>
      <c r="J1249" t="s">
        <v>265</v>
      </c>
      <c r="M1249" t="s">
        <v>40</v>
      </c>
      <c r="N1249" t="s">
        <v>41</v>
      </c>
      <c r="O1249" t="s">
        <v>42</v>
      </c>
      <c r="P1249">
        <v>33</v>
      </c>
      <c r="Q1249">
        <v>0</v>
      </c>
      <c r="R1249">
        <v>0</v>
      </c>
      <c r="S1249">
        <v>0</v>
      </c>
      <c r="T1249">
        <v>4505818404</v>
      </c>
      <c r="U1249" t="s">
        <v>44</v>
      </c>
      <c r="W1249" t="s">
        <v>4027</v>
      </c>
      <c r="Y1249">
        <v>0</v>
      </c>
      <c r="AA1249" t="s">
        <v>40</v>
      </c>
      <c r="AB1249" t="s">
        <v>46</v>
      </c>
      <c r="AC1249" t="s">
        <v>47</v>
      </c>
      <c r="AF1249" t="s">
        <v>664</v>
      </c>
      <c r="AJ1249" t="s">
        <v>40</v>
      </c>
      <c r="AK1249" t="s">
        <v>49</v>
      </c>
      <c r="AO1249" s="1">
        <v>45968</v>
      </c>
      <c r="AP1249" s="5">
        <v>0.41666666666666669</v>
      </c>
      <c r="AS1249">
        <v>1</v>
      </c>
    </row>
    <row r="1250" spans="1:45" x14ac:dyDescent="0.2">
      <c r="A1250">
        <f t="shared" si="78"/>
        <v>2025</v>
      </c>
      <c r="B1250">
        <f t="shared" si="79"/>
        <v>11</v>
      </c>
      <c r="C1250">
        <f t="shared" si="80"/>
        <v>45</v>
      </c>
      <c r="D1250" s="2">
        <f t="shared" si="81"/>
        <v>45968</v>
      </c>
      <c r="E1250" s="1">
        <v>45968.416666666664</v>
      </c>
      <c r="F1250" t="s">
        <v>4028</v>
      </c>
      <c r="G1250" t="s">
        <v>36</v>
      </c>
      <c r="H1250" t="s">
        <v>297</v>
      </c>
      <c r="I1250" t="s">
        <v>38</v>
      </c>
      <c r="J1250" t="s">
        <v>112</v>
      </c>
      <c r="M1250" t="s">
        <v>40</v>
      </c>
      <c r="N1250" t="s">
        <v>41</v>
      </c>
      <c r="O1250" t="s">
        <v>42</v>
      </c>
      <c r="P1250">
        <v>23</v>
      </c>
      <c r="Q1250">
        <v>0</v>
      </c>
      <c r="R1250">
        <v>0</v>
      </c>
      <c r="S1250">
        <v>0</v>
      </c>
      <c r="T1250" t="s">
        <v>4029</v>
      </c>
      <c r="U1250" t="s">
        <v>44</v>
      </c>
      <c r="W1250" t="s">
        <v>3993</v>
      </c>
      <c r="Y1250">
        <v>0</v>
      </c>
      <c r="AA1250" t="s">
        <v>40</v>
      </c>
      <c r="AB1250" t="s">
        <v>46</v>
      </c>
      <c r="AC1250" t="s">
        <v>47</v>
      </c>
      <c r="AF1250" t="s">
        <v>48</v>
      </c>
      <c r="AJ1250" t="s">
        <v>40</v>
      </c>
      <c r="AK1250" t="s">
        <v>49</v>
      </c>
      <c r="AO1250" s="1">
        <v>45968</v>
      </c>
      <c r="AP1250" s="5">
        <v>0.41666666666666669</v>
      </c>
      <c r="AS1250">
        <v>1</v>
      </c>
    </row>
    <row r="1251" spans="1:45" x14ac:dyDescent="0.2">
      <c r="A1251">
        <f t="shared" si="78"/>
        <v>2025</v>
      </c>
      <c r="B1251">
        <f t="shared" si="79"/>
        <v>11</v>
      </c>
      <c r="C1251">
        <f t="shared" si="80"/>
        <v>45</v>
      </c>
      <c r="D1251" s="2">
        <f t="shared" si="81"/>
        <v>45968</v>
      </c>
      <c r="E1251" s="1">
        <v>45968.458333333336</v>
      </c>
      <c r="F1251" t="s">
        <v>4030</v>
      </c>
      <c r="G1251" t="s">
        <v>36</v>
      </c>
      <c r="H1251" t="s">
        <v>297</v>
      </c>
      <c r="I1251" t="s">
        <v>38</v>
      </c>
      <c r="J1251" t="s">
        <v>112</v>
      </c>
      <c r="M1251" t="s">
        <v>40</v>
      </c>
      <c r="N1251" t="s">
        <v>41</v>
      </c>
      <c r="O1251" t="s">
        <v>42</v>
      </c>
      <c r="P1251">
        <v>23</v>
      </c>
      <c r="Q1251">
        <v>0</v>
      </c>
      <c r="R1251">
        <v>0</v>
      </c>
      <c r="S1251">
        <v>0</v>
      </c>
      <c r="T1251" t="s">
        <v>4031</v>
      </c>
      <c r="U1251" t="s">
        <v>44</v>
      </c>
      <c r="W1251" t="s">
        <v>3993</v>
      </c>
      <c r="Y1251">
        <v>0</v>
      </c>
      <c r="AA1251" t="s">
        <v>40</v>
      </c>
      <c r="AB1251" t="s">
        <v>46</v>
      </c>
      <c r="AC1251" t="s">
        <v>47</v>
      </c>
      <c r="AF1251" t="s">
        <v>48</v>
      </c>
      <c r="AJ1251" t="s">
        <v>40</v>
      </c>
      <c r="AK1251" t="s">
        <v>49</v>
      </c>
      <c r="AO1251" s="1">
        <v>45968</v>
      </c>
      <c r="AP1251" s="5">
        <v>0.45833333333333331</v>
      </c>
      <c r="AS1251">
        <v>1</v>
      </c>
    </row>
    <row r="1252" spans="1:45" x14ac:dyDescent="0.2">
      <c r="A1252">
        <f t="shared" si="78"/>
        <v>2025</v>
      </c>
      <c r="B1252">
        <f t="shared" si="79"/>
        <v>11</v>
      </c>
      <c r="C1252">
        <f t="shared" si="80"/>
        <v>45</v>
      </c>
      <c r="D1252" s="2">
        <f t="shared" si="81"/>
        <v>45968</v>
      </c>
      <c r="E1252" s="1">
        <v>45968.458333333336</v>
      </c>
      <c r="F1252" t="s">
        <v>4032</v>
      </c>
      <c r="G1252" t="s">
        <v>36</v>
      </c>
      <c r="H1252" t="s">
        <v>4033</v>
      </c>
      <c r="I1252" t="s">
        <v>38</v>
      </c>
      <c r="J1252" t="s">
        <v>254</v>
      </c>
      <c r="M1252" t="s">
        <v>40</v>
      </c>
      <c r="N1252" t="s">
        <v>41</v>
      </c>
      <c r="O1252" t="s">
        <v>42</v>
      </c>
      <c r="P1252">
        <v>4</v>
      </c>
      <c r="Q1252">
        <v>0</v>
      </c>
      <c r="R1252">
        <v>0</v>
      </c>
      <c r="S1252">
        <v>0</v>
      </c>
      <c r="T1252" t="s">
        <v>4034</v>
      </c>
      <c r="U1252" t="s">
        <v>294</v>
      </c>
      <c r="W1252" t="s">
        <v>4035</v>
      </c>
      <c r="Y1252">
        <v>0</v>
      </c>
      <c r="AA1252" t="s">
        <v>40</v>
      </c>
      <c r="AB1252" t="s">
        <v>46</v>
      </c>
      <c r="AC1252" t="s">
        <v>47</v>
      </c>
      <c r="AF1252" t="s">
        <v>295</v>
      </c>
      <c r="AJ1252" t="s">
        <v>40</v>
      </c>
      <c r="AK1252" t="s">
        <v>49</v>
      </c>
      <c r="AO1252" s="1">
        <v>45968</v>
      </c>
      <c r="AP1252" s="5">
        <v>0.45833333333333331</v>
      </c>
      <c r="AS1252">
        <v>1</v>
      </c>
    </row>
    <row r="1253" spans="1:45" x14ac:dyDescent="0.2">
      <c r="A1253">
        <f t="shared" si="78"/>
        <v>2025</v>
      </c>
      <c r="B1253">
        <f t="shared" si="79"/>
        <v>11</v>
      </c>
      <c r="C1253">
        <f t="shared" si="80"/>
        <v>45</v>
      </c>
      <c r="D1253" s="2">
        <f t="shared" si="81"/>
        <v>45968</v>
      </c>
      <c r="E1253" s="1">
        <v>45968.458333333336</v>
      </c>
      <c r="F1253" t="s">
        <v>4036</v>
      </c>
      <c r="G1253" t="s">
        <v>36</v>
      </c>
      <c r="H1253" t="s">
        <v>320</v>
      </c>
      <c r="I1253" t="s">
        <v>38</v>
      </c>
      <c r="J1253" t="s">
        <v>321</v>
      </c>
      <c r="M1253" t="s">
        <v>40</v>
      </c>
      <c r="N1253" t="s">
        <v>41</v>
      </c>
      <c r="O1253" t="s">
        <v>42</v>
      </c>
      <c r="P1253">
        <v>33</v>
      </c>
      <c r="Q1253">
        <v>0</v>
      </c>
      <c r="R1253">
        <v>0</v>
      </c>
      <c r="S1253">
        <v>0</v>
      </c>
      <c r="T1253" t="s">
        <v>4037</v>
      </c>
      <c r="U1253" t="s">
        <v>44</v>
      </c>
      <c r="W1253" t="s">
        <v>4027</v>
      </c>
      <c r="Y1253">
        <v>0</v>
      </c>
      <c r="AA1253" t="s">
        <v>40</v>
      </c>
      <c r="AB1253" t="s">
        <v>46</v>
      </c>
      <c r="AC1253" t="s">
        <v>47</v>
      </c>
      <c r="AF1253" t="s">
        <v>322</v>
      </c>
      <c r="AJ1253" t="s">
        <v>40</v>
      </c>
      <c r="AK1253" t="s">
        <v>49</v>
      </c>
      <c r="AO1253" s="1">
        <v>45968</v>
      </c>
      <c r="AP1253" s="5">
        <v>0.45833333333333331</v>
      </c>
      <c r="AS1253">
        <v>1</v>
      </c>
    </row>
    <row r="1254" spans="1:45" x14ac:dyDescent="0.2">
      <c r="A1254">
        <f t="shared" si="78"/>
        <v>2025</v>
      </c>
      <c r="B1254">
        <f t="shared" si="79"/>
        <v>11</v>
      </c>
      <c r="C1254">
        <f t="shared" si="80"/>
        <v>45</v>
      </c>
      <c r="D1254" s="2">
        <f t="shared" si="81"/>
        <v>45968</v>
      </c>
      <c r="E1254" s="1">
        <v>45968.458333333336</v>
      </c>
      <c r="F1254" t="s">
        <v>4038</v>
      </c>
      <c r="G1254" t="s">
        <v>36</v>
      </c>
      <c r="H1254">
        <v>467330</v>
      </c>
      <c r="I1254" t="s">
        <v>51</v>
      </c>
      <c r="J1254" t="s">
        <v>52</v>
      </c>
      <c r="M1254" t="s">
        <v>40</v>
      </c>
      <c r="N1254" t="s">
        <v>41</v>
      </c>
      <c r="O1254" t="s">
        <v>53</v>
      </c>
      <c r="P1254">
        <v>33</v>
      </c>
      <c r="Q1254">
        <v>0</v>
      </c>
      <c r="R1254">
        <v>0</v>
      </c>
      <c r="S1254">
        <v>0</v>
      </c>
      <c r="T1254" t="s">
        <v>54</v>
      </c>
      <c r="U1254" t="s">
        <v>55</v>
      </c>
      <c r="W1254" t="s">
        <v>3909</v>
      </c>
      <c r="Y1254">
        <v>0</v>
      </c>
      <c r="AA1254" t="s">
        <v>40</v>
      </c>
      <c r="AB1254" t="s">
        <v>46</v>
      </c>
      <c r="AC1254" t="s">
        <v>47</v>
      </c>
      <c r="AG1254" t="s">
        <v>4039</v>
      </c>
      <c r="AJ1254" t="s">
        <v>40</v>
      </c>
      <c r="AK1254">
        <v>5019357137</v>
      </c>
      <c r="AO1254" s="1">
        <v>45968</v>
      </c>
      <c r="AP1254" s="5">
        <v>0.45833333333333331</v>
      </c>
      <c r="AS1254">
        <v>1</v>
      </c>
    </row>
    <row r="1255" spans="1:45" x14ac:dyDescent="0.2">
      <c r="A1255">
        <f t="shared" si="78"/>
        <v>2025</v>
      </c>
      <c r="B1255">
        <f t="shared" si="79"/>
        <v>11</v>
      </c>
      <c r="C1255">
        <f t="shared" si="80"/>
        <v>45</v>
      </c>
      <c r="D1255" s="2">
        <f t="shared" si="81"/>
        <v>45968</v>
      </c>
      <c r="E1255" s="1">
        <v>45968.458333333336</v>
      </c>
      <c r="F1255" t="s">
        <v>4040</v>
      </c>
      <c r="G1255" t="s">
        <v>36</v>
      </c>
      <c r="H1255" t="s">
        <v>1054</v>
      </c>
      <c r="I1255" t="s">
        <v>38</v>
      </c>
      <c r="J1255" t="s">
        <v>348</v>
      </c>
      <c r="M1255" t="s">
        <v>40</v>
      </c>
      <c r="N1255" t="s">
        <v>41</v>
      </c>
      <c r="O1255" t="s">
        <v>42</v>
      </c>
      <c r="P1255">
        <v>5</v>
      </c>
      <c r="Q1255">
        <v>0</v>
      </c>
      <c r="R1255">
        <v>0</v>
      </c>
      <c r="S1255">
        <v>0</v>
      </c>
      <c r="T1255" t="s">
        <v>4041</v>
      </c>
      <c r="U1255" t="s">
        <v>101</v>
      </c>
      <c r="W1255" t="s">
        <v>3993</v>
      </c>
      <c r="Y1255">
        <v>0</v>
      </c>
      <c r="AA1255" t="s">
        <v>40</v>
      </c>
      <c r="AB1255" t="s">
        <v>46</v>
      </c>
      <c r="AC1255" t="s">
        <v>47</v>
      </c>
      <c r="AF1255" t="s">
        <v>48</v>
      </c>
      <c r="AJ1255" t="s">
        <v>40</v>
      </c>
      <c r="AK1255" t="s">
        <v>49</v>
      </c>
      <c r="AO1255" s="1">
        <v>45968</v>
      </c>
      <c r="AP1255" s="5">
        <v>0.45833333333333331</v>
      </c>
      <c r="AS1255">
        <v>1</v>
      </c>
    </row>
    <row r="1256" spans="1:45" x14ac:dyDescent="0.2">
      <c r="A1256">
        <f t="shared" si="78"/>
        <v>2025</v>
      </c>
      <c r="B1256">
        <f t="shared" si="79"/>
        <v>11</v>
      </c>
      <c r="C1256">
        <f t="shared" si="80"/>
        <v>45</v>
      </c>
      <c r="D1256" s="2">
        <f t="shared" si="81"/>
        <v>45968</v>
      </c>
      <c r="E1256" s="1">
        <v>45968.458333333336</v>
      </c>
      <c r="F1256" t="s">
        <v>4042</v>
      </c>
      <c r="G1256" t="s">
        <v>36</v>
      </c>
      <c r="H1256" t="s">
        <v>4043</v>
      </c>
      <c r="I1256" t="s">
        <v>78</v>
      </c>
      <c r="J1256" t="s">
        <v>1344</v>
      </c>
      <c r="M1256" t="s">
        <v>40</v>
      </c>
      <c r="N1256" t="s">
        <v>41</v>
      </c>
      <c r="O1256" t="s">
        <v>4044</v>
      </c>
      <c r="P1256">
        <v>66</v>
      </c>
      <c r="Q1256">
        <v>0</v>
      </c>
      <c r="R1256">
        <v>0</v>
      </c>
      <c r="S1256">
        <v>0</v>
      </c>
      <c r="T1256" t="s">
        <v>54</v>
      </c>
      <c r="U1256" t="s">
        <v>55</v>
      </c>
      <c r="W1256" t="s">
        <v>4045</v>
      </c>
      <c r="X1256" t="s">
        <v>1347</v>
      </c>
      <c r="Y1256">
        <v>0</v>
      </c>
      <c r="AA1256" t="s">
        <v>40</v>
      </c>
      <c r="AB1256" t="s">
        <v>46</v>
      </c>
      <c r="AC1256" t="s">
        <v>47</v>
      </c>
      <c r="AD1256" t="s">
        <v>81</v>
      </c>
      <c r="AE1256" t="s">
        <v>81</v>
      </c>
      <c r="AG1256" t="s">
        <v>4046</v>
      </c>
      <c r="AJ1256" t="s">
        <v>40</v>
      </c>
      <c r="AK1256" t="s">
        <v>4047</v>
      </c>
      <c r="AL1256" t="s">
        <v>1350</v>
      </c>
      <c r="AO1256" s="1">
        <v>45968</v>
      </c>
      <c r="AP1256" s="5">
        <v>0.45833333333333331</v>
      </c>
      <c r="AS1256">
        <v>1</v>
      </c>
    </row>
    <row r="1257" spans="1:45" x14ac:dyDescent="0.2">
      <c r="A1257">
        <f t="shared" si="78"/>
        <v>2025</v>
      </c>
      <c r="B1257">
        <f t="shared" si="79"/>
        <v>11</v>
      </c>
      <c r="C1257">
        <f t="shared" si="80"/>
        <v>45</v>
      </c>
      <c r="D1257" s="2">
        <f t="shared" si="81"/>
        <v>45968</v>
      </c>
      <c r="E1257" s="1">
        <v>45968.5</v>
      </c>
      <c r="F1257" t="s">
        <v>4048</v>
      </c>
      <c r="G1257" t="s">
        <v>36</v>
      </c>
      <c r="H1257" t="s">
        <v>111</v>
      </c>
      <c r="I1257" t="s">
        <v>38</v>
      </c>
      <c r="J1257" t="s">
        <v>99</v>
      </c>
      <c r="M1257" t="s">
        <v>40</v>
      </c>
      <c r="N1257" t="s">
        <v>41</v>
      </c>
      <c r="O1257" t="s">
        <v>42</v>
      </c>
      <c r="P1257">
        <v>12</v>
      </c>
      <c r="Q1257">
        <v>0</v>
      </c>
      <c r="R1257">
        <v>0</v>
      </c>
      <c r="S1257">
        <v>0</v>
      </c>
      <c r="T1257" t="s">
        <v>4049</v>
      </c>
      <c r="U1257" t="s">
        <v>44</v>
      </c>
      <c r="W1257" t="s">
        <v>3993</v>
      </c>
      <c r="Y1257">
        <v>0</v>
      </c>
      <c r="AA1257" t="s">
        <v>40</v>
      </c>
      <c r="AB1257" t="s">
        <v>46</v>
      </c>
      <c r="AC1257" t="s">
        <v>47</v>
      </c>
      <c r="AF1257" t="s">
        <v>48</v>
      </c>
      <c r="AJ1257" t="s">
        <v>40</v>
      </c>
      <c r="AK1257" t="s">
        <v>49</v>
      </c>
      <c r="AO1257" s="1">
        <v>45968</v>
      </c>
      <c r="AP1257" s="5">
        <v>0.5</v>
      </c>
      <c r="AS1257">
        <v>1</v>
      </c>
    </row>
    <row r="1258" spans="1:45" x14ac:dyDescent="0.2">
      <c r="A1258">
        <f t="shared" si="78"/>
        <v>2025</v>
      </c>
      <c r="B1258">
        <f t="shared" si="79"/>
        <v>11</v>
      </c>
      <c r="C1258">
        <f t="shared" si="80"/>
        <v>45</v>
      </c>
      <c r="D1258" s="2">
        <f t="shared" si="81"/>
        <v>45968</v>
      </c>
      <c r="E1258" s="1">
        <v>45968.5</v>
      </c>
      <c r="F1258" t="s">
        <v>4050</v>
      </c>
      <c r="G1258" t="s">
        <v>36</v>
      </c>
      <c r="H1258">
        <v>470263</v>
      </c>
      <c r="I1258" t="s">
        <v>51</v>
      </c>
      <c r="J1258" t="s">
        <v>144</v>
      </c>
      <c r="M1258" t="s">
        <v>40</v>
      </c>
      <c r="N1258" t="s">
        <v>41</v>
      </c>
      <c r="O1258" t="s">
        <v>2801</v>
      </c>
      <c r="P1258">
        <v>33</v>
      </c>
      <c r="Q1258">
        <v>0</v>
      </c>
      <c r="R1258">
        <v>0</v>
      </c>
      <c r="S1258">
        <v>0</v>
      </c>
      <c r="T1258" t="s">
        <v>54</v>
      </c>
      <c r="U1258" t="s">
        <v>55</v>
      </c>
      <c r="W1258" t="s">
        <v>3975</v>
      </c>
      <c r="X1258" t="s">
        <v>4051</v>
      </c>
      <c r="Y1258">
        <v>0</v>
      </c>
      <c r="AA1258" t="s">
        <v>40</v>
      </c>
      <c r="AB1258" t="s">
        <v>46</v>
      </c>
      <c r="AC1258" t="s">
        <v>47</v>
      </c>
      <c r="AG1258" t="s">
        <v>4052</v>
      </c>
      <c r="AJ1258" t="s">
        <v>40</v>
      </c>
      <c r="AK1258">
        <v>5019339837</v>
      </c>
      <c r="AL1258" t="s">
        <v>4053</v>
      </c>
      <c r="AM1258" t="s">
        <v>4054</v>
      </c>
      <c r="AO1258" s="1">
        <v>45968</v>
      </c>
      <c r="AP1258" s="5">
        <v>0.5</v>
      </c>
      <c r="AS1258">
        <v>1</v>
      </c>
    </row>
    <row r="1259" spans="1:45" x14ac:dyDescent="0.2">
      <c r="A1259">
        <f t="shared" si="78"/>
        <v>2025</v>
      </c>
      <c r="B1259">
        <f t="shared" si="79"/>
        <v>11</v>
      </c>
      <c r="C1259">
        <f t="shared" si="80"/>
        <v>45</v>
      </c>
      <c r="D1259" s="2">
        <f t="shared" si="81"/>
        <v>45968</v>
      </c>
      <c r="E1259" s="1">
        <v>45968.5</v>
      </c>
      <c r="F1259" t="s">
        <v>4055</v>
      </c>
      <c r="G1259" t="s">
        <v>36</v>
      </c>
      <c r="H1259" t="s">
        <v>320</v>
      </c>
      <c r="I1259" t="s">
        <v>38</v>
      </c>
      <c r="J1259" t="s">
        <v>321</v>
      </c>
      <c r="M1259" t="s">
        <v>40</v>
      </c>
      <c r="N1259" t="s">
        <v>41</v>
      </c>
      <c r="O1259" t="s">
        <v>42</v>
      </c>
      <c r="P1259">
        <v>33</v>
      </c>
      <c r="Q1259">
        <v>0</v>
      </c>
      <c r="R1259">
        <v>0</v>
      </c>
      <c r="S1259">
        <v>0</v>
      </c>
      <c r="T1259">
        <v>5019337181</v>
      </c>
      <c r="U1259" t="s">
        <v>44</v>
      </c>
      <c r="W1259" t="s">
        <v>4027</v>
      </c>
      <c r="Y1259">
        <v>0</v>
      </c>
      <c r="AA1259" t="s">
        <v>40</v>
      </c>
      <c r="AB1259" t="s">
        <v>820</v>
      </c>
      <c r="AC1259" t="s">
        <v>47</v>
      </c>
      <c r="AF1259" t="s">
        <v>322</v>
      </c>
      <c r="AJ1259" t="s">
        <v>40</v>
      </c>
      <c r="AK1259" t="s">
        <v>49</v>
      </c>
      <c r="AO1259" s="1">
        <v>45968</v>
      </c>
      <c r="AP1259" s="5">
        <v>0.5</v>
      </c>
      <c r="AS1259">
        <v>1</v>
      </c>
    </row>
    <row r="1260" spans="1:45" x14ac:dyDescent="0.2">
      <c r="A1260">
        <f t="shared" si="78"/>
        <v>2025</v>
      </c>
      <c r="B1260">
        <f t="shared" si="79"/>
        <v>11</v>
      </c>
      <c r="C1260">
        <f t="shared" si="80"/>
        <v>45</v>
      </c>
      <c r="D1260" s="2">
        <f t="shared" si="81"/>
        <v>45968</v>
      </c>
      <c r="E1260" s="1">
        <v>45968.541666666664</v>
      </c>
      <c r="F1260" t="s">
        <v>4056</v>
      </c>
      <c r="G1260" t="s">
        <v>36</v>
      </c>
      <c r="H1260" t="s">
        <v>4057</v>
      </c>
      <c r="I1260" t="s">
        <v>78</v>
      </c>
      <c r="J1260" t="s">
        <v>144</v>
      </c>
      <c r="M1260" t="s">
        <v>40</v>
      </c>
      <c r="N1260" t="s">
        <v>41</v>
      </c>
      <c r="O1260" t="s">
        <v>145</v>
      </c>
      <c r="P1260">
        <v>66</v>
      </c>
      <c r="Q1260">
        <v>0</v>
      </c>
      <c r="R1260">
        <v>0</v>
      </c>
      <c r="S1260">
        <v>0</v>
      </c>
      <c r="T1260" t="s">
        <v>54</v>
      </c>
      <c r="U1260" t="s">
        <v>55</v>
      </c>
      <c r="W1260" t="s">
        <v>3649</v>
      </c>
      <c r="Y1260">
        <v>0</v>
      </c>
      <c r="AA1260" t="s">
        <v>40</v>
      </c>
      <c r="AB1260" t="s">
        <v>46</v>
      </c>
      <c r="AC1260" t="s">
        <v>47</v>
      </c>
      <c r="AD1260" t="s">
        <v>81</v>
      </c>
      <c r="AE1260" t="s">
        <v>81</v>
      </c>
      <c r="AG1260" t="s">
        <v>4058</v>
      </c>
      <c r="AJ1260" t="s">
        <v>40</v>
      </c>
      <c r="AK1260" t="s">
        <v>4059</v>
      </c>
      <c r="AO1260" s="1">
        <v>45968</v>
      </c>
      <c r="AP1260" s="5">
        <v>0.54166666666666663</v>
      </c>
      <c r="AS1260">
        <v>1</v>
      </c>
    </row>
    <row r="1261" spans="1:45" x14ac:dyDescent="0.2">
      <c r="A1261">
        <f t="shared" si="78"/>
        <v>2025</v>
      </c>
      <c r="B1261">
        <f t="shared" si="79"/>
        <v>11</v>
      </c>
      <c r="C1261">
        <f t="shared" si="80"/>
        <v>45</v>
      </c>
      <c r="D1261" s="2">
        <f t="shared" si="81"/>
        <v>45968</v>
      </c>
      <c r="E1261" s="1">
        <v>45968.541666666664</v>
      </c>
      <c r="F1261" t="s">
        <v>4060</v>
      </c>
      <c r="G1261" t="s">
        <v>36</v>
      </c>
      <c r="H1261">
        <v>470154</v>
      </c>
      <c r="I1261" t="s">
        <v>51</v>
      </c>
      <c r="J1261" t="s">
        <v>144</v>
      </c>
      <c r="M1261" t="s">
        <v>40</v>
      </c>
      <c r="N1261" t="s">
        <v>41</v>
      </c>
      <c r="O1261" t="s">
        <v>2801</v>
      </c>
      <c r="P1261">
        <v>33</v>
      </c>
      <c r="Q1261">
        <v>0</v>
      </c>
      <c r="R1261">
        <v>0</v>
      </c>
      <c r="S1261">
        <v>0</v>
      </c>
      <c r="T1261" t="s">
        <v>54</v>
      </c>
      <c r="U1261" t="s">
        <v>55</v>
      </c>
      <c r="W1261" t="s">
        <v>4061</v>
      </c>
      <c r="X1261" t="s">
        <v>4062</v>
      </c>
      <c r="Y1261">
        <v>0</v>
      </c>
      <c r="AA1261" t="s">
        <v>40</v>
      </c>
      <c r="AB1261" t="s">
        <v>46</v>
      </c>
      <c r="AC1261" t="s">
        <v>47</v>
      </c>
      <c r="AG1261" t="s">
        <v>4063</v>
      </c>
      <c r="AJ1261" t="s">
        <v>40</v>
      </c>
      <c r="AK1261">
        <v>5019343613</v>
      </c>
      <c r="AL1261" t="s">
        <v>4064</v>
      </c>
      <c r="AM1261" t="s">
        <v>4065</v>
      </c>
      <c r="AO1261" s="1">
        <v>45968</v>
      </c>
      <c r="AP1261" s="5">
        <v>0.54166666666666663</v>
      </c>
      <c r="AS1261">
        <v>1</v>
      </c>
    </row>
    <row r="1262" spans="1:45" x14ac:dyDescent="0.2">
      <c r="A1262">
        <f t="shared" si="78"/>
        <v>2025</v>
      </c>
      <c r="B1262">
        <f t="shared" si="79"/>
        <v>11</v>
      </c>
      <c r="C1262">
        <f t="shared" si="80"/>
        <v>45</v>
      </c>
      <c r="D1262" s="2">
        <f t="shared" si="81"/>
        <v>45968</v>
      </c>
      <c r="E1262" s="1">
        <v>45968.541666666664</v>
      </c>
      <c r="F1262" t="s">
        <v>4066</v>
      </c>
      <c r="G1262" t="s">
        <v>36</v>
      </c>
      <c r="H1262" t="s">
        <v>111</v>
      </c>
      <c r="I1262" t="s">
        <v>38</v>
      </c>
      <c r="J1262" t="s">
        <v>99</v>
      </c>
      <c r="M1262" t="s">
        <v>40</v>
      </c>
      <c r="N1262" t="s">
        <v>41</v>
      </c>
      <c r="O1262" t="s">
        <v>42</v>
      </c>
      <c r="P1262">
        <v>24</v>
      </c>
      <c r="Q1262">
        <v>0</v>
      </c>
      <c r="R1262">
        <v>0</v>
      </c>
      <c r="S1262">
        <v>0</v>
      </c>
      <c r="T1262" t="s">
        <v>4067</v>
      </c>
      <c r="U1262" t="s">
        <v>44</v>
      </c>
      <c r="W1262" t="s">
        <v>3993</v>
      </c>
      <c r="Y1262">
        <v>0</v>
      </c>
      <c r="AA1262" t="s">
        <v>40</v>
      </c>
      <c r="AB1262" t="s">
        <v>46</v>
      </c>
      <c r="AC1262" t="s">
        <v>47</v>
      </c>
      <c r="AF1262" t="s">
        <v>48</v>
      </c>
      <c r="AJ1262" t="s">
        <v>40</v>
      </c>
      <c r="AK1262" t="s">
        <v>49</v>
      </c>
      <c r="AO1262" s="1">
        <v>45968</v>
      </c>
      <c r="AP1262" s="5">
        <v>0.54166666666666663</v>
      </c>
      <c r="AS1262">
        <v>1</v>
      </c>
    </row>
    <row r="1263" spans="1:45" x14ac:dyDescent="0.2">
      <c r="A1263">
        <f t="shared" si="78"/>
        <v>2025</v>
      </c>
      <c r="B1263">
        <f t="shared" si="79"/>
        <v>11</v>
      </c>
      <c r="C1263">
        <f t="shared" si="80"/>
        <v>45</v>
      </c>
      <c r="D1263" s="2">
        <f t="shared" si="81"/>
        <v>45968</v>
      </c>
      <c r="E1263" s="1">
        <v>45968.583333333336</v>
      </c>
      <c r="F1263" t="s">
        <v>4068</v>
      </c>
      <c r="G1263" t="s">
        <v>36</v>
      </c>
      <c r="H1263">
        <v>464183</v>
      </c>
      <c r="I1263" t="s">
        <v>51</v>
      </c>
      <c r="J1263" t="s">
        <v>154</v>
      </c>
      <c r="M1263" t="s">
        <v>40</v>
      </c>
      <c r="N1263" t="s">
        <v>41</v>
      </c>
      <c r="O1263" t="s">
        <v>155</v>
      </c>
      <c r="P1263">
        <v>33</v>
      </c>
      <c r="Q1263">
        <v>0</v>
      </c>
      <c r="R1263">
        <v>0</v>
      </c>
      <c r="S1263">
        <v>0</v>
      </c>
      <c r="T1263" t="s">
        <v>54</v>
      </c>
      <c r="U1263" t="s">
        <v>55</v>
      </c>
      <c r="W1263" t="s">
        <v>3827</v>
      </c>
      <c r="Y1263">
        <v>0</v>
      </c>
      <c r="AA1263" t="s">
        <v>40</v>
      </c>
      <c r="AB1263" t="s">
        <v>46</v>
      </c>
      <c r="AC1263" t="s">
        <v>47</v>
      </c>
      <c r="AG1263" t="s">
        <v>4069</v>
      </c>
      <c r="AJ1263" t="s">
        <v>40</v>
      </c>
      <c r="AK1263">
        <v>5019343705</v>
      </c>
      <c r="AO1263" s="1">
        <v>45968</v>
      </c>
      <c r="AP1263" s="5">
        <v>0.58333333333333337</v>
      </c>
      <c r="AS1263">
        <v>1</v>
      </c>
    </row>
    <row r="1264" spans="1:45" x14ac:dyDescent="0.2">
      <c r="A1264">
        <f t="shared" si="78"/>
        <v>2025</v>
      </c>
      <c r="B1264">
        <f t="shared" si="79"/>
        <v>11</v>
      </c>
      <c r="C1264">
        <f t="shared" si="80"/>
        <v>45</v>
      </c>
      <c r="D1264" s="2">
        <f t="shared" si="81"/>
        <v>45968</v>
      </c>
      <c r="E1264" s="1">
        <v>45968.583333333336</v>
      </c>
      <c r="F1264" t="s">
        <v>4070</v>
      </c>
      <c r="G1264" t="s">
        <v>36</v>
      </c>
      <c r="H1264" t="s">
        <v>2001</v>
      </c>
      <c r="I1264" t="s">
        <v>38</v>
      </c>
      <c r="J1264" t="s">
        <v>880</v>
      </c>
      <c r="M1264" t="s">
        <v>40</v>
      </c>
      <c r="N1264" t="s">
        <v>41</v>
      </c>
      <c r="O1264" t="s">
        <v>42</v>
      </c>
      <c r="P1264">
        <v>18</v>
      </c>
      <c r="Q1264">
        <v>0</v>
      </c>
      <c r="R1264">
        <v>0</v>
      </c>
      <c r="S1264">
        <v>0</v>
      </c>
      <c r="T1264" t="s">
        <v>4071</v>
      </c>
      <c r="U1264" t="s">
        <v>44</v>
      </c>
      <c r="W1264" t="s">
        <v>4027</v>
      </c>
      <c r="Y1264">
        <v>0</v>
      </c>
      <c r="AA1264" t="s">
        <v>40</v>
      </c>
      <c r="AB1264" t="s">
        <v>46</v>
      </c>
      <c r="AC1264" t="s">
        <v>47</v>
      </c>
      <c r="AF1264" t="s">
        <v>882</v>
      </c>
      <c r="AJ1264" t="s">
        <v>40</v>
      </c>
      <c r="AK1264" t="s">
        <v>49</v>
      </c>
      <c r="AO1264" s="1">
        <v>45968</v>
      </c>
      <c r="AP1264" s="5">
        <v>0.58333333333333337</v>
      </c>
      <c r="AS1264">
        <v>1</v>
      </c>
    </row>
    <row r="1265" spans="1:45" x14ac:dyDescent="0.2">
      <c r="A1265">
        <f t="shared" si="78"/>
        <v>2025</v>
      </c>
      <c r="B1265">
        <f t="shared" si="79"/>
        <v>11</v>
      </c>
      <c r="C1265">
        <f t="shared" si="80"/>
        <v>45</v>
      </c>
      <c r="D1265" s="2">
        <f t="shared" si="81"/>
        <v>45968</v>
      </c>
      <c r="E1265" s="1">
        <v>45968.625</v>
      </c>
      <c r="F1265" t="s">
        <v>4072</v>
      </c>
      <c r="G1265" t="s">
        <v>36</v>
      </c>
      <c r="H1265" t="s">
        <v>2001</v>
      </c>
      <c r="I1265" t="s">
        <v>38</v>
      </c>
      <c r="J1265" t="s">
        <v>880</v>
      </c>
      <c r="M1265" t="s">
        <v>40</v>
      </c>
      <c r="N1265" t="s">
        <v>41</v>
      </c>
      <c r="O1265" t="s">
        <v>42</v>
      </c>
      <c r="P1265">
        <v>20</v>
      </c>
      <c r="Q1265">
        <v>0</v>
      </c>
      <c r="R1265">
        <v>0</v>
      </c>
      <c r="S1265">
        <v>0</v>
      </c>
      <c r="T1265">
        <v>5019295014</v>
      </c>
      <c r="U1265" t="s">
        <v>44</v>
      </c>
      <c r="W1265" t="s">
        <v>4027</v>
      </c>
      <c r="Y1265">
        <v>0</v>
      </c>
      <c r="AA1265" t="s">
        <v>40</v>
      </c>
      <c r="AB1265" t="s">
        <v>46</v>
      </c>
      <c r="AC1265" t="s">
        <v>47</v>
      </c>
      <c r="AF1265" t="s">
        <v>882</v>
      </c>
      <c r="AJ1265" t="s">
        <v>40</v>
      </c>
      <c r="AK1265" t="s">
        <v>49</v>
      </c>
      <c r="AO1265" s="1">
        <v>45968</v>
      </c>
      <c r="AP1265" s="5">
        <v>0.625</v>
      </c>
      <c r="AS1265">
        <v>1</v>
      </c>
    </row>
    <row r="1266" spans="1:45" x14ac:dyDescent="0.2">
      <c r="A1266">
        <f t="shared" si="78"/>
        <v>2025</v>
      </c>
      <c r="B1266">
        <f t="shared" si="79"/>
        <v>11</v>
      </c>
      <c r="C1266">
        <f t="shared" si="80"/>
        <v>45</v>
      </c>
      <c r="D1266" s="2">
        <f t="shared" si="81"/>
        <v>45968</v>
      </c>
      <c r="E1266" s="1">
        <v>45968.625</v>
      </c>
      <c r="F1266" t="s">
        <v>4073</v>
      </c>
      <c r="G1266" t="s">
        <v>36</v>
      </c>
      <c r="H1266">
        <v>464158</v>
      </c>
      <c r="I1266" t="s">
        <v>51</v>
      </c>
      <c r="J1266" t="s">
        <v>154</v>
      </c>
      <c r="M1266" t="s">
        <v>40</v>
      </c>
      <c r="N1266" t="s">
        <v>41</v>
      </c>
      <c r="O1266" t="s">
        <v>155</v>
      </c>
      <c r="P1266">
        <v>33</v>
      </c>
      <c r="Q1266">
        <v>0</v>
      </c>
      <c r="R1266">
        <v>0</v>
      </c>
      <c r="S1266">
        <v>0</v>
      </c>
      <c r="T1266" t="s">
        <v>54</v>
      </c>
      <c r="U1266" t="s">
        <v>55</v>
      </c>
      <c r="W1266" t="s">
        <v>3827</v>
      </c>
      <c r="Y1266">
        <v>0</v>
      </c>
      <c r="AA1266" t="s">
        <v>40</v>
      </c>
      <c r="AB1266" t="s">
        <v>46</v>
      </c>
      <c r="AC1266" t="s">
        <v>47</v>
      </c>
      <c r="AG1266" t="s">
        <v>4074</v>
      </c>
      <c r="AJ1266" t="s">
        <v>40</v>
      </c>
      <c r="AK1266">
        <v>5019356887</v>
      </c>
      <c r="AO1266" s="1">
        <v>45968</v>
      </c>
      <c r="AP1266" s="5">
        <v>0.625</v>
      </c>
      <c r="AS1266">
        <v>1</v>
      </c>
    </row>
    <row r="1267" spans="1:45" x14ac:dyDescent="0.2">
      <c r="A1267">
        <f t="shared" si="78"/>
        <v>2025</v>
      </c>
      <c r="B1267">
        <f t="shared" si="79"/>
        <v>11</v>
      </c>
      <c r="C1267">
        <f t="shared" si="80"/>
        <v>45</v>
      </c>
      <c r="D1267" s="2">
        <f t="shared" si="81"/>
        <v>45968</v>
      </c>
      <c r="E1267" s="1">
        <v>45968.666666666664</v>
      </c>
      <c r="F1267" t="s">
        <v>4075</v>
      </c>
      <c r="G1267" t="s">
        <v>36</v>
      </c>
      <c r="H1267">
        <v>464173</v>
      </c>
      <c r="I1267" t="s">
        <v>51</v>
      </c>
      <c r="J1267" t="s">
        <v>144</v>
      </c>
      <c r="M1267" t="s">
        <v>40</v>
      </c>
      <c r="N1267" t="s">
        <v>41</v>
      </c>
      <c r="O1267" t="s">
        <v>127</v>
      </c>
      <c r="P1267">
        <v>33</v>
      </c>
      <c r="Q1267">
        <v>0</v>
      </c>
      <c r="R1267">
        <v>0</v>
      </c>
      <c r="S1267">
        <v>0</v>
      </c>
      <c r="T1267" t="s">
        <v>54</v>
      </c>
      <c r="U1267" t="s">
        <v>55</v>
      </c>
      <c r="W1267" t="s">
        <v>3958</v>
      </c>
      <c r="X1267" t="s">
        <v>4076</v>
      </c>
      <c r="Y1267">
        <v>0</v>
      </c>
      <c r="AA1267" t="s">
        <v>40</v>
      </c>
      <c r="AB1267" t="s">
        <v>46</v>
      </c>
      <c r="AC1267" t="s">
        <v>47</v>
      </c>
      <c r="AG1267" t="s">
        <v>4077</v>
      </c>
      <c r="AJ1267" t="s">
        <v>40</v>
      </c>
      <c r="AK1267">
        <v>5019353213</v>
      </c>
      <c r="AL1267" t="s">
        <v>4078</v>
      </c>
      <c r="AM1267" t="s">
        <v>4079</v>
      </c>
      <c r="AO1267" s="1">
        <v>45968</v>
      </c>
      <c r="AP1267" s="5">
        <v>0.66666666666666663</v>
      </c>
      <c r="AS1267">
        <v>1</v>
      </c>
    </row>
    <row r="1268" spans="1:45" x14ac:dyDescent="0.2">
      <c r="A1268">
        <f t="shared" si="78"/>
        <v>2025</v>
      </c>
      <c r="B1268">
        <f t="shared" si="79"/>
        <v>11</v>
      </c>
      <c r="C1268">
        <f t="shared" si="80"/>
        <v>45</v>
      </c>
      <c r="D1268" s="2">
        <f t="shared" si="81"/>
        <v>45968</v>
      </c>
      <c r="E1268" s="1">
        <v>45968.666666666664</v>
      </c>
      <c r="F1268" t="s">
        <v>4080</v>
      </c>
      <c r="G1268" t="s">
        <v>36</v>
      </c>
      <c r="H1268" t="s">
        <v>2001</v>
      </c>
      <c r="I1268" t="s">
        <v>38</v>
      </c>
      <c r="J1268" t="s">
        <v>880</v>
      </c>
      <c r="M1268" t="s">
        <v>40</v>
      </c>
      <c r="N1268" t="s">
        <v>41</v>
      </c>
      <c r="O1268" t="s">
        <v>42</v>
      </c>
      <c r="P1268">
        <v>17</v>
      </c>
      <c r="Q1268">
        <v>0</v>
      </c>
      <c r="R1268">
        <v>0</v>
      </c>
      <c r="S1268">
        <v>0</v>
      </c>
      <c r="T1268">
        <v>5019295495</v>
      </c>
      <c r="U1268" t="s">
        <v>44</v>
      </c>
      <c r="W1268" t="s">
        <v>4027</v>
      </c>
      <c r="Y1268">
        <v>0</v>
      </c>
      <c r="AA1268" t="s">
        <v>40</v>
      </c>
      <c r="AB1268" t="s">
        <v>46</v>
      </c>
      <c r="AC1268" t="s">
        <v>47</v>
      </c>
      <c r="AF1268" t="s">
        <v>882</v>
      </c>
      <c r="AJ1268" t="s">
        <v>40</v>
      </c>
      <c r="AK1268" t="s">
        <v>49</v>
      </c>
      <c r="AO1268" s="1">
        <v>45968</v>
      </c>
      <c r="AP1268" s="5">
        <v>0.66666666666666663</v>
      </c>
      <c r="AS1268">
        <v>1</v>
      </c>
    </row>
    <row r="1269" spans="1:45" x14ac:dyDescent="0.2">
      <c r="A1269">
        <f t="shared" si="78"/>
        <v>2025</v>
      </c>
      <c r="B1269">
        <f t="shared" si="79"/>
        <v>11</v>
      </c>
      <c r="C1269">
        <f t="shared" si="80"/>
        <v>45</v>
      </c>
      <c r="D1269" s="2">
        <f t="shared" si="81"/>
        <v>45968</v>
      </c>
      <c r="E1269" s="1">
        <v>45968.666666666664</v>
      </c>
      <c r="F1269" t="s">
        <v>4081</v>
      </c>
      <c r="G1269" t="s">
        <v>36</v>
      </c>
      <c r="H1269">
        <v>464179</v>
      </c>
      <c r="I1269" t="s">
        <v>51</v>
      </c>
      <c r="J1269" t="s">
        <v>4082</v>
      </c>
      <c r="M1269" t="s">
        <v>40</v>
      </c>
      <c r="N1269" t="s">
        <v>41</v>
      </c>
      <c r="O1269" t="s">
        <v>119</v>
      </c>
      <c r="P1269">
        <v>33</v>
      </c>
      <c r="Q1269">
        <v>0</v>
      </c>
      <c r="R1269">
        <v>0</v>
      </c>
      <c r="S1269">
        <v>0</v>
      </c>
      <c r="T1269" t="s">
        <v>54</v>
      </c>
      <c r="U1269" t="s">
        <v>55</v>
      </c>
      <c r="W1269" t="s">
        <v>3779</v>
      </c>
      <c r="Y1269">
        <v>0</v>
      </c>
      <c r="AA1269" t="s">
        <v>40</v>
      </c>
      <c r="AB1269" t="s">
        <v>46</v>
      </c>
      <c r="AC1269" t="s">
        <v>47</v>
      </c>
      <c r="AG1269" t="s">
        <v>4083</v>
      </c>
      <c r="AJ1269" t="s">
        <v>40</v>
      </c>
      <c r="AK1269">
        <v>5019348539</v>
      </c>
      <c r="AO1269" s="1">
        <v>45968</v>
      </c>
      <c r="AP1269" s="5">
        <v>0.66666666666666663</v>
      </c>
      <c r="AS1269">
        <v>1</v>
      </c>
    </row>
    <row r="1270" spans="1:45" x14ac:dyDescent="0.2">
      <c r="A1270">
        <f t="shared" si="78"/>
        <v>2025</v>
      </c>
      <c r="B1270">
        <f t="shared" si="79"/>
        <v>11</v>
      </c>
      <c r="C1270">
        <f t="shared" si="80"/>
        <v>45</v>
      </c>
      <c r="D1270" s="2">
        <f t="shared" si="81"/>
        <v>45968</v>
      </c>
      <c r="E1270" s="1">
        <v>45968.708333333336</v>
      </c>
      <c r="F1270" t="s">
        <v>4084</v>
      </c>
      <c r="G1270" t="s">
        <v>36</v>
      </c>
      <c r="H1270" t="s">
        <v>111</v>
      </c>
      <c r="I1270" t="s">
        <v>38</v>
      </c>
      <c r="J1270" t="s">
        <v>99</v>
      </c>
      <c r="M1270" t="s">
        <v>40</v>
      </c>
      <c r="N1270" t="s">
        <v>41</v>
      </c>
      <c r="O1270" t="s">
        <v>42</v>
      </c>
      <c r="P1270">
        <v>23</v>
      </c>
      <c r="Q1270">
        <v>0</v>
      </c>
      <c r="R1270">
        <v>0</v>
      </c>
      <c r="S1270">
        <v>0</v>
      </c>
      <c r="T1270" t="s">
        <v>4085</v>
      </c>
      <c r="U1270" t="s">
        <v>44</v>
      </c>
      <c r="W1270" t="s">
        <v>3993</v>
      </c>
      <c r="Y1270">
        <v>0</v>
      </c>
      <c r="AA1270" t="s">
        <v>40</v>
      </c>
      <c r="AB1270" t="s">
        <v>46</v>
      </c>
      <c r="AC1270" t="s">
        <v>47</v>
      </c>
      <c r="AF1270" t="s">
        <v>48</v>
      </c>
      <c r="AJ1270" t="s">
        <v>40</v>
      </c>
      <c r="AK1270" t="s">
        <v>49</v>
      </c>
      <c r="AO1270" s="1">
        <v>45968</v>
      </c>
      <c r="AP1270" s="5">
        <v>0.70833333333333337</v>
      </c>
      <c r="AS1270">
        <v>1</v>
      </c>
    </row>
    <row r="1271" spans="1:45" x14ac:dyDescent="0.2">
      <c r="A1271">
        <f t="shared" si="78"/>
        <v>2025</v>
      </c>
      <c r="B1271">
        <f t="shared" si="79"/>
        <v>11</v>
      </c>
      <c r="C1271">
        <f t="shared" si="80"/>
        <v>45</v>
      </c>
      <c r="D1271" s="2">
        <f t="shared" si="81"/>
        <v>45968</v>
      </c>
      <c r="E1271" s="1">
        <v>45968.708333333336</v>
      </c>
      <c r="F1271" t="s">
        <v>4086</v>
      </c>
      <c r="G1271" t="s">
        <v>36</v>
      </c>
      <c r="H1271">
        <v>464174</v>
      </c>
      <c r="I1271" t="s">
        <v>51</v>
      </c>
      <c r="J1271" t="s">
        <v>1059</v>
      </c>
      <c r="M1271" t="s">
        <v>40</v>
      </c>
      <c r="N1271" t="s">
        <v>41</v>
      </c>
      <c r="O1271" t="s">
        <v>1060</v>
      </c>
      <c r="P1271">
        <v>33</v>
      </c>
      <c r="Q1271">
        <v>0</v>
      </c>
      <c r="R1271">
        <v>0</v>
      </c>
      <c r="S1271">
        <v>0</v>
      </c>
      <c r="T1271" t="s">
        <v>54</v>
      </c>
      <c r="U1271" t="s">
        <v>55</v>
      </c>
      <c r="W1271" t="s">
        <v>3649</v>
      </c>
      <c r="X1271" t="s">
        <v>1356</v>
      </c>
      <c r="Y1271">
        <v>0</v>
      </c>
      <c r="AA1271" t="s">
        <v>40</v>
      </c>
      <c r="AB1271" t="s">
        <v>46</v>
      </c>
      <c r="AC1271" t="s">
        <v>47</v>
      </c>
      <c r="AG1271" t="s">
        <v>4087</v>
      </c>
      <c r="AJ1271" t="s">
        <v>40</v>
      </c>
      <c r="AK1271">
        <v>5019348543</v>
      </c>
      <c r="AL1271" t="s">
        <v>1359</v>
      </c>
      <c r="AM1271" t="s">
        <v>2687</v>
      </c>
      <c r="AO1271" s="1">
        <v>45968</v>
      </c>
      <c r="AP1271" s="5">
        <v>0.70833333333333337</v>
      </c>
      <c r="AS1271">
        <v>1</v>
      </c>
    </row>
    <row r="1272" spans="1:45" x14ac:dyDescent="0.2">
      <c r="A1272">
        <f t="shared" si="78"/>
        <v>2025</v>
      </c>
      <c r="B1272">
        <f t="shared" si="79"/>
        <v>11</v>
      </c>
      <c r="C1272">
        <f t="shared" si="80"/>
        <v>45</v>
      </c>
      <c r="D1272" s="2">
        <f t="shared" si="81"/>
        <v>45968</v>
      </c>
      <c r="E1272" s="1">
        <v>45968.75</v>
      </c>
      <c r="F1272" t="s">
        <v>4088</v>
      </c>
      <c r="G1272" t="s">
        <v>36</v>
      </c>
      <c r="H1272">
        <v>467432</v>
      </c>
      <c r="I1272" t="s">
        <v>51</v>
      </c>
      <c r="J1272" t="s">
        <v>194</v>
      </c>
      <c r="M1272" t="s">
        <v>40</v>
      </c>
      <c r="N1272" t="s">
        <v>41</v>
      </c>
      <c r="O1272" t="s">
        <v>189</v>
      </c>
      <c r="P1272">
        <v>33</v>
      </c>
      <c r="Q1272">
        <v>0</v>
      </c>
      <c r="R1272">
        <v>0</v>
      </c>
      <c r="S1272">
        <v>0</v>
      </c>
      <c r="T1272" t="s">
        <v>54</v>
      </c>
      <c r="U1272" t="s">
        <v>55</v>
      </c>
      <c r="W1272" t="s">
        <v>3975</v>
      </c>
      <c r="Y1272">
        <v>0</v>
      </c>
      <c r="AA1272" t="s">
        <v>40</v>
      </c>
      <c r="AB1272" t="s">
        <v>46</v>
      </c>
      <c r="AC1272" t="s">
        <v>47</v>
      </c>
      <c r="AG1272" t="s">
        <v>4089</v>
      </c>
      <c r="AJ1272" t="s">
        <v>40</v>
      </c>
      <c r="AK1272">
        <v>5019345099</v>
      </c>
      <c r="AO1272" s="1">
        <v>45968</v>
      </c>
      <c r="AP1272" s="5">
        <v>0.75</v>
      </c>
      <c r="AS1272">
        <v>1</v>
      </c>
    </row>
    <row r="1273" spans="1:45" x14ac:dyDescent="0.2">
      <c r="A1273">
        <f t="shared" si="78"/>
        <v>2025</v>
      </c>
      <c r="B1273">
        <f t="shared" si="79"/>
        <v>11</v>
      </c>
      <c r="C1273">
        <f t="shared" si="80"/>
        <v>45</v>
      </c>
      <c r="D1273" s="2">
        <f t="shared" si="81"/>
        <v>45968</v>
      </c>
      <c r="E1273" s="1">
        <v>45968.75</v>
      </c>
      <c r="F1273" t="s">
        <v>4090</v>
      </c>
      <c r="G1273" t="s">
        <v>36</v>
      </c>
      <c r="H1273" t="s">
        <v>4091</v>
      </c>
      <c r="I1273" t="s">
        <v>78</v>
      </c>
      <c r="J1273" t="s">
        <v>163</v>
      </c>
      <c r="M1273" t="s">
        <v>40</v>
      </c>
      <c r="N1273" t="s">
        <v>41</v>
      </c>
      <c r="O1273" t="s">
        <v>356</v>
      </c>
      <c r="P1273">
        <v>66</v>
      </c>
      <c r="Q1273">
        <v>0</v>
      </c>
      <c r="R1273">
        <v>0</v>
      </c>
      <c r="S1273">
        <v>0</v>
      </c>
      <c r="T1273" t="s">
        <v>54</v>
      </c>
      <c r="U1273" t="s">
        <v>55</v>
      </c>
      <c r="W1273" t="s">
        <v>4092</v>
      </c>
      <c r="Y1273">
        <v>0</v>
      </c>
      <c r="AA1273" t="s">
        <v>40</v>
      </c>
      <c r="AB1273" t="s">
        <v>46</v>
      </c>
      <c r="AC1273" t="s">
        <v>47</v>
      </c>
      <c r="AD1273" t="s">
        <v>81</v>
      </c>
      <c r="AE1273" t="s">
        <v>81</v>
      </c>
      <c r="AG1273" t="s">
        <v>4093</v>
      </c>
      <c r="AJ1273" t="s">
        <v>40</v>
      </c>
      <c r="AK1273" t="s">
        <v>4094</v>
      </c>
      <c r="AO1273" s="1">
        <v>45968</v>
      </c>
      <c r="AP1273" s="5">
        <v>0.75</v>
      </c>
      <c r="AS1273">
        <v>1</v>
      </c>
    </row>
    <row r="1274" spans="1:45" x14ac:dyDescent="0.2">
      <c r="A1274">
        <f t="shared" si="78"/>
        <v>2025</v>
      </c>
      <c r="B1274">
        <f t="shared" si="79"/>
        <v>11</v>
      </c>
      <c r="C1274">
        <f t="shared" si="80"/>
        <v>45</v>
      </c>
      <c r="D1274" s="2">
        <f t="shared" si="81"/>
        <v>45968</v>
      </c>
      <c r="E1274" s="1">
        <v>45968.75</v>
      </c>
      <c r="F1274" t="s">
        <v>4095</v>
      </c>
      <c r="G1274" t="s">
        <v>36</v>
      </c>
      <c r="H1274">
        <v>467431</v>
      </c>
      <c r="I1274" t="s">
        <v>51</v>
      </c>
      <c r="J1274" t="s">
        <v>188</v>
      </c>
      <c r="M1274" t="s">
        <v>40</v>
      </c>
      <c r="N1274" t="s">
        <v>41</v>
      </c>
      <c r="O1274" t="s">
        <v>189</v>
      </c>
      <c r="P1274">
        <v>33</v>
      </c>
      <c r="Q1274">
        <v>0</v>
      </c>
      <c r="R1274">
        <v>0</v>
      </c>
      <c r="S1274">
        <v>0</v>
      </c>
      <c r="T1274" t="s">
        <v>54</v>
      </c>
      <c r="U1274" t="s">
        <v>55</v>
      </c>
      <c r="W1274" t="s">
        <v>4096</v>
      </c>
      <c r="Y1274">
        <v>0</v>
      </c>
      <c r="AA1274" t="s">
        <v>40</v>
      </c>
      <c r="AB1274" t="s">
        <v>46</v>
      </c>
      <c r="AC1274" t="s">
        <v>47</v>
      </c>
      <c r="AG1274" t="s">
        <v>4097</v>
      </c>
      <c r="AJ1274" t="s">
        <v>40</v>
      </c>
      <c r="AK1274">
        <v>5019338353</v>
      </c>
      <c r="AO1274" s="1">
        <v>45968</v>
      </c>
      <c r="AP1274" s="5">
        <v>0.75</v>
      </c>
      <c r="AS1274">
        <v>1</v>
      </c>
    </row>
    <row r="1275" spans="1:45" x14ac:dyDescent="0.2">
      <c r="A1275">
        <f t="shared" si="78"/>
        <v>2025</v>
      </c>
      <c r="B1275">
        <f t="shared" si="79"/>
        <v>11</v>
      </c>
      <c r="C1275">
        <f t="shared" si="80"/>
        <v>45</v>
      </c>
      <c r="D1275" s="2">
        <f t="shared" si="81"/>
        <v>45968</v>
      </c>
      <c r="E1275" s="1">
        <v>45968.791666666664</v>
      </c>
      <c r="F1275" t="s">
        <v>4098</v>
      </c>
      <c r="G1275" t="s">
        <v>36</v>
      </c>
      <c r="H1275">
        <v>464155</v>
      </c>
      <c r="I1275" t="s">
        <v>51</v>
      </c>
      <c r="J1275" t="s">
        <v>163</v>
      </c>
      <c r="M1275" t="s">
        <v>40</v>
      </c>
      <c r="N1275" t="s">
        <v>41</v>
      </c>
      <c r="O1275" t="s">
        <v>530</v>
      </c>
      <c r="P1275">
        <v>33</v>
      </c>
      <c r="Q1275">
        <v>0</v>
      </c>
      <c r="R1275">
        <v>0</v>
      </c>
      <c r="S1275">
        <v>0</v>
      </c>
      <c r="T1275" t="s">
        <v>54</v>
      </c>
      <c r="U1275" t="s">
        <v>55</v>
      </c>
      <c r="W1275" t="s">
        <v>3649</v>
      </c>
      <c r="Y1275">
        <v>0</v>
      </c>
      <c r="AA1275" t="s">
        <v>40</v>
      </c>
      <c r="AB1275" t="s">
        <v>46</v>
      </c>
      <c r="AC1275" t="s">
        <v>47</v>
      </c>
      <c r="AG1275" t="s">
        <v>4099</v>
      </c>
      <c r="AJ1275" t="s">
        <v>40</v>
      </c>
      <c r="AK1275">
        <v>5019353453</v>
      </c>
      <c r="AO1275" s="1">
        <v>45968</v>
      </c>
      <c r="AP1275" s="5">
        <v>0.79166666666666663</v>
      </c>
      <c r="AS1275">
        <v>1</v>
      </c>
    </row>
    <row r="1276" spans="1:45" x14ac:dyDescent="0.2">
      <c r="A1276">
        <f t="shared" si="78"/>
        <v>2025</v>
      </c>
      <c r="B1276">
        <f t="shared" si="79"/>
        <v>11</v>
      </c>
      <c r="C1276">
        <f t="shared" si="80"/>
        <v>45</v>
      </c>
      <c r="D1276" s="2">
        <f t="shared" si="81"/>
        <v>45968</v>
      </c>
      <c r="E1276" s="1">
        <v>45968.791666666664</v>
      </c>
      <c r="F1276" t="s">
        <v>4100</v>
      </c>
      <c r="G1276" t="s">
        <v>36</v>
      </c>
      <c r="H1276">
        <v>464160</v>
      </c>
      <c r="I1276" t="s">
        <v>51</v>
      </c>
      <c r="J1276" t="s">
        <v>200</v>
      </c>
      <c r="M1276" t="s">
        <v>40</v>
      </c>
      <c r="N1276" t="s">
        <v>41</v>
      </c>
      <c r="O1276" t="s">
        <v>182</v>
      </c>
      <c r="P1276">
        <v>33</v>
      </c>
      <c r="Q1276">
        <v>0</v>
      </c>
      <c r="R1276">
        <v>0</v>
      </c>
      <c r="S1276">
        <v>0</v>
      </c>
      <c r="T1276" t="s">
        <v>54</v>
      </c>
      <c r="U1276" t="s">
        <v>55</v>
      </c>
      <c r="W1276" t="s">
        <v>3649</v>
      </c>
      <c r="Y1276">
        <v>0</v>
      </c>
      <c r="AA1276" t="s">
        <v>40</v>
      </c>
      <c r="AB1276" t="s">
        <v>46</v>
      </c>
      <c r="AC1276" t="s">
        <v>47</v>
      </c>
      <c r="AG1276" t="s">
        <v>4101</v>
      </c>
      <c r="AJ1276" t="s">
        <v>40</v>
      </c>
      <c r="AK1276">
        <v>5019355324</v>
      </c>
      <c r="AL1276" t="s">
        <v>4102</v>
      </c>
      <c r="AM1276" t="s">
        <v>4103</v>
      </c>
      <c r="AO1276" s="1">
        <v>45968</v>
      </c>
      <c r="AP1276" s="5">
        <v>0.79166666666666663</v>
      </c>
      <c r="AS1276">
        <v>1</v>
      </c>
    </row>
    <row r="1277" spans="1:45" x14ac:dyDescent="0.2">
      <c r="A1277">
        <f t="shared" si="78"/>
        <v>2025</v>
      </c>
      <c r="B1277">
        <f t="shared" si="79"/>
        <v>11</v>
      </c>
      <c r="C1277">
        <f t="shared" si="80"/>
        <v>45</v>
      </c>
      <c r="D1277" s="2">
        <f t="shared" si="81"/>
        <v>45968</v>
      </c>
      <c r="E1277" s="1">
        <v>45968.791666666664</v>
      </c>
      <c r="F1277" t="s">
        <v>4104</v>
      </c>
      <c r="G1277" t="s">
        <v>36</v>
      </c>
      <c r="H1277">
        <v>464176</v>
      </c>
      <c r="I1277" t="s">
        <v>51</v>
      </c>
      <c r="J1277" t="s">
        <v>188</v>
      </c>
      <c r="M1277" t="s">
        <v>40</v>
      </c>
      <c r="N1277" t="s">
        <v>41</v>
      </c>
      <c r="O1277" t="s">
        <v>172</v>
      </c>
      <c r="P1277">
        <v>33</v>
      </c>
      <c r="Q1277">
        <v>0</v>
      </c>
      <c r="R1277">
        <v>0</v>
      </c>
      <c r="S1277">
        <v>0</v>
      </c>
      <c r="T1277" t="s">
        <v>54</v>
      </c>
      <c r="U1277" t="s">
        <v>55</v>
      </c>
      <c r="W1277" t="s">
        <v>4105</v>
      </c>
      <c r="Y1277">
        <v>0</v>
      </c>
      <c r="AA1277" t="s">
        <v>40</v>
      </c>
      <c r="AB1277" t="s">
        <v>46</v>
      </c>
      <c r="AC1277" t="s">
        <v>47</v>
      </c>
      <c r="AG1277" t="s">
        <v>4106</v>
      </c>
      <c r="AJ1277" t="s">
        <v>40</v>
      </c>
      <c r="AK1277">
        <v>5019346862</v>
      </c>
      <c r="AO1277" s="1">
        <v>45968</v>
      </c>
      <c r="AP1277" s="5">
        <v>0.79166666666666663</v>
      </c>
      <c r="AS1277">
        <v>1</v>
      </c>
    </row>
    <row r="1278" spans="1:45" x14ac:dyDescent="0.2">
      <c r="A1278">
        <f t="shared" si="78"/>
        <v>2025</v>
      </c>
      <c r="B1278">
        <f t="shared" si="79"/>
        <v>11</v>
      </c>
      <c r="C1278">
        <f t="shared" si="80"/>
        <v>45</v>
      </c>
      <c r="D1278" s="2">
        <f t="shared" si="81"/>
        <v>45968</v>
      </c>
      <c r="E1278" s="1">
        <v>45968.833333333336</v>
      </c>
      <c r="F1278" t="s">
        <v>4107</v>
      </c>
      <c r="G1278" t="s">
        <v>36</v>
      </c>
      <c r="H1278" t="s">
        <v>4108</v>
      </c>
      <c r="I1278" t="s">
        <v>218</v>
      </c>
      <c r="J1278" t="s">
        <v>194</v>
      </c>
      <c r="M1278" t="s">
        <v>40</v>
      </c>
      <c r="N1278" t="s">
        <v>41</v>
      </c>
      <c r="O1278" t="s">
        <v>4109</v>
      </c>
      <c r="P1278">
        <v>99</v>
      </c>
      <c r="Q1278">
        <v>0</v>
      </c>
      <c r="R1278">
        <v>0</v>
      </c>
      <c r="S1278">
        <v>0</v>
      </c>
      <c r="T1278" t="s">
        <v>54</v>
      </c>
      <c r="U1278" t="s">
        <v>55</v>
      </c>
      <c r="W1278" t="s">
        <v>4110</v>
      </c>
      <c r="Y1278">
        <v>0</v>
      </c>
      <c r="AA1278" t="s">
        <v>40</v>
      </c>
      <c r="AB1278" t="s">
        <v>46</v>
      </c>
      <c r="AC1278" t="s">
        <v>47</v>
      </c>
      <c r="AD1278" t="s">
        <v>223</v>
      </c>
      <c r="AE1278" t="s">
        <v>223</v>
      </c>
      <c r="AG1278" t="s">
        <v>4111</v>
      </c>
      <c r="AJ1278" t="s">
        <v>40</v>
      </c>
      <c r="AK1278" t="s">
        <v>4112</v>
      </c>
      <c r="AO1278" s="1">
        <v>45968</v>
      </c>
      <c r="AP1278" s="5">
        <v>0.83333333333333337</v>
      </c>
      <c r="AS1278">
        <v>1</v>
      </c>
    </row>
    <row r="1279" spans="1:45" x14ac:dyDescent="0.2">
      <c r="A1279">
        <f t="shared" si="78"/>
        <v>2025</v>
      </c>
      <c r="B1279">
        <f t="shared" si="79"/>
        <v>11</v>
      </c>
      <c r="C1279">
        <f t="shared" si="80"/>
        <v>45</v>
      </c>
      <c r="D1279" s="2">
        <f t="shared" si="81"/>
        <v>45968</v>
      </c>
      <c r="E1279" s="1">
        <v>45968.916666666664</v>
      </c>
      <c r="F1279" t="s">
        <v>4113</v>
      </c>
      <c r="G1279" t="s">
        <v>36</v>
      </c>
      <c r="H1279" t="s">
        <v>253</v>
      </c>
      <c r="I1279" t="s">
        <v>38</v>
      </c>
      <c r="J1279" t="s">
        <v>254</v>
      </c>
      <c r="M1279" t="s">
        <v>40</v>
      </c>
      <c r="N1279" t="s">
        <v>41</v>
      </c>
      <c r="O1279" t="s">
        <v>42</v>
      </c>
      <c r="P1279">
        <v>1</v>
      </c>
      <c r="Q1279">
        <v>0</v>
      </c>
      <c r="R1279">
        <v>0</v>
      </c>
      <c r="S1279">
        <v>0</v>
      </c>
      <c r="T1279">
        <v>5019377122</v>
      </c>
      <c r="U1279" t="s">
        <v>101</v>
      </c>
      <c r="W1279" t="s">
        <v>3997</v>
      </c>
      <c r="Y1279">
        <v>0</v>
      </c>
      <c r="AA1279" t="s">
        <v>40</v>
      </c>
      <c r="AB1279" t="s">
        <v>46</v>
      </c>
      <c r="AC1279" t="s">
        <v>47</v>
      </c>
      <c r="AF1279" t="s">
        <v>48</v>
      </c>
      <c r="AJ1279" t="s">
        <v>40</v>
      </c>
      <c r="AK1279" t="s">
        <v>49</v>
      </c>
      <c r="AO1279" s="1">
        <v>45968</v>
      </c>
      <c r="AP1279" s="5">
        <v>0.91666666666666663</v>
      </c>
      <c r="AS1279">
        <v>1</v>
      </c>
    </row>
    <row r="1280" spans="1:45" x14ac:dyDescent="0.2">
      <c r="A1280">
        <f t="shared" si="78"/>
        <v>2025</v>
      </c>
      <c r="B1280">
        <f t="shared" si="79"/>
        <v>11</v>
      </c>
      <c r="C1280">
        <f t="shared" si="80"/>
        <v>46</v>
      </c>
      <c r="D1280" s="2">
        <f t="shared" si="81"/>
        <v>45971</v>
      </c>
      <c r="E1280" s="1">
        <v>45971.291666666664</v>
      </c>
      <c r="F1280" t="s">
        <v>4114</v>
      </c>
      <c r="G1280" t="s">
        <v>36</v>
      </c>
      <c r="H1280" t="s">
        <v>4115</v>
      </c>
      <c r="I1280" t="s">
        <v>78</v>
      </c>
      <c r="J1280" t="s">
        <v>52</v>
      </c>
      <c r="M1280" t="s">
        <v>40</v>
      </c>
      <c r="N1280" t="s">
        <v>41</v>
      </c>
      <c r="O1280" t="s">
        <v>145</v>
      </c>
      <c r="P1280">
        <v>66</v>
      </c>
      <c r="Q1280">
        <v>0</v>
      </c>
      <c r="R1280">
        <v>0</v>
      </c>
      <c r="S1280">
        <v>0</v>
      </c>
      <c r="T1280" t="s">
        <v>54</v>
      </c>
      <c r="U1280" t="s">
        <v>55</v>
      </c>
      <c r="W1280" t="s">
        <v>4116</v>
      </c>
      <c r="Y1280">
        <v>0</v>
      </c>
      <c r="AA1280" t="s">
        <v>40</v>
      </c>
      <c r="AB1280" t="s">
        <v>46</v>
      </c>
      <c r="AC1280" t="s">
        <v>47</v>
      </c>
      <c r="AD1280" t="s">
        <v>81</v>
      </c>
      <c r="AE1280" t="s">
        <v>81</v>
      </c>
      <c r="AG1280" t="s">
        <v>4117</v>
      </c>
      <c r="AJ1280" t="s">
        <v>40</v>
      </c>
      <c r="AK1280" t="s">
        <v>4118</v>
      </c>
      <c r="AO1280" s="1">
        <v>45971</v>
      </c>
      <c r="AP1280" s="5">
        <v>0.29166666666666669</v>
      </c>
      <c r="AS1280">
        <v>1</v>
      </c>
    </row>
    <row r="1281" spans="1:45" x14ac:dyDescent="0.2">
      <c r="A1281">
        <f t="shared" si="78"/>
        <v>2025</v>
      </c>
      <c r="B1281">
        <f t="shared" si="79"/>
        <v>11</v>
      </c>
      <c r="C1281">
        <f t="shared" si="80"/>
        <v>46</v>
      </c>
      <c r="D1281" s="2">
        <f t="shared" si="81"/>
        <v>45971</v>
      </c>
      <c r="E1281" s="1">
        <v>45971.333333333336</v>
      </c>
      <c r="F1281" t="s">
        <v>4119</v>
      </c>
      <c r="G1281" t="s">
        <v>36</v>
      </c>
      <c r="H1281" t="s">
        <v>2074</v>
      </c>
      <c r="I1281" t="s">
        <v>38</v>
      </c>
      <c r="J1281" t="s">
        <v>99</v>
      </c>
      <c r="M1281" t="s">
        <v>40</v>
      </c>
      <c r="N1281" t="s">
        <v>41</v>
      </c>
      <c r="O1281" t="s">
        <v>42</v>
      </c>
      <c r="P1281">
        <v>20</v>
      </c>
      <c r="Q1281">
        <v>0</v>
      </c>
      <c r="R1281">
        <v>0</v>
      </c>
      <c r="S1281">
        <v>0</v>
      </c>
      <c r="T1281" t="s">
        <v>4120</v>
      </c>
      <c r="U1281" t="s">
        <v>44</v>
      </c>
      <c r="W1281" t="s">
        <v>4121</v>
      </c>
      <c r="Y1281">
        <v>0</v>
      </c>
      <c r="AA1281" t="s">
        <v>40</v>
      </c>
      <c r="AB1281" t="s">
        <v>46</v>
      </c>
      <c r="AC1281" t="s">
        <v>47</v>
      </c>
      <c r="AF1281" t="s">
        <v>367</v>
      </c>
      <c r="AJ1281" t="s">
        <v>40</v>
      </c>
      <c r="AK1281" t="s">
        <v>49</v>
      </c>
      <c r="AM1281" t="s">
        <v>2077</v>
      </c>
      <c r="AN1281" t="s">
        <v>4122</v>
      </c>
      <c r="AO1281" s="1">
        <v>45971</v>
      </c>
      <c r="AP1281" s="5">
        <v>0.33333333333333331</v>
      </c>
      <c r="AS1281">
        <v>1</v>
      </c>
    </row>
    <row r="1282" spans="1:45" x14ac:dyDescent="0.2">
      <c r="A1282">
        <f t="shared" ref="A1282:A1345" si="82">YEAR(D1282)</f>
        <v>2025</v>
      </c>
      <c r="B1282">
        <f t="shared" ref="B1282:B1345" si="83">MONTH(D1282)</f>
        <v>11</v>
      </c>
      <c r="C1282">
        <f t="shared" ref="C1282:C1345" si="84">WEEKNUM(D1282)</f>
        <v>46</v>
      </c>
      <c r="D1282" s="2">
        <f t="shared" ref="D1282:D1345" si="85">INT(E1282)</f>
        <v>45971</v>
      </c>
      <c r="E1282" s="1">
        <v>45971.333333333336</v>
      </c>
      <c r="F1282" t="s">
        <v>4123</v>
      </c>
      <c r="G1282" t="s">
        <v>36</v>
      </c>
      <c r="H1282">
        <v>471091</v>
      </c>
      <c r="I1282" t="s">
        <v>51</v>
      </c>
      <c r="J1282" t="s">
        <v>52</v>
      </c>
      <c r="M1282" t="s">
        <v>40</v>
      </c>
      <c r="N1282" t="s">
        <v>41</v>
      </c>
      <c r="O1282" t="s">
        <v>433</v>
      </c>
      <c r="P1282">
        <v>33</v>
      </c>
      <c r="Q1282">
        <v>0</v>
      </c>
      <c r="R1282">
        <v>0</v>
      </c>
      <c r="S1282">
        <v>0</v>
      </c>
      <c r="T1282" t="s">
        <v>54</v>
      </c>
      <c r="U1282" t="s">
        <v>55</v>
      </c>
      <c r="W1282" t="s">
        <v>3776</v>
      </c>
      <c r="Y1282">
        <v>0</v>
      </c>
      <c r="AA1282" t="s">
        <v>40</v>
      </c>
      <c r="AB1282" t="s">
        <v>46</v>
      </c>
      <c r="AC1282" t="s">
        <v>47</v>
      </c>
      <c r="AG1282" t="s">
        <v>4124</v>
      </c>
      <c r="AJ1282" t="s">
        <v>40</v>
      </c>
      <c r="AK1282">
        <v>5019370841</v>
      </c>
      <c r="AO1282" s="1">
        <v>45971</v>
      </c>
      <c r="AP1282" s="5">
        <v>0.33333333333333331</v>
      </c>
      <c r="AS1282">
        <v>1</v>
      </c>
    </row>
    <row r="1283" spans="1:45" x14ac:dyDescent="0.2">
      <c r="A1283">
        <f t="shared" si="82"/>
        <v>2025</v>
      </c>
      <c r="B1283">
        <f t="shared" si="83"/>
        <v>11</v>
      </c>
      <c r="C1283">
        <f t="shared" si="84"/>
        <v>46</v>
      </c>
      <c r="D1283" s="2">
        <f t="shared" si="85"/>
        <v>45971</v>
      </c>
      <c r="E1283" s="1">
        <v>45971.375</v>
      </c>
      <c r="F1283" t="s">
        <v>4125</v>
      </c>
      <c r="G1283" t="s">
        <v>36</v>
      </c>
      <c r="H1283" t="s">
        <v>4126</v>
      </c>
      <c r="I1283" t="s">
        <v>38</v>
      </c>
      <c r="J1283" t="s">
        <v>645</v>
      </c>
      <c r="M1283" t="s">
        <v>40</v>
      </c>
      <c r="N1283" t="s">
        <v>41</v>
      </c>
      <c r="O1283" t="s">
        <v>42</v>
      </c>
      <c r="P1283">
        <v>20</v>
      </c>
      <c r="Q1283">
        <v>0</v>
      </c>
      <c r="R1283">
        <v>0</v>
      </c>
      <c r="S1283">
        <v>0</v>
      </c>
      <c r="T1283" t="s">
        <v>4127</v>
      </c>
      <c r="U1283" t="s">
        <v>44</v>
      </c>
      <c r="W1283" t="s">
        <v>4128</v>
      </c>
      <c r="Y1283">
        <v>0</v>
      </c>
      <c r="AA1283" t="s">
        <v>40</v>
      </c>
      <c r="AB1283" t="s">
        <v>46</v>
      </c>
      <c r="AC1283" t="s">
        <v>47</v>
      </c>
      <c r="AF1283" t="s">
        <v>62</v>
      </c>
      <c r="AJ1283" t="s">
        <v>40</v>
      </c>
      <c r="AK1283" t="s">
        <v>49</v>
      </c>
      <c r="AN1283">
        <v>260961707</v>
      </c>
      <c r="AO1283" s="1">
        <v>45971</v>
      </c>
      <c r="AP1283" s="5">
        <v>0.375</v>
      </c>
      <c r="AS1283">
        <v>1</v>
      </c>
    </row>
    <row r="1284" spans="1:45" x14ac:dyDescent="0.2">
      <c r="A1284">
        <f t="shared" si="82"/>
        <v>2025</v>
      </c>
      <c r="B1284">
        <f t="shared" si="83"/>
        <v>11</v>
      </c>
      <c r="C1284">
        <f t="shared" si="84"/>
        <v>46</v>
      </c>
      <c r="D1284" s="2">
        <f t="shared" si="85"/>
        <v>45971</v>
      </c>
      <c r="E1284" s="1">
        <v>45971.375</v>
      </c>
      <c r="F1284" t="s">
        <v>4129</v>
      </c>
      <c r="G1284" t="s">
        <v>36</v>
      </c>
      <c r="H1284" t="s">
        <v>264</v>
      </c>
      <c r="I1284" t="s">
        <v>38</v>
      </c>
      <c r="J1284" t="s">
        <v>265</v>
      </c>
      <c r="M1284" t="s">
        <v>40</v>
      </c>
      <c r="N1284" t="s">
        <v>41</v>
      </c>
      <c r="O1284" t="s">
        <v>42</v>
      </c>
      <c r="P1284">
        <v>23</v>
      </c>
      <c r="Q1284">
        <v>0</v>
      </c>
      <c r="R1284">
        <v>0</v>
      </c>
      <c r="S1284">
        <v>0</v>
      </c>
      <c r="T1284">
        <v>4505824047</v>
      </c>
      <c r="U1284" t="s">
        <v>55</v>
      </c>
      <c r="W1284" t="s">
        <v>4130</v>
      </c>
      <c r="Y1284">
        <v>0</v>
      </c>
      <c r="AA1284" t="s">
        <v>40</v>
      </c>
      <c r="AB1284" t="s">
        <v>46</v>
      </c>
      <c r="AC1284" t="s">
        <v>47</v>
      </c>
      <c r="AF1284" t="s">
        <v>48</v>
      </c>
      <c r="AJ1284" t="s">
        <v>40</v>
      </c>
      <c r="AK1284" t="s">
        <v>49</v>
      </c>
      <c r="AO1284" s="1">
        <v>45971</v>
      </c>
      <c r="AP1284" s="5">
        <v>0.375</v>
      </c>
      <c r="AS1284">
        <v>1</v>
      </c>
    </row>
    <row r="1285" spans="1:45" x14ac:dyDescent="0.2">
      <c r="A1285">
        <f t="shared" si="82"/>
        <v>2025</v>
      </c>
      <c r="B1285">
        <f t="shared" si="83"/>
        <v>11</v>
      </c>
      <c r="C1285">
        <f t="shared" si="84"/>
        <v>46</v>
      </c>
      <c r="D1285" s="2">
        <f t="shared" si="85"/>
        <v>45971</v>
      </c>
      <c r="E1285" s="1">
        <v>45971.416666666664</v>
      </c>
      <c r="F1285" t="s">
        <v>4131</v>
      </c>
      <c r="G1285" t="s">
        <v>36</v>
      </c>
      <c r="H1285" t="s">
        <v>37</v>
      </c>
      <c r="I1285" t="s">
        <v>38</v>
      </c>
      <c r="J1285" t="s">
        <v>112</v>
      </c>
      <c r="M1285" t="s">
        <v>40</v>
      </c>
      <c r="N1285" t="s">
        <v>41</v>
      </c>
      <c r="O1285" t="s">
        <v>42</v>
      </c>
      <c r="P1285">
        <v>23</v>
      </c>
      <c r="Q1285">
        <v>0</v>
      </c>
      <c r="R1285">
        <v>0</v>
      </c>
      <c r="S1285">
        <v>0</v>
      </c>
      <c r="T1285" t="s">
        <v>4132</v>
      </c>
      <c r="U1285" t="s">
        <v>44</v>
      </c>
      <c r="W1285" t="s">
        <v>4130</v>
      </c>
      <c r="Y1285">
        <v>0</v>
      </c>
      <c r="AA1285" t="s">
        <v>40</v>
      </c>
      <c r="AB1285" t="s">
        <v>46</v>
      </c>
      <c r="AC1285" t="s">
        <v>47</v>
      </c>
      <c r="AF1285" t="s">
        <v>48</v>
      </c>
      <c r="AJ1285" t="s">
        <v>40</v>
      </c>
      <c r="AK1285" t="s">
        <v>49</v>
      </c>
      <c r="AO1285" s="1">
        <v>45971</v>
      </c>
      <c r="AP1285" s="5">
        <v>0.41666666666666669</v>
      </c>
      <c r="AS1285">
        <v>1</v>
      </c>
    </row>
    <row r="1286" spans="1:45" x14ac:dyDescent="0.2">
      <c r="A1286">
        <f t="shared" si="82"/>
        <v>2025</v>
      </c>
      <c r="B1286">
        <f t="shared" si="83"/>
        <v>11</v>
      </c>
      <c r="C1286">
        <f t="shared" si="84"/>
        <v>46</v>
      </c>
      <c r="D1286" s="2">
        <f t="shared" si="85"/>
        <v>45971</v>
      </c>
      <c r="E1286" s="1">
        <v>45971.416666666664</v>
      </c>
      <c r="F1286" t="s">
        <v>4133</v>
      </c>
      <c r="G1286" t="s">
        <v>36</v>
      </c>
      <c r="H1286">
        <v>470166</v>
      </c>
      <c r="I1286" t="s">
        <v>51</v>
      </c>
      <c r="J1286" t="s">
        <v>52</v>
      </c>
      <c r="M1286" t="s">
        <v>40</v>
      </c>
      <c r="N1286" t="s">
        <v>41</v>
      </c>
      <c r="O1286" t="s">
        <v>53</v>
      </c>
      <c r="P1286">
        <v>33</v>
      </c>
      <c r="Q1286">
        <v>0</v>
      </c>
      <c r="R1286">
        <v>0</v>
      </c>
      <c r="S1286">
        <v>0</v>
      </c>
      <c r="T1286" t="s">
        <v>54</v>
      </c>
      <c r="U1286" t="s">
        <v>55</v>
      </c>
      <c r="W1286" t="s">
        <v>3509</v>
      </c>
      <c r="Y1286">
        <v>0</v>
      </c>
      <c r="AA1286" t="s">
        <v>40</v>
      </c>
      <c r="AB1286" t="s">
        <v>46</v>
      </c>
      <c r="AC1286" t="s">
        <v>47</v>
      </c>
      <c r="AG1286" t="s">
        <v>4134</v>
      </c>
      <c r="AJ1286" t="s">
        <v>40</v>
      </c>
      <c r="AK1286">
        <v>5019309935</v>
      </c>
      <c r="AO1286" s="1">
        <v>45971</v>
      </c>
      <c r="AP1286" s="5">
        <v>0.41666666666666669</v>
      </c>
      <c r="AS1286">
        <v>1</v>
      </c>
    </row>
    <row r="1287" spans="1:45" x14ac:dyDescent="0.2">
      <c r="A1287">
        <f t="shared" si="82"/>
        <v>2025</v>
      </c>
      <c r="B1287">
        <f t="shared" si="83"/>
        <v>11</v>
      </c>
      <c r="C1287">
        <f t="shared" si="84"/>
        <v>46</v>
      </c>
      <c r="D1287" s="2">
        <f t="shared" si="85"/>
        <v>45971</v>
      </c>
      <c r="E1287" s="1">
        <v>45971.416666666664</v>
      </c>
      <c r="F1287" t="s">
        <v>4135</v>
      </c>
      <c r="G1287" t="s">
        <v>36</v>
      </c>
      <c r="H1287" t="s">
        <v>4136</v>
      </c>
      <c r="I1287" t="s">
        <v>38</v>
      </c>
      <c r="J1287" t="s">
        <v>60</v>
      </c>
      <c r="M1287" t="s">
        <v>40</v>
      </c>
      <c r="N1287" t="s">
        <v>41</v>
      </c>
      <c r="O1287" t="s">
        <v>42</v>
      </c>
      <c r="P1287">
        <v>20</v>
      </c>
      <c r="Q1287">
        <v>0</v>
      </c>
      <c r="R1287">
        <v>0</v>
      </c>
      <c r="S1287">
        <v>0</v>
      </c>
      <c r="T1287" t="s">
        <v>4137</v>
      </c>
      <c r="U1287" t="s">
        <v>44</v>
      </c>
      <c r="W1287" t="s">
        <v>4138</v>
      </c>
      <c r="Y1287">
        <v>0</v>
      </c>
      <c r="AA1287" t="s">
        <v>40</v>
      </c>
      <c r="AB1287" t="s">
        <v>46</v>
      </c>
      <c r="AC1287" t="s">
        <v>47</v>
      </c>
      <c r="AF1287" t="s">
        <v>133</v>
      </c>
      <c r="AJ1287" t="s">
        <v>40</v>
      </c>
      <c r="AK1287" t="s">
        <v>49</v>
      </c>
      <c r="AN1287">
        <v>259556237</v>
      </c>
      <c r="AO1287" s="1">
        <v>45971</v>
      </c>
      <c r="AP1287" s="5">
        <v>0.41666666666666669</v>
      </c>
      <c r="AS1287">
        <v>1</v>
      </c>
    </row>
    <row r="1288" spans="1:45" x14ac:dyDescent="0.2">
      <c r="A1288">
        <f t="shared" si="82"/>
        <v>2025</v>
      </c>
      <c r="B1288">
        <f t="shared" si="83"/>
        <v>11</v>
      </c>
      <c r="C1288">
        <f t="shared" si="84"/>
        <v>46</v>
      </c>
      <c r="D1288" s="2">
        <f t="shared" si="85"/>
        <v>45971</v>
      </c>
      <c r="E1288" s="1">
        <v>45971.416666666664</v>
      </c>
      <c r="F1288" t="s">
        <v>4139</v>
      </c>
      <c r="G1288" t="s">
        <v>36</v>
      </c>
      <c r="H1288" t="s">
        <v>4140</v>
      </c>
      <c r="I1288" t="s">
        <v>38</v>
      </c>
      <c r="J1288" t="s">
        <v>645</v>
      </c>
      <c r="M1288" t="s">
        <v>40</v>
      </c>
      <c r="N1288" t="s">
        <v>41</v>
      </c>
      <c r="O1288" t="s">
        <v>42</v>
      </c>
      <c r="P1288">
        <v>20</v>
      </c>
      <c r="Q1288">
        <v>0</v>
      </c>
      <c r="R1288">
        <v>0</v>
      </c>
      <c r="S1288">
        <v>0</v>
      </c>
      <c r="T1288">
        <v>5019335301</v>
      </c>
      <c r="U1288" t="s">
        <v>44</v>
      </c>
      <c r="W1288" t="s">
        <v>4141</v>
      </c>
      <c r="Y1288">
        <v>0</v>
      </c>
      <c r="AA1288" t="s">
        <v>40</v>
      </c>
      <c r="AB1288" t="s">
        <v>46</v>
      </c>
      <c r="AC1288" t="s">
        <v>47</v>
      </c>
      <c r="AF1288" t="s">
        <v>62</v>
      </c>
      <c r="AJ1288" t="s">
        <v>40</v>
      </c>
      <c r="AK1288" t="s">
        <v>49</v>
      </c>
      <c r="AN1288">
        <v>261583310</v>
      </c>
      <c r="AO1288" s="1">
        <v>45971</v>
      </c>
      <c r="AP1288" s="5">
        <v>0.41666666666666669</v>
      </c>
      <c r="AS1288">
        <v>1</v>
      </c>
    </row>
    <row r="1289" spans="1:45" x14ac:dyDescent="0.2">
      <c r="A1289">
        <f t="shared" si="82"/>
        <v>2025</v>
      </c>
      <c r="B1289">
        <f t="shared" si="83"/>
        <v>11</v>
      </c>
      <c r="C1289">
        <f t="shared" si="84"/>
        <v>46</v>
      </c>
      <c r="D1289" s="2">
        <f t="shared" si="85"/>
        <v>45971</v>
      </c>
      <c r="E1289" s="1">
        <v>45971.458333333336</v>
      </c>
      <c r="F1289" t="s">
        <v>4142</v>
      </c>
      <c r="G1289" t="s">
        <v>36</v>
      </c>
      <c r="H1289">
        <v>467185</v>
      </c>
      <c r="I1289" t="s">
        <v>51</v>
      </c>
      <c r="J1289" t="s">
        <v>52</v>
      </c>
      <c r="M1289" t="s">
        <v>40</v>
      </c>
      <c r="N1289" t="s">
        <v>41</v>
      </c>
      <c r="O1289" t="s">
        <v>433</v>
      </c>
      <c r="P1289">
        <v>33</v>
      </c>
      <c r="Q1289">
        <v>0</v>
      </c>
      <c r="R1289">
        <v>0</v>
      </c>
      <c r="S1289">
        <v>0</v>
      </c>
      <c r="T1289" t="s">
        <v>54</v>
      </c>
      <c r="U1289" t="s">
        <v>55</v>
      </c>
      <c r="W1289" t="s">
        <v>4143</v>
      </c>
      <c r="Y1289">
        <v>0</v>
      </c>
      <c r="AA1289" t="s">
        <v>40</v>
      </c>
      <c r="AB1289" t="s">
        <v>46</v>
      </c>
      <c r="AC1289" t="s">
        <v>47</v>
      </c>
      <c r="AG1289" t="s">
        <v>4144</v>
      </c>
      <c r="AJ1289" t="s">
        <v>40</v>
      </c>
      <c r="AK1289">
        <v>5019345073</v>
      </c>
      <c r="AO1289" s="1">
        <v>45971</v>
      </c>
      <c r="AP1289" s="5">
        <v>0.45833333333333331</v>
      </c>
      <c r="AS1289">
        <v>1</v>
      </c>
    </row>
    <row r="1290" spans="1:45" x14ac:dyDescent="0.2">
      <c r="A1290">
        <f t="shared" si="82"/>
        <v>2025</v>
      </c>
      <c r="B1290">
        <f t="shared" si="83"/>
        <v>11</v>
      </c>
      <c r="C1290">
        <f t="shared" si="84"/>
        <v>46</v>
      </c>
      <c r="D1290" s="2">
        <f t="shared" si="85"/>
        <v>45971</v>
      </c>
      <c r="E1290" s="1">
        <v>45971.458333333336</v>
      </c>
      <c r="F1290" t="s">
        <v>4145</v>
      </c>
      <c r="G1290" t="s">
        <v>36</v>
      </c>
      <c r="H1290" t="s">
        <v>111</v>
      </c>
      <c r="I1290" t="s">
        <v>38</v>
      </c>
      <c r="J1290" t="s">
        <v>99</v>
      </c>
      <c r="M1290" t="s">
        <v>40</v>
      </c>
      <c r="N1290" t="s">
        <v>41</v>
      </c>
      <c r="O1290" t="s">
        <v>42</v>
      </c>
      <c r="P1290">
        <v>23</v>
      </c>
      <c r="Q1290">
        <v>0</v>
      </c>
      <c r="R1290">
        <v>0</v>
      </c>
      <c r="S1290">
        <v>0</v>
      </c>
      <c r="T1290" t="s">
        <v>4146</v>
      </c>
      <c r="U1290" t="s">
        <v>44</v>
      </c>
      <c r="W1290" t="s">
        <v>4130</v>
      </c>
      <c r="Y1290">
        <v>0</v>
      </c>
      <c r="AA1290" t="s">
        <v>40</v>
      </c>
      <c r="AB1290" t="s">
        <v>46</v>
      </c>
      <c r="AC1290" t="s">
        <v>47</v>
      </c>
      <c r="AF1290" t="s">
        <v>48</v>
      </c>
      <c r="AJ1290" t="s">
        <v>40</v>
      </c>
      <c r="AK1290" t="s">
        <v>49</v>
      </c>
      <c r="AO1290" s="1">
        <v>45971</v>
      </c>
      <c r="AP1290" s="5">
        <v>0.45833333333333331</v>
      </c>
      <c r="AS1290">
        <v>1</v>
      </c>
    </row>
    <row r="1291" spans="1:45" x14ac:dyDescent="0.2">
      <c r="A1291">
        <f t="shared" si="82"/>
        <v>2025</v>
      </c>
      <c r="B1291">
        <f t="shared" si="83"/>
        <v>11</v>
      </c>
      <c r="C1291">
        <f t="shared" si="84"/>
        <v>46</v>
      </c>
      <c r="D1291" s="2">
        <f t="shared" si="85"/>
        <v>45971</v>
      </c>
      <c r="E1291" s="1">
        <v>45971.458333333336</v>
      </c>
      <c r="F1291" t="s">
        <v>4147</v>
      </c>
      <c r="G1291" t="s">
        <v>36</v>
      </c>
      <c r="H1291" t="s">
        <v>2975</v>
      </c>
      <c r="I1291" t="s">
        <v>38</v>
      </c>
      <c r="J1291" t="s">
        <v>451</v>
      </c>
      <c r="M1291" t="s">
        <v>40</v>
      </c>
      <c r="N1291" t="s">
        <v>41</v>
      </c>
      <c r="O1291" t="s">
        <v>42</v>
      </c>
      <c r="P1291">
        <v>24</v>
      </c>
      <c r="Q1291">
        <v>0</v>
      </c>
      <c r="R1291">
        <v>0</v>
      </c>
      <c r="S1291">
        <v>0</v>
      </c>
      <c r="T1291" t="s">
        <v>4148</v>
      </c>
      <c r="U1291" t="s">
        <v>44</v>
      </c>
      <c r="W1291" t="s">
        <v>4130</v>
      </c>
      <c r="Y1291">
        <v>0</v>
      </c>
      <c r="AA1291" t="s">
        <v>40</v>
      </c>
      <c r="AB1291" t="s">
        <v>46</v>
      </c>
      <c r="AC1291" t="s">
        <v>47</v>
      </c>
      <c r="AF1291" t="s">
        <v>48</v>
      </c>
      <c r="AJ1291" t="s">
        <v>40</v>
      </c>
      <c r="AK1291" t="s">
        <v>49</v>
      </c>
      <c r="AO1291" s="1">
        <v>45971</v>
      </c>
      <c r="AP1291" s="5">
        <v>0.45833333333333331</v>
      </c>
      <c r="AS1291">
        <v>1</v>
      </c>
    </row>
    <row r="1292" spans="1:45" x14ac:dyDescent="0.2">
      <c r="A1292">
        <f t="shared" si="82"/>
        <v>2025</v>
      </c>
      <c r="B1292">
        <f t="shared" si="83"/>
        <v>11</v>
      </c>
      <c r="C1292">
        <f t="shared" si="84"/>
        <v>46</v>
      </c>
      <c r="D1292" s="2">
        <f t="shared" si="85"/>
        <v>45971</v>
      </c>
      <c r="E1292" s="1">
        <v>45971.458333333336</v>
      </c>
      <c r="F1292" t="s">
        <v>4149</v>
      </c>
      <c r="G1292" t="s">
        <v>36</v>
      </c>
      <c r="H1292" t="s">
        <v>4150</v>
      </c>
      <c r="I1292" t="s">
        <v>38</v>
      </c>
      <c r="J1292" t="s">
        <v>60</v>
      </c>
      <c r="M1292" t="s">
        <v>40</v>
      </c>
      <c r="N1292" t="s">
        <v>41</v>
      </c>
      <c r="O1292" t="s">
        <v>42</v>
      </c>
      <c r="P1292">
        <v>20</v>
      </c>
      <c r="Q1292">
        <v>0</v>
      </c>
      <c r="R1292">
        <v>0</v>
      </c>
      <c r="S1292">
        <v>0</v>
      </c>
      <c r="T1292" t="s">
        <v>4151</v>
      </c>
      <c r="U1292" t="s">
        <v>44</v>
      </c>
      <c r="W1292" t="s">
        <v>4128</v>
      </c>
      <c r="Y1292">
        <v>0</v>
      </c>
      <c r="AA1292" t="s">
        <v>40</v>
      </c>
      <c r="AB1292" t="s">
        <v>46</v>
      </c>
      <c r="AC1292" t="s">
        <v>47</v>
      </c>
      <c r="AF1292" t="s">
        <v>1009</v>
      </c>
      <c r="AJ1292" t="s">
        <v>40</v>
      </c>
      <c r="AK1292" t="s">
        <v>49</v>
      </c>
      <c r="AN1292">
        <v>261249596</v>
      </c>
      <c r="AO1292" s="1">
        <v>45971</v>
      </c>
      <c r="AP1292" s="5">
        <v>0.45833333333333331</v>
      </c>
      <c r="AS1292">
        <v>1</v>
      </c>
    </row>
    <row r="1293" spans="1:45" x14ac:dyDescent="0.2">
      <c r="A1293">
        <f t="shared" si="82"/>
        <v>2025</v>
      </c>
      <c r="B1293">
        <f t="shared" si="83"/>
        <v>11</v>
      </c>
      <c r="C1293">
        <f t="shared" si="84"/>
        <v>46</v>
      </c>
      <c r="D1293" s="2">
        <f t="shared" si="85"/>
        <v>45971</v>
      </c>
      <c r="E1293" s="1">
        <v>45971.5</v>
      </c>
      <c r="F1293" t="s">
        <v>4152</v>
      </c>
      <c r="G1293" t="s">
        <v>36</v>
      </c>
      <c r="H1293" t="s">
        <v>111</v>
      </c>
      <c r="I1293" t="s">
        <v>38</v>
      </c>
      <c r="J1293" t="s">
        <v>99</v>
      </c>
      <c r="M1293" t="s">
        <v>40</v>
      </c>
      <c r="N1293" t="s">
        <v>41</v>
      </c>
      <c r="O1293" t="s">
        <v>42</v>
      </c>
      <c r="P1293">
        <v>23</v>
      </c>
      <c r="Q1293">
        <v>0</v>
      </c>
      <c r="R1293">
        <v>0</v>
      </c>
      <c r="S1293">
        <v>0</v>
      </c>
      <c r="T1293" t="s">
        <v>4153</v>
      </c>
      <c r="U1293" t="s">
        <v>44</v>
      </c>
      <c r="W1293" t="s">
        <v>4130</v>
      </c>
      <c r="Y1293">
        <v>0</v>
      </c>
      <c r="AA1293" t="s">
        <v>40</v>
      </c>
      <c r="AB1293" t="s">
        <v>46</v>
      </c>
      <c r="AC1293" t="s">
        <v>47</v>
      </c>
      <c r="AF1293" t="s">
        <v>48</v>
      </c>
      <c r="AJ1293" t="s">
        <v>40</v>
      </c>
      <c r="AK1293" t="s">
        <v>49</v>
      </c>
      <c r="AO1293" s="1">
        <v>45971</v>
      </c>
      <c r="AP1293" s="5">
        <v>0.5</v>
      </c>
      <c r="AS1293">
        <v>1</v>
      </c>
    </row>
    <row r="1294" spans="1:45" x14ac:dyDescent="0.2">
      <c r="A1294">
        <f t="shared" si="82"/>
        <v>2025</v>
      </c>
      <c r="B1294">
        <f t="shared" si="83"/>
        <v>11</v>
      </c>
      <c r="C1294">
        <f t="shared" si="84"/>
        <v>46</v>
      </c>
      <c r="D1294" s="2">
        <f t="shared" si="85"/>
        <v>45971</v>
      </c>
      <c r="E1294" s="1">
        <v>45971.5</v>
      </c>
      <c r="F1294" t="s">
        <v>4154</v>
      </c>
      <c r="G1294" t="s">
        <v>36</v>
      </c>
      <c r="H1294" t="s">
        <v>2975</v>
      </c>
      <c r="I1294" t="s">
        <v>38</v>
      </c>
      <c r="J1294" t="s">
        <v>451</v>
      </c>
      <c r="M1294" t="s">
        <v>40</v>
      </c>
      <c r="N1294" t="s">
        <v>41</v>
      </c>
      <c r="O1294" t="s">
        <v>42</v>
      </c>
      <c r="P1294">
        <v>24</v>
      </c>
      <c r="Q1294">
        <v>0</v>
      </c>
      <c r="R1294">
        <v>0</v>
      </c>
      <c r="S1294">
        <v>0</v>
      </c>
      <c r="T1294" t="s">
        <v>4155</v>
      </c>
      <c r="U1294" t="s">
        <v>44</v>
      </c>
      <c r="W1294" t="s">
        <v>4130</v>
      </c>
      <c r="Y1294">
        <v>0</v>
      </c>
      <c r="AA1294" t="s">
        <v>40</v>
      </c>
      <c r="AB1294" t="s">
        <v>46</v>
      </c>
      <c r="AC1294" t="s">
        <v>47</v>
      </c>
      <c r="AF1294" t="s">
        <v>48</v>
      </c>
      <c r="AJ1294" t="s">
        <v>40</v>
      </c>
      <c r="AK1294" t="s">
        <v>49</v>
      </c>
      <c r="AO1294" s="1">
        <v>45971</v>
      </c>
      <c r="AP1294" s="5">
        <v>0.5</v>
      </c>
      <c r="AS1294">
        <v>1</v>
      </c>
    </row>
    <row r="1295" spans="1:45" x14ac:dyDescent="0.2">
      <c r="A1295">
        <f t="shared" si="82"/>
        <v>2025</v>
      </c>
      <c r="B1295">
        <f t="shared" si="83"/>
        <v>11</v>
      </c>
      <c r="C1295">
        <f t="shared" si="84"/>
        <v>46</v>
      </c>
      <c r="D1295" s="2">
        <f t="shared" si="85"/>
        <v>45971</v>
      </c>
      <c r="E1295" s="1">
        <v>45971.5</v>
      </c>
      <c r="F1295" t="s">
        <v>4156</v>
      </c>
      <c r="G1295" t="s">
        <v>36</v>
      </c>
      <c r="H1295" t="s">
        <v>2507</v>
      </c>
      <c r="I1295" t="s">
        <v>38</v>
      </c>
      <c r="J1295" t="s">
        <v>4157</v>
      </c>
      <c r="M1295" t="s">
        <v>40</v>
      </c>
      <c r="N1295" t="s">
        <v>41</v>
      </c>
      <c r="O1295" t="s">
        <v>42</v>
      </c>
      <c r="P1295">
        <v>3</v>
      </c>
      <c r="Q1295">
        <v>0</v>
      </c>
      <c r="R1295">
        <v>0</v>
      </c>
      <c r="S1295">
        <v>0</v>
      </c>
      <c r="T1295" t="s">
        <v>4158</v>
      </c>
      <c r="U1295" t="s">
        <v>44</v>
      </c>
      <c r="W1295" t="s">
        <v>4159</v>
      </c>
      <c r="Y1295">
        <v>0</v>
      </c>
      <c r="AA1295" t="s">
        <v>40</v>
      </c>
      <c r="AB1295" t="s">
        <v>46</v>
      </c>
      <c r="AC1295" t="s">
        <v>47</v>
      </c>
      <c r="AF1295" t="s">
        <v>1001</v>
      </c>
      <c r="AJ1295" t="s">
        <v>40</v>
      </c>
      <c r="AK1295" t="s">
        <v>49</v>
      </c>
      <c r="AO1295" s="1">
        <v>45971</v>
      </c>
      <c r="AP1295" s="5">
        <v>0.5</v>
      </c>
      <c r="AS1295">
        <v>1</v>
      </c>
    </row>
    <row r="1296" spans="1:45" x14ac:dyDescent="0.2">
      <c r="A1296">
        <f t="shared" si="82"/>
        <v>2025</v>
      </c>
      <c r="B1296">
        <f t="shared" si="83"/>
        <v>11</v>
      </c>
      <c r="C1296">
        <f t="shared" si="84"/>
        <v>46</v>
      </c>
      <c r="D1296" s="2">
        <f t="shared" si="85"/>
        <v>45971</v>
      </c>
      <c r="E1296" s="1">
        <v>45971.541666666664</v>
      </c>
      <c r="F1296" t="s">
        <v>4160</v>
      </c>
      <c r="G1296" t="s">
        <v>36</v>
      </c>
      <c r="H1296">
        <v>467191</v>
      </c>
      <c r="I1296" t="s">
        <v>51</v>
      </c>
      <c r="J1296" t="s">
        <v>154</v>
      </c>
      <c r="M1296" t="s">
        <v>40</v>
      </c>
      <c r="N1296" t="s">
        <v>41</v>
      </c>
      <c r="O1296" t="s">
        <v>155</v>
      </c>
      <c r="P1296">
        <v>33</v>
      </c>
      <c r="Q1296">
        <v>0</v>
      </c>
      <c r="R1296">
        <v>0</v>
      </c>
      <c r="S1296">
        <v>0</v>
      </c>
      <c r="T1296" t="s">
        <v>54</v>
      </c>
      <c r="U1296" t="s">
        <v>55</v>
      </c>
      <c r="W1296" t="s">
        <v>4161</v>
      </c>
      <c r="Y1296">
        <v>0</v>
      </c>
      <c r="AA1296" t="s">
        <v>40</v>
      </c>
      <c r="AB1296" t="s">
        <v>46</v>
      </c>
      <c r="AC1296" t="s">
        <v>47</v>
      </c>
      <c r="AG1296" t="s">
        <v>4162</v>
      </c>
      <c r="AJ1296" t="s">
        <v>40</v>
      </c>
      <c r="AK1296">
        <v>5019368127</v>
      </c>
      <c r="AO1296" s="1">
        <v>45971</v>
      </c>
      <c r="AP1296" s="5">
        <v>0.54166666666666663</v>
      </c>
      <c r="AS1296">
        <v>1</v>
      </c>
    </row>
    <row r="1297" spans="1:45" x14ac:dyDescent="0.2">
      <c r="A1297">
        <f t="shared" si="82"/>
        <v>2025</v>
      </c>
      <c r="B1297">
        <f t="shared" si="83"/>
        <v>11</v>
      </c>
      <c r="C1297">
        <f t="shared" si="84"/>
        <v>46</v>
      </c>
      <c r="D1297" s="2">
        <f t="shared" si="85"/>
        <v>45971</v>
      </c>
      <c r="E1297" s="1">
        <v>45971.541666666664</v>
      </c>
      <c r="F1297" t="s">
        <v>4163</v>
      </c>
      <c r="G1297" t="s">
        <v>36</v>
      </c>
      <c r="H1297" t="s">
        <v>1586</v>
      </c>
      <c r="I1297" t="s">
        <v>38</v>
      </c>
      <c r="J1297" t="s">
        <v>451</v>
      </c>
      <c r="M1297" t="s">
        <v>40</v>
      </c>
      <c r="N1297" t="s">
        <v>41</v>
      </c>
      <c r="O1297" t="s">
        <v>42</v>
      </c>
      <c r="P1297">
        <v>33</v>
      </c>
      <c r="Q1297">
        <v>0</v>
      </c>
      <c r="R1297">
        <v>0</v>
      </c>
      <c r="S1297">
        <v>0</v>
      </c>
      <c r="T1297" t="s">
        <v>4164</v>
      </c>
      <c r="U1297" t="s">
        <v>44</v>
      </c>
      <c r="W1297" t="s">
        <v>4130</v>
      </c>
      <c r="Y1297">
        <v>0</v>
      </c>
      <c r="AA1297" t="s">
        <v>40</v>
      </c>
      <c r="AB1297" t="s">
        <v>46</v>
      </c>
      <c r="AC1297" t="s">
        <v>47</v>
      </c>
      <c r="AF1297" t="s">
        <v>48</v>
      </c>
      <c r="AJ1297" t="s">
        <v>40</v>
      </c>
      <c r="AK1297" t="s">
        <v>49</v>
      </c>
      <c r="AO1297" s="1">
        <v>45971</v>
      </c>
      <c r="AP1297" s="5">
        <v>0.54166666666666663</v>
      </c>
      <c r="AS1297">
        <v>1</v>
      </c>
    </row>
    <row r="1298" spans="1:45" x14ac:dyDescent="0.2">
      <c r="A1298">
        <f t="shared" si="82"/>
        <v>2025</v>
      </c>
      <c r="B1298">
        <f t="shared" si="83"/>
        <v>11</v>
      </c>
      <c r="C1298">
        <f t="shared" si="84"/>
        <v>46</v>
      </c>
      <c r="D1298" s="2">
        <f t="shared" si="85"/>
        <v>45971</v>
      </c>
      <c r="E1298" s="1">
        <v>45971.541666666664</v>
      </c>
      <c r="F1298" t="s">
        <v>4165</v>
      </c>
      <c r="G1298" t="s">
        <v>36</v>
      </c>
      <c r="H1298" t="s">
        <v>1586</v>
      </c>
      <c r="I1298" t="s">
        <v>38</v>
      </c>
      <c r="J1298" t="s">
        <v>451</v>
      </c>
      <c r="M1298" t="s">
        <v>40</v>
      </c>
      <c r="N1298" t="s">
        <v>41</v>
      </c>
      <c r="O1298" t="s">
        <v>42</v>
      </c>
      <c r="P1298">
        <v>33</v>
      </c>
      <c r="Q1298">
        <v>0</v>
      </c>
      <c r="R1298">
        <v>0</v>
      </c>
      <c r="S1298">
        <v>0</v>
      </c>
      <c r="T1298" t="s">
        <v>4166</v>
      </c>
      <c r="U1298" t="s">
        <v>44</v>
      </c>
      <c r="W1298" t="s">
        <v>4130</v>
      </c>
      <c r="Y1298">
        <v>0</v>
      </c>
      <c r="AA1298" t="s">
        <v>40</v>
      </c>
      <c r="AB1298" t="s">
        <v>46</v>
      </c>
      <c r="AC1298" t="s">
        <v>47</v>
      </c>
      <c r="AF1298" t="s">
        <v>48</v>
      </c>
      <c r="AJ1298" t="s">
        <v>40</v>
      </c>
      <c r="AK1298" t="s">
        <v>49</v>
      </c>
      <c r="AO1298" s="1">
        <v>45971</v>
      </c>
      <c r="AP1298" s="5">
        <v>0.54166666666666663</v>
      </c>
      <c r="AS1298">
        <v>1</v>
      </c>
    </row>
    <row r="1299" spans="1:45" x14ac:dyDescent="0.2">
      <c r="A1299">
        <f t="shared" si="82"/>
        <v>2025</v>
      </c>
      <c r="B1299">
        <f t="shared" si="83"/>
        <v>11</v>
      </c>
      <c r="C1299">
        <f t="shared" si="84"/>
        <v>46</v>
      </c>
      <c r="D1299" s="2">
        <f t="shared" si="85"/>
        <v>45971</v>
      </c>
      <c r="E1299" s="1">
        <v>45971.541666666664</v>
      </c>
      <c r="F1299" t="s">
        <v>4167</v>
      </c>
      <c r="G1299" t="s">
        <v>36</v>
      </c>
      <c r="H1299" t="s">
        <v>111</v>
      </c>
      <c r="I1299" t="s">
        <v>38</v>
      </c>
      <c r="J1299" t="s">
        <v>99</v>
      </c>
      <c r="M1299" t="s">
        <v>40</v>
      </c>
      <c r="N1299" t="s">
        <v>41</v>
      </c>
      <c r="O1299" t="s">
        <v>42</v>
      </c>
      <c r="P1299">
        <v>23</v>
      </c>
      <c r="Q1299">
        <v>0</v>
      </c>
      <c r="R1299">
        <v>0</v>
      </c>
      <c r="S1299">
        <v>0</v>
      </c>
      <c r="T1299" t="s">
        <v>4168</v>
      </c>
      <c r="U1299" t="s">
        <v>44</v>
      </c>
      <c r="W1299" t="s">
        <v>4130</v>
      </c>
      <c r="Y1299">
        <v>0</v>
      </c>
      <c r="AA1299" t="s">
        <v>40</v>
      </c>
      <c r="AB1299" t="s">
        <v>46</v>
      </c>
      <c r="AC1299" t="s">
        <v>47</v>
      </c>
      <c r="AF1299" t="s">
        <v>48</v>
      </c>
      <c r="AJ1299" t="s">
        <v>40</v>
      </c>
      <c r="AK1299" t="s">
        <v>49</v>
      </c>
      <c r="AO1299" s="1">
        <v>45971</v>
      </c>
      <c r="AP1299" s="5">
        <v>0.54166666666666663</v>
      </c>
      <c r="AS1299">
        <v>1</v>
      </c>
    </row>
    <row r="1300" spans="1:45" x14ac:dyDescent="0.2">
      <c r="A1300">
        <f t="shared" si="82"/>
        <v>2025</v>
      </c>
      <c r="B1300">
        <f t="shared" si="83"/>
        <v>11</v>
      </c>
      <c r="C1300">
        <f t="shared" si="84"/>
        <v>46</v>
      </c>
      <c r="D1300" s="2">
        <f t="shared" si="85"/>
        <v>45971</v>
      </c>
      <c r="E1300" s="1">
        <v>45971.583333333336</v>
      </c>
      <c r="F1300" t="s">
        <v>4169</v>
      </c>
      <c r="G1300" t="s">
        <v>36</v>
      </c>
      <c r="H1300">
        <v>467170</v>
      </c>
      <c r="I1300" t="s">
        <v>51</v>
      </c>
      <c r="J1300" t="s">
        <v>154</v>
      </c>
      <c r="L1300" t="s">
        <v>4170</v>
      </c>
      <c r="M1300" t="s">
        <v>40</v>
      </c>
      <c r="N1300" t="s">
        <v>41</v>
      </c>
      <c r="O1300" t="s">
        <v>155</v>
      </c>
      <c r="P1300">
        <v>33</v>
      </c>
      <c r="Q1300">
        <v>0</v>
      </c>
      <c r="R1300">
        <v>0</v>
      </c>
      <c r="S1300">
        <v>0</v>
      </c>
      <c r="T1300" t="s">
        <v>54</v>
      </c>
      <c r="U1300" t="s">
        <v>55</v>
      </c>
      <c r="W1300" t="s">
        <v>4161</v>
      </c>
      <c r="Y1300">
        <v>0</v>
      </c>
      <c r="AA1300" t="s">
        <v>40</v>
      </c>
      <c r="AB1300" t="s">
        <v>46</v>
      </c>
      <c r="AC1300" t="s">
        <v>47</v>
      </c>
      <c r="AG1300" t="s">
        <v>4171</v>
      </c>
      <c r="AJ1300" t="s">
        <v>40</v>
      </c>
      <c r="AK1300">
        <v>5019366287</v>
      </c>
      <c r="AO1300" s="1">
        <v>45971</v>
      </c>
      <c r="AP1300" s="5">
        <v>0.58333333333333337</v>
      </c>
      <c r="AS1300">
        <v>1</v>
      </c>
    </row>
    <row r="1301" spans="1:45" x14ac:dyDescent="0.2">
      <c r="A1301">
        <f t="shared" si="82"/>
        <v>2025</v>
      </c>
      <c r="B1301">
        <f t="shared" si="83"/>
        <v>11</v>
      </c>
      <c r="C1301">
        <f t="shared" si="84"/>
        <v>46</v>
      </c>
      <c r="D1301" s="2">
        <f t="shared" si="85"/>
        <v>45971</v>
      </c>
      <c r="E1301" s="1">
        <v>45971.583333333336</v>
      </c>
      <c r="F1301" t="s">
        <v>4172</v>
      </c>
      <c r="G1301" t="s">
        <v>36</v>
      </c>
      <c r="H1301" t="s">
        <v>1586</v>
      </c>
      <c r="I1301" t="s">
        <v>38</v>
      </c>
      <c r="J1301" t="s">
        <v>451</v>
      </c>
      <c r="M1301" t="s">
        <v>40</v>
      </c>
      <c r="N1301" t="s">
        <v>41</v>
      </c>
      <c r="O1301" t="s">
        <v>42</v>
      </c>
      <c r="P1301">
        <v>27</v>
      </c>
      <c r="Q1301">
        <v>0</v>
      </c>
      <c r="R1301">
        <v>0</v>
      </c>
      <c r="S1301">
        <v>0</v>
      </c>
      <c r="T1301" t="s">
        <v>4173</v>
      </c>
      <c r="U1301" t="s">
        <v>44</v>
      </c>
      <c r="W1301" t="s">
        <v>4130</v>
      </c>
      <c r="Y1301">
        <v>0</v>
      </c>
      <c r="AA1301" t="s">
        <v>40</v>
      </c>
      <c r="AB1301" t="s">
        <v>46</v>
      </c>
      <c r="AC1301" t="s">
        <v>47</v>
      </c>
      <c r="AF1301" t="s">
        <v>48</v>
      </c>
      <c r="AJ1301" t="s">
        <v>40</v>
      </c>
      <c r="AK1301" t="s">
        <v>49</v>
      </c>
      <c r="AO1301" s="1">
        <v>45971</v>
      </c>
      <c r="AP1301" s="5">
        <v>0.58333333333333337</v>
      </c>
      <c r="AS1301">
        <v>1</v>
      </c>
    </row>
    <row r="1302" spans="1:45" x14ac:dyDescent="0.2">
      <c r="A1302">
        <f t="shared" si="82"/>
        <v>2025</v>
      </c>
      <c r="B1302">
        <f t="shared" si="83"/>
        <v>11</v>
      </c>
      <c r="C1302">
        <f t="shared" si="84"/>
        <v>46</v>
      </c>
      <c r="D1302" s="2">
        <f t="shared" si="85"/>
        <v>45971</v>
      </c>
      <c r="E1302" s="1">
        <v>45971.583333333336</v>
      </c>
      <c r="F1302" t="s">
        <v>4174</v>
      </c>
      <c r="G1302" t="s">
        <v>36</v>
      </c>
      <c r="H1302" t="s">
        <v>111</v>
      </c>
      <c r="I1302" t="s">
        <v>38</v>
      </c>
      <c r="J1302" t="s">
        <v>99</v>
      </c>
      <c r="M1302" t="s">
        <v>40</v>
      </c>
      <c r="N1302" t="s">
        <v>41</v>
      </c>
      <c r="O1302" t="s">
        <v>42</v>
      </c>
      <c r="P1302">
        <v>23</v>
      </c>
      <c r="Q1302">
        <v>0</v>
      </c>
      <c r="R1302">
        <v>0</v>
      </c>
      <c r="S1302">
        <v>0</v>
      </c>
      <c r="T1302" t="s">
        <v>4175</v>
      </c>
      <c r="U1302" t="s">
        <v>44</v>
      </c>
      <c r="W1302" t="s">
        <v>4130</v>
      </c>
      <c r="Y1302">
        <v>0</v>
      </c>
      <c r="AA1302" t="s">
        <v>40</v>
      </c>
      <c r="AB1302" t="s">
        <v>46</v>
      </c>
      <c r="AC1302" t="s">
        <v>47</v>
      </c>
      <c r="AF1302" t="s">
        <v>48</v>
      </c>
      <c r="AJ1302" t="s">
        <v>40</v>
      </c>
      <c r="AK1302" t="s">
        <v>49</v>
      </c>
      <c r="AO1302" s="1">
        <v>45971</v>
      </c>
      <c r="AP1302" s="5">
        <v>0.58333333333333337</v>
      </c>
      <c r="AS1302">
        <v>1</v>
      </c>
    </row>
    <row r="1303" spans="1:45" x14ac:dyDescent="0.2">
      <c r="A1303">
        <f t="shared" si="82"/>
        <v>2025</v>
      </c>
      <c r="B1303">
        <f t="shared" si="83"/>
        <v>11</v>
      </c>
      <c r="C1303">
        <f t="shared" si="84"/>
        <v>46</v>
      </c>
      <c r="D1303" s="2">
        <f t="shared" si="85"/>
        <v>45971</v>
      </c>
      <c r="E1303" s="1">
        <v>45971.583333333336</v>
      </c>
      <c r="F1303" t="s">
        <v>4176</v>
      </c>
      <c r="G1303" t="s">
        <v>36</v>
      </c>
      <c r="H1303" t="s">
        <v>1223</v>
      </c>
      <c r="I1303" t="s">
        <v>38</v>
      </c>
      <c r="J1303" t="s">
        <v>4177</v>
      </c>
      <c r="M1303" t="s">
        <v>40</v>
      </c>
      <c r="N1303" t="s">
        <v>41</v>
      </c>
      <c r="O1303" t="s">
        <v>42</v>
      </c>
      <c r="P1303">
        <v>3</v>
      </c>
      <c r="Q1303">
        <v>0</v>
      </c>
      <c r="R1303">
        <v>0</v>
      </c>
      <c r="S1303">
        <v>0</v>
      </c>
      <c r="T1303" t="s">
        <v>4178</v>
      </c>
      <c r="U1303" t="s">
        <v>101</v>
      </c>
      <c r="W1303" t="s">
        <v>4159</v>
      </c>
      <c r="Y1303">
        <v>0</v>
      </c>
      <c r="AA1303" t="s">
        <v>40</v>
      </c>
      <c r="AB1303" t="s">
        <v>46</v>
      </c>
      <c r="AC1303" t="s">
        <v>47</v>
      </c>
      <c r="AF1303" t="s">
        <v>4179</v>
      </c>
      <c r="AJ1303" t="s">
        <v>40</v>
      </c>
      <c r="AK1303" t="s">
        <v>49</v>
      </c>
      <c r="AO1303" s="1">
        <v>45971</v>
      </c>
      <c r="AP1303" s="5">
        <v>0.58333333333333337</v>
      </c>
      <c r="AS1303">
        <v>1</v>
      </c>
    </row>
    <row r="1304" spans="1:45" x14ac:dyDescent="0.2">
      <c r="A1304">
        <f t="shared" si="82"/>
        <v>2025</v>
      </c>
      <c r="B1304">
        <f t="shared" si="83"/>
        <v>11</v>
      </c>
      <c r="C1304">
        <f t="shared" si="84"/>
        <v>46</v>
      </c>
      <c r="D1304" s="2">
        <f t="shared" si="85"/>
        <v>45971</v>
      </c>
      <c r="E1304" s="1">
        <v>45971.625</v>
      </c>
      <c r="F1304" t="s">
        <v>4180</v>
      </c>
      <c r="G1304" t="s">
        <v>36</v>
      </c>
      <c r="H1304" t="s">
        <v>1586</v>
      </c>
      <c r="I1304" t="s">
        <v>38</v>
      </c>
      <c r="J1304" t="s">
        <v>451</v>
      </c>
      <c r="M1304" t="s">
        <v>40</v>
      </c>
      <c r="N1304" t="s">
        <v>41</v>
      </c>
      <c r="O1304" t="s">
        <v>42</v>
      </c>
      <c r="P1304">
        <v>27</v>
      </c>
      <c r="Q1304">
        <v>0</v>
      </c>
      <c r="R1304">
        <v>0</v>
      </c>
      <c r="S1304">
        <v>0</v>
      </c>
      <c r="T1304" t="s">
        <v>4181</v>
      </c>
      <c r="U1304" t="s">
        <v>44</v>
      </c>
      <c r="W1304" t="s">
        <v>4130</v>
      </c>
      <c r="Y1304">
        <v>0</v>
      </c>
      <c r="AA1304" t="s">
        <v>40</v>
      </c>
      <c r="AB1304" t="s">
        <v>46</v>
      </c>
      <c r="AC1304" t="s">
        <v>47</v>
      </c>
      <c r="AF1304" t="s">
        <v>48</v>
      </c>
      <c r="AJ1304" t="s">
        <v>40</v>
      </c>
      <c r="AK1304" t="s">
        <v>49</v>
      </c>
      <c r="AO1304" s="1">
        <v>45971</v>
      </c>
      <c r="AP1304" s="5">
        <v>0.625</v>
      </c>
      <c r="AS1304">
        <v>1</v>
      </c>
    </row>
    <row r="1305" spans="1:45" x14ac:dyDescent="0.2">
      <c r="A1305">
        <f t="shared" si="82"/>
        <v>2025</v>
      </c>
      <c r="B1305">
        <f t="shared" si="83"/>
        <v>11</v>
      </c>
      <c r="C1305">
        <f t="shared" si="84"/>
        <v>46</v>
      </c>
      <c r="D1305" s="2">
        <f t="shared" si="85"/>
        <v>45971</v>
      </c>
      <c r="E1305" s="1">
        <v>45971.625</v>
      </c>
      <c r="F1305" t="s">
        <v>4182</v>
      </c>
      <c r="G1305" t="s">
        <v>36</v>
      </c>
      <c r="H1305" t="s">
        <v>111</v>
      </c>
      <c r="I1305" t="s">
        <v>38</v>
      </c>
      <c r="J1305" t="s">
        <v>99</v>
      </c>
      <c r="M1305" t="s">
        <v>40</v>
      </c>
      <c r="N1305" t="s">
        <v>41</v>
      </c>
      <c r="O1305" t="s">
        <v>42</v>
      </c>
      <c r="P1305">
        <v>23</v>
      </c>
      <c r="Q1305">
        <v>0</v>
      </c>
      <c r="R1305">
        <v>0</v>
      </c>
      <c r="S1305">
        <v>0</v>
      </c>
      <c r="T1305" t="s">
        <v>4183</v>
      </c>
      <c r="U1305" t="s">
        <v>44</v>
      </c>
      <c r="W1305" t="s">
        <v>4130</v>
      </c>
      <c r="Y1305">
        <v>0</v>
      </c>
      <c r="AA1305" t="s">
        <v>40</v>
      </c>
      <c r="AB1305" t="s">
        <v>46</v>
      </c>
      <c r="AC1305" t="s">
        <v>47</v>
      </c>
      <c r="AF1305" t="s">
        <v>48</v>
      </c>
      <c r="AJ1305" t="s">
        <v>40</v>
      </c>
      <c r="AK1305" t="s">
        <v>49</v>
      </c>
      <c r="AO1305" s="1">
        <v>45971</v>
      </c>
      <c r="AP1305" s="5">
        <v>0.625</v>
      </c>
      <c r="AS1305">
        <v>1</v>
      </c>
    </row>
    <row r="1306" spans="1:45" x14ac:dyDescent="0.2">
      <c r="A1306">
        <f t="shared" si="82"/>
        <v>2025</v>
      </c>
      <c r="B1306">
        <f t="shared" si="83"/>
        <v>11</v>
      </c>
      <c r="C1306">
        <f t="shared" si="84"/>
        <v>46</v>
      </c>
      <c r="D1306" s="2">
        <f t="shared" si="85"/>
        <v>45971</v>
      </c>
      <c r="E1306" s="1">
        <v>45971.625</v>
      </c>
      <c r="F1306" t="s">
        <v>4184</v>
      </c>
      <c r="G1306" t="s">
        <v>36</v>
      </c>
      <c r="H1306">
        <v>467192</v>
      </c>
      <c r="I1306" t="s">
        <v>51</v>
      </c>
      <c r="J1306" t="s">
        <v>163</v>
      </c>
      <c r="M1306" t="s">
        <v>40</v>
      </c>
      <c r="N1306" t="s">
        <v>41</v>
      </c>
      <c r="O1306" t="s">
        <v>530</v>
      </c>
      <c r="P1306">
        <v>33</v>
      </c>
      <c r="Q1306">
        <v>0</v>
      </c>
      <c r="R1306">
        <v>0</v>
      </c>
      <c r="S1306">
        <v>0</v>
      </c>
      <c r="T1306" t="s">
        <v>54</v>
      </c>
      <c r="U1306" t="s">
        <v>55</v>
      </c>
      <c r="W1306" t="s">
        <v>4185</v>
      </c>
      <c r="Y1306">
        <v>0</v>
      </c>
      <c r="AA1306" t="s">
        <v>40</v>
      </c>
      <c r="AB1306" t="s">
        <v>46</v>
      </c>
      <c r="AC1306" t="s">
        <v>47</v>
      </c>
      <c r="AG1306" t="s">
        <v>4186</v>
      </c>
      <c r="AJ1306" t="s">
        <v>40</v>
      </c>
      <c r="AK1306">
        <v>5019364729</v>
      </c>
      <c r="AO1306" s="1">
        <v>45971</v>
      </c>
      <c r="AP1306" s="5">
        <v>0.625</v>
      </c>
      <c r="AS1306">
        <v>1</v>
      </c>
    </row>
    <row r="1307" spans="1:45" x14ac:dyDescent="0.2">
      <c r="A1307">
        <f t="shared" si="82"/>
        <v>2025</v>
      </c>
      <c r="B1307">
        <f t="shared" si="83"/>
        <v>11</v>
      </c>
      <c r="C1307">
        <f t="shared" si="84"/>
        <v>46</v>
      </c>
      <c r="D1307" s="2">
        <f t="shared" si="85"/>
        <v>45971</v>
      </c>
      <c r="E1307" s="1">
        <v>45971.666666666664</v>
      </c>
      <c r="F1307" t="s">
        <v>4187</v>
      </c>
      <c r="G1307" t="s">
        <v>36</v>
      </c>
      <c r="H1307" t="s">
        <v>37</v>
      </c>
      <c r="I1307" t="s">
        <v>38</v>
      </c>
      <c r="J1307" t="s">
        <v>39</v>
      </c>
      <c r="M1307" t="s">
        <v>40</v>
      </c>
      <c r="N1307" t="s">
        <v>41</v>
      </c>
      <c r="O1307" t="s">
        <v>42</v>
      </c>
      <c r="P1307">
        <v>23</v>
      </c>
      <c r="Q1307">
        <v>0</v>
      </c>
      <c r="R1307">
        <v>0</v>
      </c>
      <c r="S1307">
        <v>0</v>
      </c>
      <c r="T1307" t="s">
        <v>4188</v>
      </c>
      <c r="U1307" t="s">
        <v>44</v>
      </c>
      <c r="W1307" t="s">
        <v>4130</v>
      </c>
      <c r="Y1307">
        <v>0</v>
      </c>
      <c r="AA1307" t="s">
        <v>40</v>
      </c>
      <c r="AB1307" t="s">
        <v>46</v>
      </c>
      <c r="AC1307" t="s">
        <v>47</v>
      </c>
      <c r="AF1307" t="s">
        <v>48</v>
      </c>
      <c r="AJ1307" t="s">
        <v>40</v>
      </c>
      <c r="AK1307" t="s">
        <v>49</v>
      </c>
      <c r="AO1307" s="1">
        <v>45971</v>
      </c>
      <c r="AP1307" s="5">
        <v>0.66666666666666663</v>
      </c>
      <c r="AS1307">
        <v>1</v>
      </c>
    </row>
    <row r="1308" spans="1:45" x14ac:dyDescent="0.2">
      <c r="A1308">
        <f t="shared" si="82"/>
        <v>2025</v>
      </c>
      <c r="B1308">
        <f t="shared" si="83"/>
        <v>11</v>
      </c>
      <c r="C1308">
        <f t="shared" si="84"/>
        <v>46</v>
      </c>
      <c r="D1308" s="2">
        <f t="shared" si="85"/>
        <v>45971</v>
      </c>
      <c r="E1308" s="1">
        <v>45971.666666666664</v>
      </c>
      <c r="F1308" t="s">
        <v>4189</v>
      </c>
      <c r="G1308" t="s">
        <v>36</v>
      </c>
      <c r="H1308">
        <v>467195</v>
      </c>
      <c r="I1308" t="s">
        <v>51</v>
      </c>
      <c r="J1308" t="s">
        <v>154</v>
      </c>
      <c r="M1308" t="s">
        <v>40</v>
      </c>
      <c r="N1308" t="s">
        <v>41</v>
      </c>
      <c r="O1308" t="s">
        <v>155</v>
      </c>
      <c r="P1308">
        <v>33</v>
      </c>
      <c r="Q1308">
        <v>0</v>
      </c>
      <c r="R1308">
        <v>0</v>
      </c>
      <c r="S1308">
        <v>0</v>
      </c>
      <c r="T1308" t="s">
        <v>54</v>
      </c>
      <c r="U1308" t="s">
        <v>55</v>
      </c>
      <c r="W1308" t="s">
        <v>4161</v>
      </c>
      <c r="Y1308">
        <v>0</v>
      </c>
      <c r="AA1308" t="s">
        <v>40</v>
      </c>
      <c r="AB1308" t="s">
        <v>46</v>
      </c>
      <c r="AC1308" t="s">
        <v>47</v>
      </c>
      <c r="AG1308" t="s">
        <v>4190</v>
      </c>
      <c r="AJ1308" t="s">
        <v>40</v>
      </c>
      <c r="AK1308">
        <v>5019358463</v>
      </c>
      <c r="AO1308" s="1">
        <v>45971</v>
      </c>
      <c r="AP1308" s="5">
        <v>0.66666666666666663</v>
      </c>
      <c r="AS1308">
        <v>1</v>
      </c>
    </row>
    <row r="1309" spans="1:45" x14ac:dyDescent="0.2">
      <c r="A1309">
        <f t="shared" si="82"/>
        <v>2025</v>
      </c>
      <c r="B1309">
        <f t="shared" si="83"/>
        <v>11</v>
      </c>
      <c r="C1309">
        <f t="shared" si="84"/>
        <v>46</v>
      </c>
      <c r="D1309" s="2">
        <f t="shared" si="85"/>
        <v>45971</v>
      </c>
      <c r="E1309" s="1">
        <v>45971.666666666664</v>
      </c>
      <c r="F1309" t="s">
        <v>4191</v>
      </c>
      <c r="G1309" t="s">
        <v>36</v>
      </c>
      <c r="H1309" t="s">
        <v>4192</v>
      </c>
      <c r="I1309" t="s">
        <v>78</v>
      </c>
      <c r="J1309" t="s">
        <v>4082</v>
      </c>
      <c r="M1309" t="s">
        <v>40</v>
      </c>
      <c r="N1309" t="s">
        <v>41</v>
      </c>
      <c r="O1309" t="s">
        <v>3353</v>
      </c>
      <c r="P1309">
        <v>66</v>
      </c>
      <c r="Q1309">
        <v>0</v>
      </c>
      <c r="R1309">
        <v>0</v>
      </c>
      <c r="S1309">
        <v>0</v>
      </c>
      <c r="T1309" t="s">
        <v>54</v>
      </c>
      <c r="U1309" t="s">
        <v>55</v>
      </c>
      <c r="W1309" t="s">
        <v>4193</v>
      </c>
      <c r="X1309" t="s">
        <v>4194</v>
      </c>
      <c r="Y1309">
        <v>0</v>
      </c>
      <c r="AA1309" t="s">
        <v>40</v>
      </c>
      <c r="AB1309" t="s">
        <v>46</v>
      </c>
      <c r="AC1309" t="s">
        <v>47</v>
      </c>
      <c r="AD1309" t="s">
        <v>81</v>
      </c>
      <c r="AE1309" t="s">
        <v>81</v>
      </c>
      <c r="AG1309" t="s">
        <v>4195</v>
      </c>
      <c r="AJ1309" t="s">
        <v>40</v>
      </c>
      <c r="AK1309" t="s">
        <v>4196</v>
      </c>
      <c r="AL1309" t="s">
        <v>4197</v>
      </c>
      <c r="AO1309" s="1">
        <v>45971</v>
      </c>
      <c r="AP1309" s="5">
        <v>0.66666666666666663</v>
      </c>
      <c r="AS1309">
        <v>1</v>
      </c>
    </row>
    <row r="1310" spans="1:45" x14ac:dyDescent="0.2">
      <c r="A1310">
        <f t="shared" si="82"/>
        <v>2025</v>
      </c>
      <c r="B1310">
        <f t="shared" si="83"/>
        <v>11</v>
      </c>
      <c r="C1310">
        <f t="shared" si="84"/>
        <v>46</v>
      </c>
      <c r="D1310" s="2">
        <f t="shared" si="85"/>
        <v>45971</v>
      </c>
      <c r="E1310" s="1">
        <v>45971.666666666664</v>
      </c>
      <c r="F1310" t="s">
        <v>4198</v>
      </c>
      <c r="G1310" t="s">
        <v>36</v>
      </c>
      <c r="H1310" t="s">
        <v>2379</v>
      </c>
      <c r="I1310" t="s">
        <v>38</v>
      </c>
      <c r="J1310" t="s">
        <v>2380</v>
      </c>
      <c r="M1310" t="s">
        <v>40</v>
      </c>
      <c r="N1310" t="s">
        <v>41</v>
      </c>
      <c r="O1310" t="s">
        <v>42</v>
      </c>
      <c r="P1310">
        <v>33</v>
      </c>
      <c r="Q1310">
        <v>0</v>
      </c>
      <c r="R1310">
        <v>0</v>
      </c>
      <c r="S1310">
        <v>0</v>
      </c>
      <c r="T1310">
        <v>90012991</v>
      </c>
      <c r="U1310" t="s">
        <v>44</v>
      </c>
      <c r="W1310" t="s">
        <v>4159</v>
      </c>
      <c r="Y1310">
        <v>0</v>
      </c>
      <c r="AA1310" t="s">
        <v>40</v>
      </c>
      <c r="AB1310" t="s">
        <v>46</v>
      </c>
      <c r="AC1310" t="s">
        <v>47</v>
      </c>
      <c r="AF1310" t="s">
        <v>2381</v>
      </c>
      <c r="AJ1310" t="s">
        <v>40</v>
      </c>
      <c r="AK1310" t="s">
        <v>49</v>
      </c>
      <c r="AO1310" s="1">
        <v>45971</v>
      </c>
      <c r="AP1310" s="5">
        <v>0.66666666666666663</v>
      </c>
      <c r="AS1310">
        <v>1</v>
      </c>
    </row>
    <row r="1311" spans="1:45" x14ac:dyDescent="0.2">
      <c r="A1311">
        <f t="shared" si="82"/>
        <v>2025</v>
      </c>
      <c r="B1311">
        <f t="shared" si="83"/>
        <v>11</v>
      </c>
      <c r="C1311">
        <f t="shared" si="84"/>
        <v>46</v>
      </c>
      <c r="D1311" s="2">
        <f t="shared" si="85"/>
        <v>45971</v>
      </c>
      <c r="E1311" s="1">
        <v>45971.708333333336</v>
      </c>
      <c r="F1311" t="s">
        <v>4199</v>
      </c>
      <c r="G1311" t="s">
        <v>36</v>
      </c>
      <c r="H1311" t="s">
        <v>4200</v>
      </c>
      <c r="I1311" t="s">
        <v>38</v>
      </c>
      <c r="J1311" t="s">
        <v>4201</v>
      </c>
      <c r="M1311" t="s">
        <v>40</v>
      </c>
      <c r="N1311" t="s">
        <v>41</v>
      </c>
      <c r="O1311" t="s">
        <v>42</v>
      </c>
      <c r="P1311">
        <v>33</v>
      </c>
      <c r="Q1311">
        <v>0</v>
      </c>
      <c r="R1311">
        <v>0</v>
      </c>
      <c r="S1311">
        <v>0</v>
      </c>
      <c r="T1311" t="s">
        <v>4202</v>
      </c>
      <c r="U1311" t="s">
        <v>55</v>
      </c>
      <c r="W1311" t="s">
        <v>4130</v>
      </c>
      <c r="Y1311">
        <v>0</v>
      </c>
      <c r="AA1311" t="s">
        <v>40</v>
      </c>
      <c r="AB1311" t="s">
        <v>46</v>
      </c>
      <c r="AC1311" t="s">
        <v>47</v>
      </c>
      <c r="AF1311" t="s">
        <v>4203</v>
      </c>
      <c r="AJ1311" t="s">
        <v>40</v>
      </c>
      <c r="AK1311" t="s">
        <v>49</v>
      </c>
      <c r="AO1311" s="1">
        <v>45971</v>
      </c>
      <c r="AP1311" s="5">
        <v>0.70833333333333337</v>
      </c>
      <c r="AS1311">
        <v>1</v>
      </c>
    </row>
    <row r="1312" spans="1:45" x14ac:dyDescent="0.2">
      <c r="A1312">
        <f t="shared" si="82"/>
        <v>2025</v>
      </c>
      <c r="B1312">
        <f t="shared" si="83"/>
        <v>11</v>
      </c>
      <c r="C1312">
        <f t="shared" si="84"/>
        <v>46</v>
      </c>
      <c r="D1312" s="2">
        <f t="shared" si="85"/>
        <v>45971</v>
      </c>
      <c r="E1312" s="1">
        <v>45971.708333333336</v>
      </c>
      <c r="F1312" t="s">
        <v>4204</v>
      </c>
      <c r="G1312" t="s">
        <v>36</v>
      </c>
      <c r="H1312">
        <v>467184</v>
      </c>
      <c r="I1312" t="s">
        <v>51</v>
      </c>
      <c r="J1312" t="s">
        <v>163</v>
      </c>
      <c r="M1312" t="s">
        <v>40</v>
      </c>
      <c r="N1312" t="s">
        <v>41</v>
      </c>
      <c r="O1312" t="s">
        <v>530</v>
      </c>
      <c r="P1312">
        <v>33</v>
      </c>
      <c r="Q1312">
        <v>0</v>
      </c>
      <c r="R1312">
        <v>0</v>
      </c>
      <c r="S1312">
        <v>0</v>
      </c>
      <c r="T1312" t="s">
        <v>54</v>
      </c>
      <c r="U1312" t="s">
        <v>55</v>
      </c>
      <c r="W1312" t="s">
        <v>3982</v>
      </c>
      <c r="Y1312">
        <v>0</v>
      </c>
      <c r="AA1312" t="s">
        <v>40</v>
      </c>
      <c r="AB1312" t="s">
        <v>46</v>
      </c>
      <c r="AC1312" t="s">
        <v>47</v>
      </c>
      <c r="AG1312" t="s">
        <v>4205</v>
      </c>
      <c r="AJ1312" t="s">
        <v>40</v>
      </c>
      <c r="AK1312">
        <v>5019365772</v>
      </c>
      <c r="AO1312" s="1">
        <v>45971</v>
      </c>
      <c r="AP1312" s="5">
        <v>0.70833333333333337</v>
      </c>
      <c r="AS1312">
        <v>1</v>
      </c>
    </row>
    <row r="1313" spans="1:45" x14ac:dyDescent="0.2">
      <c r="A1313">
        <f t="shared" si="82"/>
        <v>2025</v>
      </c>
      <c r="B1313">
        <f t="shared" si="83"/>
        <v>11</v>
      </c>
      <c r="C1313">
        <f t="shared" si="84"/>
        <v>46</v>
      </c>
      <c r="D1313" s="2">
        <f t="shared" si="85"/>
        <v>45971</v>
      </c>
      <c r="E1313" s="1">
        <v>45971.708333333336</v>
      </c>
      <c r="F1313" t="s">
        <v>4206</v>
      </c>
      <c r="G1313" t="s">
        <v>36</v>
      </c>
      <c r="H1313">
        <v>467187</v>
      </c>
      <c r="I1313" t="s">
        <v>51</v>
      </c>
      <c r="J1313" t="s">
        <v>144</v>
      </c>
      <c r="M1313" t="s">
        <v>40</v>
      </c>
      <c r="N1313" t="s">
        <v>41</v>
      </c>
      <c r="O1313" t="s">
        <v>172</v>
      </c>
      <c r="P1313">
        <v>33</v>
      </c>
      <c r="Q1313">
        <v>0</v>
      </c>
      <c r="R1313">
        <v>0</v>
      </c>
      <c r="S1313">
        <v>0</v>
      </c>
      <c r="T1313" t="s">
        <v>54</v>
      </c>
      <c r="U1313" t="s">
        <v>55</v>
      </c>
      <c r="W1313" t="s">
        <v>4207</v>
      </c>
      <c r="X1313" t="s">
        <v>4208</v>
      </c>
      <c r="Y1313">
        <v>0</v>
      </c>
      <c r="AA1313" t="s">
        <v>40</v>
      </c>
      <c r="AB1313" t="s">
        <v>46</v>
      </c>
      <c r="AC1313" t="s">
        <v>47</v>
      </c>
      <c r="AG1313" t="s">
        <v>4209</v>
      </c>
      <c r="AJ1313" t="s">
        <v>40</v>
      </c>
      <c r="AK1313">
        <v>5019357297</v>
      </c>
      <c r="AL1313" t="s">
        <v>4210</v>
      </c>
      <c r="AM1313" t="s">
        <v>4211</v>
      </c>
      <c r="AO1313" s="1">
        <v>45971</v>
      </c>
      <c r="AP1313" s="5">
        <v>0.70833333333333337</v>
      </c>
      <c r="AS1313">
        <v>1</v>
      </c>
    </row>
    <row r="1314" spans="1:45" x14ac:dyDescent="0.2">
      <c r="A1314">
        <f t="shared" si="82"/>
        <v>2025</v>
      </c>
      <c r="B1314">
        <f t="shared" si="83"/>
        <v>11</v>
      </c>
      <c r="C1314">
        <f t="shared" si="84"/>
        <v>46</v>
      </c>
      <c r="D1314" s="2">
        <f t="shared" si="85"/>
        <v>45971</v>
      </c>
      <c r="E1314" s="1">
        <v>45971.75</v>
      </c>
      <c r="F1314" t="s">
        <v>4212</v>
      </c>
      <c r="G1314" t="s">
        <v>36</v>
      </c>
      <c r="H1314">
        <v>471222</v>
      </c>
      <c r="I1314" t="s">
        <v>51</v>
      </c>
      <c r="J1314" t="s">
        <v>194</v>
      </c>
      <c r="M1314" t="s">
        <v>40</v>
      </c>
      <c r="N1314" t="s">
        <v>41</v>
      </c>
      <c r="O1314" t="s">
        <v>210</v>
      </c>
      <c r="P1314">
        <v>33</v>
      </c>
      <c r="Q1314">
        <v>0</v>
      </c>
      <c r="R1314">
        <v>0</v>
      </c>
      <c r="S1314">
        <v>0</v>
      </c>
      <c r="T1314" t="s">
        <v>54</v>
      </c>
      <c r="U1314" t="s">
        <v>55</v>
      </c>
      <c r="W1314" t="s">
        <v>4213</v>
      </c>
      <c r="X1314" t="s">
        <v>4214</v>
      </c>
      <c r="Y1314">
        <v>0</v>
      </c>
      <c r="AA1314" t="s">
        <v>40</v>
      </c>
      <c r="AB1314" t="s">
        <v>46</v>
      </c>
      <c r="AC1314" t="s">
        <v>47</v>
      </c>
      <c r="AG1314" t="s">
        <v>4215</v>
      </c>
      <c r="AJ1314" t="s">
        <v>40</v>
      </c>
      <c r="AK1314">
        <v>5019353837</v>
      </c>
      <c r="AL1314" t="s">
        <v>4216</v>
      </c>
      <c r="AM1314" t="s">
        <v>4217</v>
      </c>
      <c r="AO1314" s="1">
        <v>45971</v>
      </c>
      <c r="AP1314" s="5">
        <v>0.75</v>
      </c>
      <c r="AS1314">
        <v>1</v>
      </c>
    </row>
    <row r="1315" spans="1:45" x14ac:dyDescent="0.2">
      <c r="A1315">
        <f t="shared" si="82"/>
        <v>2025</v>
      </c>
      <c r="B1315">
        <f t="shared" si="83"/>
        <v>11</v>
      </c>
      <c r="C1315">
        <f t="shared" si="84"/>
        <v>46</v>
      </c>
      <c r="D1315" s="2">
        <f t="shared" si="85"/>
        <v>45971</v>
      </c>
      <c r="E1315" s="1">
        <v>45971.75</v>
      </c>
      <c r="F1315" t="s">
        <v>4218</v>
      </c>
      <c r="G1315" t="s">
        <v>36</v>
      </c>
      <c r="H1315" t="s">
        <v>4219</v>
      </c>
      <c r="I1315" t="s">
        <v>78</v>
      </c>
      <c r="J1315" t="s">
        <v>219</v>
      </c>
      <c r="M1315" t="s">
        <v>40</v>
      </c>
      <c r="N1315" t="s">
        <v>41</v>
      </c>
      <c r="O1315" t="s">
        <v>417</v>
      </c>
      <c r="P1315">
        <v>66</v>
      </c>
      <c r="Q1315">
        <v>0</v>
      </c>
      <c r="R1315">
        <v>0</v>
      </c>
      <c r="S1315">
        <v>0</v>
      </c>
      <c r="T1315" t="s">
        <v>54</v>
      </c>
      <c r="U1315" t="s">
        <v>55</v>
      </c>
      <c r="W1315" t="s">
        <v>4220</v>
      </c>
      <c r="X1315" t="s">
        <v>4221</v>
      </c>
      <c r="Y1315">
        <v>0</v>
      </c>
      <c r="AA1315" t="s">
        <v>40</v>
      </c>
      <c r="AB1315" t="s">
        <v>46</v>
      </c>
      <c r="AC1315" t="s">
        <v>47</v>
      </c>
      <c r="AD1315" t="s">
        <v>81</v>
      </c>
      <c r="AE1315" t="s">
        <v>81</v>
      </c>
      <c r="AG1315" t="s">
        <v>4222</v>
      </c>
      <c r="AJ1315" t="s">
        <v>40</v>
      </c>
      <c r="AK1315" t="s">
        <v>4223</v>
      </c>
      <c r="AL1315" t="s">
        <v>4224</v>
      </c>
      <c r="AM1315" t="s">
        <v>4225</v>
      </c>
      <c r="AO1315" s="1">
        <v>45971</v>
      </c>
      <c r="AP1315" s="5">
        <v>0.75</v>
      </c>
      <c r="AS1315">
        <v>1</v>
      </c>
    </row>
    <row r="1316" spans="1:45" x14ac:dyDescent="0.2">
      <c r="A1316">
        <f t="shared" si="82"/>
        <v>2025</v>
      </c>
      <c r="B1316">
        <f t="shared" si="83"/>
        <v>11</v>
      </c>
      <c r="C1316">
        <f t="shared" si="84"/>
        <v>46</v>
      </c>
      <c r="D1316" s="2">
        <f t="shared" si="85"/>
        <v>45971</v>
      </c>
      <c r="E1316" s="1">
        <v>45971.791666666664</v>
      </c>
      <c r="F1316" t="s">
        <v>4226</v>
      </c>
      <c r="G1316" t="s">
        <v>36</v>
      </c>
      <c r="H1316">
        <v>467178</v>
      </c>
      <c r="I1316" t="s">
        <v>51</v>
      </c>
      <c r="J1316" t="s">
        <v>219</v>
      </c>
      <c r="M1316" t="s">
        <v>40</v>
      </c>
      <c r="N1316" t="s">
        <v>41</v>
      </c>
      <c r="O1316" t="s">
        <v>90</v>
      </c>
      <c r="P1316">
        <v>33</v>
      </c>
      <c r="Q1316">
        <v>0</v>
      </c>
      <c r="R1316">
        <v>0</v>
      </c>
      <c r="S1316">
        <v>0</v>
      </c>
      <c r="T1316" t="s">
        <v>54</v>
      </c>
      <c r="U1316" t="s">
        <v>55</v>
      </c>
      <c r="W1316" t="s">
        <v>4220</v>
      </c>
      <c r="X1316" t="s">
        <v>2823</v>
      </c>
      <c r="Y1316">
        <v>0</v>
      </c>
      <c r="AA1316" t="s">
        <v>40</v>
      </c>
      <c r="AB1316" t="s">
        <v>46</v>
      </c>
      <c r="AC1316" t="s">
        <v>47</v>
      </c>
      <c r="AG1316" t="s">
        <v>4227</v>
      </c>
      <c r="AJ1316" t="s">
        <v>40</v>
      </c>
      <c r="AK1316">
        <v>5019345518</v>
      </c>
      <c r="AL1316" t="s">
        <v>2825</v>
      </c>
      <c r="AM1316" t="s">
        <v>2826</v>
      </c>
      <c r="AO1316" s="1">
        <v>45971</v>
      </c>
      <c r="AP1316" s="5">
        <v>0.79166666666666663</v>
      </c>
      <c r="AS1316">
        <v>1</v>
      </c>
    </row>
    <row r="1317" spans="1:45" x14ac:dyDescent="0.2">
      <c r="A1317">
        <f t="shared" si="82"/>
        <v>2025</v>
      </c>
      <c r="B1317">
        <f t="shared" si="83"/>
        <v>11</v>
      </c>
      <c r="C1317">
        <f t="shared" si="84"/>
        <v>46</v>
      </c>
      <c r="D1317" s="2">
        <f t="shared" si="85"/>
        <v>45971</v>
      </c>
      <c r="E1317" s="1">
        <v>45971.833333333336</v>
      </c>
      <c r="F1317" t="s">
        <v>4228</v>
      </c>
      <c r="G1317" t="s">
        <v>36</v>
      </c>
      <c r="H1317">
        <v>467196</v>
      </c>
      <c r="I1317" t="s">
        <v>51</v>
      </c>
      <c r="J1317" t="s">
        <v>126</v>
      </c>
      <c r="M1317" t="s">
        <v>40</v>
      </c>
      <c r="N1317" t="s">
        <v>41</v>
      </c>
      <c r="O1317" t="s">
        <v>90</v>
      </c>
      <c r="P1317">
        <v>33</v>
      </c>
      <c r="Q1317">
        <v>0</v>
      </c>
      <c r="R1317">
        <v>0</v>
      </c>
      <c r="S1317">
        <v>0</v>
      </c>
      <c r="T1317" t="s">
        <v>54</v>
      </c>
      <c r="U1317" t="s">
        <v>55</v>
      </c>
      <c r="W1317" t="s">
        <v>4229</v>
      </c>
      <c r="X1317" t="s">
        <v>1107</v>
      </c>
      <c r="Y1317">
        <v>0</v>
      </c>
      <c r="AA1317" t="s">
        <v>40</v>
      </c>
      <c r="AB1317" t="s">
        <v>46</v>
      </c>
      <c r="AC1317" t="s">
        <v>47</v>
      </c>
      <c r="AG1317" t="s">
        <v>4230</v>
      </c>
      <c r="AJ1317" t="s">
        <v>40</v>
      </c>
      <c r="AK1317">
        <v>5019362375</v>
      </c>
      <c r="AL1317" t="s">
        <v>4231</v>
      </c>
      <c r="AM1317" t="s">
        <v>4232</v>
      </c>
      <c r="AO1317" s="1">
        <v>45971</v>
      </c>
      <c r="AP1317" s="5">
        <v>0.83333333333333337</v>
      </c>
      <c r="AS1317">
        <v>1</v>
      </c>
    </row>
    <row r="1318" spans="1:45" x14ac:dyDescent="0.2">
      <c r="A1318">
        <f t="shared" si="82"/>
        <v>2025</v>
      </c>
      <c r="B1318">
        <f t="shared" si="83"/>
        <v>11</v>
      </c>
      <c r="C1318">
        <f t="shared" si="84"/>
        <v>46</v>
      </c>
      <c r="D1318" s="2">
        <f t="shared" si="85"/>
        <v>45972</v>
      </c>
      <c r="E1318" s="1">
        <v>45972.25</v>
      </c>
      <c r="F1318" t="s">
        <v>4233</v>
      </c>
      <c r="G1318" t="s">
        <v>36</v>
      </c>
      <c r="H1318">
        <v>470139</v>
      </c>
      <c r="I1318" t="s">
        <v>51</v>
      </c>
      <c r="J1318" t="s">
        <v>52</v>
      </c>
      <c r="M1318" t="s">
        <v>40</v>
      </c>
      <c r="N1318" t="s">
        <v>41</v>
      </c>
      <c r="O1318" t="s">
        <v>53</v>
      </c>
      <c r="P1318">
        <v>33</v>
      </c>
      <c r="Q1318">
        <v>0</v>
      </c>
      <c r="R1318">
        <v>0</v>
      </c>
      <c r="S1318">
        <v>0</v>
      </c>
      <c r="T1318" t="s">
        <v>54</v>
      </c>
      <c r="U1318" t="s">
        <v>55</v>
      </c>
      <c r="W1318" t="s">
        <v>4234</v>
      </c>
      <c r="Y1318">
        <v>0</v>
      </c>
      <c r="AA1318" t="s">
        <v>40</v>
      </c>
      <c r="AB1318" t="s">
        <v>46</v>
      </c>
      <c r="AC1318" t="s">
        <v>47</v>
      </c>
      <c r="AG1318" t="s">
        <v>4235</v>
      </c>
      <c r="AJ1318" t="s">
        <v>40</v>
      </c>
      <c r="AK1318">
        <v>5019373099</v>
      </c>
      <c r="AO1318" s="1">
        <v>45972</v>
      </c>
      <c r="AP1318" s="5">
        <v>0.25</v>
      </c>
      <c r="AS1318">
        <v>1</v>
      </c>
    </row>
    <row r="1319" spans="1:45" x14ac:dyDescent="0.2">
      <c r="A1319">
        <f t="shared" si="82"/>
        <v>2025</v>
      </c>
      <c r="B1319">
        <f t="shared" si="83"/>
        <v>11</v>
      </c>
      <c r="C1319">
        <f t="shared" si="84"/>
        <v>46</v>
      </c>
      <c r="D1319" s="2">
        <f t="shared" si="85"/>
        <v>45972</v>
      </c>
      <c r="E1319" s="1">
        <v>45972.25</v>
      </c>
      <c r="F1319" t="s">
        <v>4236</v>
      </c>
      <c r="G1319" t="s">
        <v>36</v>
      </c>
      <c r="H1319" t="s">
        <v>4237</v>
      </c>
      <c r="I1319" t="s">
        <v>38</v>
      </c>
      <c r="J1319" t="s">
        <v>60</v>
      </c>
      <c r="M1319" t="s">
        <v>40</v>
      </c>
      <c r="N1319" t="s">
        <v>41</v>
      </c>
      <c r="O1319" t="s">
        <v>42</v>
      </c>
      <c r="P1319">
        <v>20</v>
      </c>
      <c r="Q1319">
        <v>0</v>
      </c>
      <c r="R1319">
        <v>0</v>
      </c>
      <c r="S1319">
        <v>0</v>
      </c>
      <c r="T1319">
        <v>5019272563</v>
      </c>
      <c r="U1319" t="s">
        <v>44</v>
      </c>
      <c r="W1319" t="s">
        <v>4238</v>
      </c>
      <c r="Y1319">
        <v>0</v>
      </c>
      <c r="AA1319" t="s">
        <v>40</v>
      </c>
      <c r="AB1319" t="s">
        <v>46</v>
      </c>
      <c r="AC1319" t="s">
        <v>47</v>
      </c>
      <c r="AF1319" t="s">
        <v>1009</v>
      </c>
      <c r="AJ1319" t="s">
        <v>40</v>
      </c>
      <c r="AK1319" t="s">
        <v>49</v>
      </c>
      <c r="AN1319">
        <v>261373513</v>
      </c>
      <c r="AO1319" s="1">
        <v>45972</v>
      </c>
      <c r="AP1319" s="5">
        <v>0.25</v>
      </c>
      <c r="AS1319">
        <v>1</v>
      </c>
    </row>
    <row r="1320" spans="1:45" x14ac:dyDescent="0.2">
      <c r="A1320">
        <f t="shared" si="82"/>
        <v>2025</v>
      </c>
      <c r="B1320">
        <f t="shared" si="83"/>
        <v>11</v>
      </c>
      <c r="C1320">
        <f t="shared" si="84"/>
        <v>46</v>
      </c>
      <c r="D1320" s="2">
        <f t="shared" si="85"/>
        <v>45972</v>
      </c>
      <c r="E1320" s="1">
        <v>45972.291666666664</v>
      </c>
      <c r="F1320" t="s">
        <v>4239</v>
      </c>
      <c r="G1320" t="s">
        <v>36</v>
      </c>
      <c r="H1320">
        <v>470864</v>
      </c>
      <c r="I1320" t="s">
        <v>51</v>
      </c>
      <c r="J1320" t="s">
        <v>219</v>
      </c>
      <c r="M1320" t="s">
        <v>40</v>
      </c>
      <c r="N1320" t="s">
        <v>41</v>
      </c>
      <c r="O1320" t="s">
        <v>90</v>
      </c>
      <c r="P1320">
        <v>33</v>
      </c>
      <c r="Q1320">
        <v>0</v>
      </c>
      <c r="R1320">
        <v>0</v>
      </c>
      <c r="S1320">
        <v>0</v>
      </c>
      <c r="T1320" t="s">
        <v>54</v>
      </c>
      <c r="U1320" t="s">
        <v>55</v>
      </c>
      <c r="W1320" t="s">
        <v>4240</v>
      </c>
      <c r="X1320" t="s">
        <v>4241</v>
      </c>
      <c r="Y1320">
        <v>0</v>
      </c>
      <c r="AA1320" t="s">
        <v>40</v>
      </c>
      <c r="AB1320" t="s">
        <v>46</v>
      </c>
      <c r="AC1320" t="s">
        <v>47</v>
      </c>
      <c r="AG1320" t="s">
        <v>4242</v>
      </c>
      <c r="AJ1320" t="s">
        <v>40</v>
      </c>
      <c r="AK1320">
        <v>5019362018</v>
      </c>
      <c r="AL1320" t="s">
        <v>4243</v>
      </c>
      <c r="AM1320" t="s">
        <v>4244</v>
      </c>
      <c r="AO1320" s="1">
        <v>45972</v>
      </c>
      <c r="AP1320" s="5">
        <v>0.29166666666666669</v>
      </c>
      <c r="AS1320">
        <v>1</v>
      </c>
    </row>
    <row r="1321" spans="1:45" x14ac:dyDescent="0.2">
      <c r="A1321">
        <f t="shared" si="82"/>
        <v>2025</v>
      </c>
      <c r="B1321">
        <f t="shared" si="83"/>
        <v>11</v>
      </c>
      <c r="C1321">
        <f t="shared" si="84"/>
        <v>46</v>
      </c>
      <c r="D1321" s="2">
        <f t="shared" si="85"/>
        <v>45972</v>
      </c>
      <c r="E1321" s="1">
        <v>45972.291666666664</v>
      </c>
      <c r="F1321" t="s">
        <v>4245</v>
      </c>
      <c r="G1321" t="s">
        <v>36</v>
      </c>
      <c r="H1321" t="s">
        <v>253</v>
      </c>
      <c r="I1321" t="s">
        <v>38</v>
      </c>
      <c r="J1321" t="s">
        <v>254</v>
      </c>
      <c r="M1321" t="s">
        <v>40</v>
      </c>
      <c r="N1321" t="s">
        <v>41</v>
      </c>
      <c r="O1321" t="s">
        <v>42</v>
      </c>
      <c r="P1321">
        <v>1</v>
      </c>
      <c r="Q1321">
        <v>0</v>
      </c>
      <c r="R1321">
        <v>0</v>
      </c>
      <c r="S1321">
        <v>0</v>
      </c>
      <c r="T1321">
        <v>5019376553</v>
      </c>
      <c r="U1321" t="s">
        <v>101</v>
      </c>
      <c r="W1321" t="s">
        <v>3669</v>
      </c>
      <c r="Y1321">
        <v>0</v>
      </c>
      <c r="AA1321" t="s">
        <v>40</v>
      </c>
      <c r="AB1321" t="s">
        <v>46</v>
      </c>
      <c r="AC1321" t="s">
        <v>47</v>
      </c>
      <c r="AF1321" t="s">
        <v>48</v>
      </c>
      <c r="AJ1321" t="s">
        <v>40</v>
      </c>
      <c r="AK1321" t="s">
        <v>49</v>
      </c>
      <c r="AO1321" s="1">
        <v>45972</v>
      </c>
      <c r="AP1321" s="5">
        <v>0.29166666666666669</v>
      </c>
      <c r="AS1321">
        <v>1</v>
      </c>
    </row>
    <row r="1322" spans="1:45" x14ac:dyDescent="0.2">
      <c r="A1322">
        <f t="shared" si="82"/>
        <v>2025</v>
      </c>
      <c r="B1322">
        <f t="shared" si="83"/>
        <v>11</v>
      </c>
      <c r="C1322">
        <f t="shared" si="84"/>
        <v>46</v>
      </c>
      <c r="D1322" s="2">
        <f t="shared" si="85"/>
        <v>45972</v>
      </c>
      <c r="E1322" s="1">
        <v>45972.291666666664</v>
      </c>
      <c r="F1322" t="s">
        <v>4246</v>
      </c>
      <c r="G1322" t="s">
        <v>36</v>
      </c>
      <c r="H1322" t="s">
        <v>4247</v>
      </c>
      <c r="I1322" t="s">
        <v>38</v>
      </c>
      <c r="J1322" t="s">
        <v>60</v>
      </c>
      <c r="M1322" t="s">
        <v>40</v>
      </c>
      <c r="N1322" t="s">
        <v>41</v>
      </c>
      <c r="O1322" t="s">
        <v>42</v>
      </c>
      <c r="P1322">
        <v>20</v>
      </c>
      <c r="Q1322">
        <v>0</v>
      </c>
      <c r="R1322">
        <v>0</v>
      </c>
      <c r="S1322">
        <v>0</v>
      </c>
      <c r="T1322" t="s">
        <v>4248</v>
      </c>
      <c r="U1322" t="s">
        <v>44</v>
      </c>
      <c r="W1322" t="s">
        <v>4249</v>
      </c>
      <c r="Y1322">
        <v>0</v>
      </c>
      <c r="AA1322" t="s">
        <v>40</v>
      </c>
      <c r="AB1322" t="s">
        <v>46</v>
      </c>
      <c r="AC1322" t="s">
        <v>47</v>
      </c>
      <c r="AF1322" t="s">
        <v>1009</v>
      </c>
      <c r="AJ1322" t="s">
        <v>40</v>
      </c>
      <c r="AK1322" t="s">
        <v>49</v>
      </c>
      <c r="AN1322">
        <v>261373751</v>
      </c>
      <c r="AO1322" s="1">
        <v>45972</v>
      </c>
      <c r="AP1322" s="5">
        <v>0.29166666666666669</v>
      </c>
      <c r="AS1322">
        <v>1</v>
      </c>
    </row>
    <row r="1323" spans="1:45" x14ac:dyDescent="0.2">
      <c r="A1323">
        <f t="shared" si="82"/>
        <v>2025</v>
      </c>
      <c r="B1323">
        <f t="shared" si="83"/>
        <v>11</v>
      </c>
      <c r="C1323">
        <f t="shared" si="84"/>
        <v>46</v>
      </c>
      <c r="D1323" s="2">
        <f t="shared" si="85"/>
        <v>45972</v>
      </c>
      <c r="E1323" s="1">
        <v>45972.333333333336</v>
      </c>
      <c r="F1323" t="s">
        <v>4250</v>
      </c>
      <c r="G1323" t="s">
        <v>36</v>
      </c>
      <c r="H1323" t="s">
        <v>264</v>
      </c>
      <c r="I1323" t="s">
        <v>38</v>
      </c>
      <c r="J1323" t="s">
        <v>265</v>
      </c>
      <c r="M1323" t="s">
        <v>40</v>
      </c>
      <c r="N1323" t="s">
        <v>41</v>
      </c>
      <c r="O1323" t="s">
        <v>42</v>
      </c>
      <c r="P1323">
        <v>23</v>
      </c>
      <c r="Q1323">
        <v>0</v>
      </c>
      <c r="R1323">
        <v>0</v>
      </c>
      <c r="S1323">
        <v>0</v>
      </c>
      <c r="T1323" t="s">
        <v>4251</v>
      </c>
      <c r="U1323" t="s">
        <v>55</v>
      </c>
      <c r="W1323" t="s">
        <v>4185</v>
      </c>
      <c r="Y1323">
        <v>0</v>
      </c>
      <c r="AA1323" t="s">
        <v>40</v>
      </c>
      <c r="AB1323" t="s">
        <v>46</v>
      </c>
      <c r="AC1323" t="s">
        <v>47</v>
      </c>
      <c r="AF1323" t="s">
        <v>48</v>
      </c>
      <c r="AJ1323" t="s">
        <v>40</v>
      </c>
      <c r="AK1323" t="s">
        <v>49</v>
      </c>
      <c r="AO1323" s="1">
        <v>45972</v>
      </c>
      <c r="AP1323" s="5">
        <v>0.33333333333333331</v>
      </c>
      <c r="AS1323">
        <v>1</v>
      </c>
    </row>
    <row r="1324" spans="1:45" x14ac:dyDescent="0.2">
      <c r="A1324">
        <f t="shared" si="82"/>
        <v>2025</v>
      </c>
      <c r="B1324">
        <f t="shared" si="83"/>
        <v>11</v>
      </c>
      <c r="C1324">
        <f t="shared" si="84"/>
        <v>46</v>
      </c>
      <c r="D1324" s="2">
        <f t="shared" si="85"/>
        <v>45972</v>
      </c>
      <c r="E1324" s="1">
        <v>45972.333333333336</v>
      </c>
      <c r="F1324" t="s">
        <v>4252</v>
      </c>
      <c r="G1324" t="s">
        <v>36</v>
      </c>
      <c r="H1324" t="s">
        <v>663</v>
      </c>
      <c r="I1324" t="s">
        <v>38</v>
      </c>
      <c r="J1324" t="s">
        <v>265</v>
      </c>
      <c r="M1324" t="s">
        <v>40</v>
      </c>
      <c r="N1324" t="s">
        <v>41</v>
      </c>
      <c r="O1324" t="s">
        <v>42</v>
      </c>
      <c r="P1324">
        <v>33</v>
      </c>
      <c r="Q1324">
        <v>0</v>
      </c>
      <c r="R1324">
        <v>0</v>
      </c>
      <c r="S1324">
        <v>0</v>
      </c>
      <c r="T1324" t="s">
        <v>4253</v>
      </c>
      <c r="U1324" t="s">
        <v>44</v>
      </c>
      <c r="W1324" t="s">
        <v>3830</v>
      </c>
      <c r="Y1324">
        <v>0</v>
      </c>
      <c r="AA1324" t="s">
        <v>40</v>
      </c>
      <c r="AB1324" t="s">
        <v>46</v>
      </c>
      <c r="AC1324" t="s">
        <v>47</v>
      </c>
      <c r="AF1324" t="s">
        <v>4254</v>
      </c>
      <c r="AJ1324" t="s">
        <v>40</v>
      </c>
      <c r="AK1324" t="s">
        <v>49</v>
      </c>
      <c r="AO1324" s="1">
        <v>45972</v>
      </c>
      <c r="AP1324" s="5">
        <v>0.33333333333333331</v>
      </c>
      <c r="AS1324">
        <v>1</v>
      </c>
    </row>
    <row r="1325" spans="1:45" x14ac:dyDescent="0.2">
      <c r="A1325">
        <f t="shared" si="82"/>
        <v>2025</v>
      </c>
      <c r="B1325">
        <f t="shared" si="83"/>
        <v>11</v>
      </c>
      <c r="C1325">
        <f t="shared" si="84"/>
        <v>46</v>
      </c>
      <c r="D1325" s="2">
        <f t="shared" si="85"/>
        <v>45972</v>
      </c>
      <c r="E1325" s="1">
        <v>45972.333333333336</v>
      </c>
      <c r="F1325" t="s">
        <v>4255</v>
      </c>
      <c r="G1325" t="s">
        <v>36</v>
      </c>
      <c r="H1325" t="s">
        <v>4256</v>
      </c>
      <c r="I1325" t="s">
        <v>38</v>
      </c>
      <c r="J1325" t="s">
        <v>60</v>
      </c>
      <c r="M1325" t="s">
        <v>40</v>
      </c>
      <c r="N1325" t="s">
        <v>41</v>
      </c>
      <c r="O1325" t="s">
        <v>42</v>
      </c>
      <c r="P1325">
        <v>10</v>
      </c>
      <c r="Q1325">
        <v>0</v>
      </c>
      <c r="R1325">
        <v>0</v>
      </c>
      <c r="S1325">
        <v>0</v>
      </c>
      <c r="T1325">
        <v>5019296272</v>
      </c>
      <c r="U1325" t="s">
        <v>101</v>
      </c>
      <c r="W1325" t="s">
        <v>4257</v>
      </c>
      <c r="Y1325">
        <v>0</v>
      </c>
      <c r="AA1325" t="s">
        <v>40</v>
      </c>
      <c r="AB1325" t="s">
        <v>46</v>
      </c>
      <c r="AC1325" t="s">
        <v>47</v>
      </c>
      <c r="AF1325" t="s">
        <v>133</v>
      </c>
      <c r="AJ1325" t="s">
        <v>40</v>
      </c>
      <c r="AK1325" t="s">
        <v>49</v>
      </c>
      <c r="AN1325">
        <v>260907511</v>
      </c>
      <c r="AO1325" s="1">
        <v>45972</v>
      </c>
      <c r="AP1325" s="5">
        <v>0.33333333333333331</v>
      </c>
      <c r="AS1325">
        <v>1</v>
      </c>
    </row>
    <row r="1326" spans="1:45" x14ac:dyDescent="0.2">
      <c r="A1326">
        <f t="shared" si="82"/>
        <v>2025</v>
      </c>
      <c r="B1326">
        <f t="shared" si="83"/>
        <v>11</v>
      </c>
      <c r="C1326">
        <f t="shared" si="84"/>
        <v>46</v>
      </c>
      <c r="D1326" s="2">
        <f t="shared" si="85"/>
        <v>45972</v>
      </c>
      <c r="E1326" s="1">
        <v>45972.333333333336</v>
      </c>
      <c r="F1326" t="s">
        <v>4258</v>
      </c>
      <c r="G1326" t="s">
        <v>36</v>
      </c>
      <c r="H1326" t="s">
        <v>4259</v>
      </c>
      <c r="I1326" t="s">
        <v>38</v>
      </c>
      <c r="J1326" t="s">
        <v>60</v>
      </c>
      <c r="M1326" t="s">
        <v>40</v>
      </c>
      <c r="N1326" t="s">
        <v>41</v>
      </c>
      <c r="O1326" t="s">
        <v>42</v>
      </c>
      <c r="P1326">
        <v>20</v>
      </c>
      <c r="Q1326">
        <v>0</v>
      </c>
      <c r="R1326">
        <v>0</v>
      </c>
      <c r="S1326">
        <v>0</v>
      </c>
      <c r="T1326">
        <v>5019310711</v>
      </c>
      <c r="U1326" t="s">
        <v>44</v>
      </c>
      <c r="W1326" t="s">
        <v>4238</v>
      </c>
      <c r="Y1326">
        <v>0</v>
      </c>
      <c r="AA1326" t="s">
        <v>40</v>
      </c>
      <c r="AB1326" t="s">
        <v>46</v>
      </c>
      <c r="AC1326" t="s">
        <v>47</v>
      </c>
      <c r="AF1326" t="s">
        <v>133</v>
      </c>
      <c r="AJ1326" t="s">
        <v>40</v>
      </c>
      <c r="AK1326" t="s">
        <v>49</v>
      </c>
      <c r="AN1326">
        <v>260954224</v>
      </c>
      <c r="AO1326" s="1">
        <v>45972</v>
      </c>
      <c r="AP1326" s="5">
        <v>0.33333333333333331</v>
      </c>
      <c r="AS1326">
        <v>1</v>
      </c>
    </row>
    <row r="1327" spans="1:45" x14ac:dyDescent="0.2">
      <c r="A1327">
        <f t="shared" si="82"/>
        <v>2025</v>
      </c>
      <c r="B1327">
        <f t="shared" si="83"/>
        <v>11</v>
      </c>
      <c r="C1327">
        <f t="shared" si="84"/>
        <v>46</v>
      </c>
      <c r="D1327" s="2">
        <f t="shared" si="85"/>
        <v>45972</v>
      </c>
      <c r="E1327" s="1">
        <v>45972.375</v>
      </c>
      <c r="F1327" t="s">
        <v>4260</v>
      </c>
      <c r="G1327" t="s">
        <v>36</v>
      </c>
      <c r="H1327" t="s">
        <v>3147</v>
      </c>
      <c r="I1327" t="s">
        <v>38</v>
      </c>
      <c r="J1327" t="s">
        <v>99</v>
      </c>
      <c r="M1327" t="s">
        <v>40</v>
      </c>
      <c r="N1327" t="s">
        <v>41</v>
      </c>
      <c r="O1327" t="s">
        <v>42</v>
      </c>
      <c r="P1327">
        <v>20</v>
      </c>
      <c r="Q1327">
        <v>0</v>
      </c>
      <c r="R1327">
        <v>0</v>
      </c>
      <c r="S1327">
        <v>0</v>
      </c>
      <c r="T1327" t="s">
        <v>4261</v>
      </c>
      <c r="U1327" t="s">
        <v>44</v>
      </c>
      <c r="W1327" t="s">
        <v>4213</v>
      </c>
      <c r="Y1327">
        <v>0</v>
      </c>
      <c r="AA1327" t="s">
        <v>40</v>
      </c>
      <c r="AB1327" t="s">
        <v>46</v>
      </c>
      <c r="AC1327" t="s">
        <v>47</v>
      </c>
      <c r="AF1327" t="s">
        <v>367</v>
      </c>
      <c r="AJ1327" t="s">
        <v>40</v>
      </c>
      <c r="AK1327" t="s">
        <v>49</v>
      </c>
      <c r="AM1327" t="s">
        <v>4262</v>
      </c>
      <c r="AN1327" t="s">
        <v>4263</v>
      </c>
      <c r="AO1327" s="1">
        <v>45972</v>
      </c>
      <c r="AP1327" s="5">
        <v>0.375</v>
      </c>
      <c r="AS1327">
        <v>1</v>
      </c>
    </row>
    <row r="1328" spans="1:45" x14ac:dyDescent="0.2">
      <c r="A1328">
        <f t="shared" si="82"/>
        <v>2025</v>
      </c>
      <c r="B1328">
        <f t="shared" si="83"/>
        <v>11</v>
      </c>
      <c r="C1328">
        <f t="shared" si="84"/>
        <v>46</v>
      </c>
      <c r="D1328" s="2">
        <f t="shared" si="85"/>
        <v>45972</v>
      </c>
      <c r="E1328" s="1">
        <v>45972.375</v>
      </c>
      <c r="F1328" t="s">
        <v>4264</v>
      </c>
      <c r="G1328" t="s">
        <v>36</v>
      </c>
      <c r="H1328">
        <v>470150</v>
      </c>
      <c r="I1328" t="s">
        <v>51</v>
      </c>
      <c r="J1328" t="s">
        <v>52</v>
      </c>
      <c r="M1328" t="s">
        <v>40</v>
      </c>
      <c r="N1328" t="s">
        <v>41</v>
      </c>
      <c r="O1328" t="s">
        <v>53</v>
      </c>
      <c r="P1328">
        <v>33</v>
      </c>
      <c r="Q1328">
        <v>0</v>
      </c>
      <c r="R1328">
        <v>0</v>
      </c>
      <c r="S1328">
        <v>0</v>
      </c>
      <c r="T1328" t="s">
        <v>54</v>
      </c>
      <c r="U1328" t="s">
        <v>55</v>
      </c>
      <c r="W1328" t="s">
        <v>3776</v>
      </c>
      <c r="Y1328">
        <v>0</v>
      </c>
      <c r="AA1328" t="s">
        <v>40</v>
      </c>
      <c r="AB1328" t="s">
        <v>46</v>
      </c>
      <c r="AC1328" t="s">
        <v>47</v>
      </c>
      <c r="AG1328" t="s">
        <v>4265</v>
      </c>
      <c r="AJ1328" t="s">
        <v>40</v>
      </c>
      <c r="AK1328">
        <v>5019302070</v>
      </c>
      <c r="AO1328" s="1">
        <v>45972</v>
      </c>
      <c r="AP1328" s="5">
        <v>0.375</v>
      </c>
      <c r="AS1328">
        <v>1</v>
      </c>
    </row>
    <row r="1329" spans="1:45" x14ac:dyDescent="0.2">
      <c r="A1329">
        <f t="shared" si="82"/>
        <v>2025</v>
      </c>
      <c r="B1329">
        <f t="shared" si="83"/>
        <v>11</v>
      </c>
      <c r="C1329">
        <f t="shared" si="84"/>
        <v>46</v>
      </c>
      <c r="D1329" s="2">
        <f t="shared" si="85"/>
        <v>45972</v>
      </c>
      <c r="E1329" s="1">
        <v>45972.375</v>
      </c>
      <c r="F1329" t="s">
        <v>4266</v>
      </c>
      <c r="G1329" t="s">
        <v>36</v>
      </c>
      <c r="H1329" t="s">
        <v>4267</v>
      </c>
      <c r="I1329" t="s">
        <v>38</v>
      </c>
      <c r="J1329" t="s">
        <v>60</v>
      </c>
      <c r="M1329" t="s">
        <v>40</v>
      </c>
      <c r="N1329" t="s">
        <v>41</v>
      </c>
      <c r="O1329" t="s">
        <v>42</v>
      </c>
      <c r="P1329">
        <v>20</v>
      </c>
      <c r="Q1329">
        <v>0</v>
      </c>
      <c r="R1329">
        <v>0</v>
      </c>
      <c r="S1329">
        <v>0</v>
      </c>
      <c r="T1329">
        <v>5019316596</v>
      </c>
      <c r="U1329" t="s">
        <v>44</v>
      </c>
      <c r="W1329" t="s">
        <v>4238</v>
      </c>
      <c r="Y1329">
        <v>0</v>
      </c>
      <c r="AA1329" t="s">
        <v>40</v>
      </c>
      <c r="AB1329" t="s">
        <v>46</v>
      </c>
      <c r="AC1329" t="s">
        <v>47</v>
      </c>
      <c r="AF1329" t="s">
        <v>133</v>
      </c>
      <c r="AJ1329" t="s">
        <v>40</v>
      </c>
      <c r="AK1329" t="s">
        <v>49</v>
      </c>
      <c r="AN1329">
        <v>260954224</v>
      </c>
      <c r="AO1329" s="1">
        <v>45972</v>
      </c>
      <c r="AP1329" s="5">
        <v>0.375</v>
      </c>
      <c r="AS1329">
        <v>1</v>
      </c>
    </row>
    <row r="1330" spans="1:45" x14ac:dyDescent="0.2">
      <c r="A1330">
        <f t="shared" si="82"/>
        <v>2025</v>
      </c>
      <c r="B1330">
        <f t="shared" si="83"/>
        <v>11</v>
      </c>
      <c r="C1330">
        <f t="shared" si="84"/>
        <v>46</v>
      </c>
      <c r="D1330" s="2">
        <f t="shared" si="85"/>
        <v>45972</v>
      </c>
      <c r="E1330" s="1">
        <v>45972.416666666664</v>
      </c>
      <c r="F1330" t="s">
        <v>4268</v>
      </c>
      <c r="G1330" t="s">
        <v>36</v>
      </c>
      <c r="H1330" t="s">
        <v>4269</v>
      </c>
      <c r="I1330" t="s">
        <v>38</v>
      </c>
      <c r="J1330" t="s">
        <v>60</v>
      </c>
      <c r="M1330" t="s">
        <v>40</v>
      </c>
      <c r="N1330" t="s">
        <v>41</v>
      </c>
      <c r="O1330" t="s">
        <v>42</v>
      </c>
      <c r="P1330">
        <v>20</v>
      </c>
      <c r="Q1330">
        <v>0</v>
      </c>
      <c r="R1330">
        <v>0</v>
      </c>
      <c r="S1330">
        <v>0</v>
      </c>
      <c r="T1330">
        <v>5019310224</v>
      </c>
      <c r="U1330" t="s">
        <v>44</v>
      </c>
      <c r="W1330" t="s">
        <v>4238</v>
      </c>
      <c r="Y1330">
        <v>0</v>
      </c>
      <c r="AA1330" t="s">
        <v>40</v>
      </c>
      <c r="AB1330" t="s">
        <v>46</v>
      </c>
      <c r="AC1330" t="s">
        <v>47</v>
      </c>
      <c r="AF1330" t="s">
        <v>133</v>
      </c>
      <c r="AJ1330" t="s">
        <v>40</v>
      </c>
      <c r="AK1330" t="s">
        <v>49</v>
      </c>
      <c r="AN1330">
        <v>260954224</v>
      </c>
      <c r="AO1330" s="1">
        <v>45972</v>
      </c>
      <c r="AP1330" s="5">
        <v>0.41666666666666669</v>
      </c>
      <c r="AS1330">
        <v>1</v>
      </c>
    </row>
    <row r="1331" spans="1:45" x14ac:dyDescent="0.2">
      <c r="A1331">
        <f t="shared" si="82"/>
        <v>2025</v>
      </c>
      <c r="B1331">
        <f t="shared" si="83"/>
        <v>11</v>
      </c>
      <c r="C1331">
        <f t="shared" si="84"/>
        <v>46</v>
      </c>
      <c r="D1331" s="2">
        <f t="shared" si="85"/>
        <v>45972</v>
      </c>
      <c r="E1331" s="1">
        <v>45972.416666666664</v>
      </c>
      <c r="F1331" t="s">
        <v>4270</v>
      </c>
      <c r="G1331" t="s">
        <v>36</v>
      </c>
      <c r="H1331" t="s">
        <v>111</v>
      </c>
      <c r="I1331" t="s">
        <v>38</v>
      </c>
      <c r="J1331" t="s">
        <v>99</v>
      </c>
      <c r="M1331" t="s">
        <v>40</v>
      </c>
      <c r="N1331" t="s">
        <v>41</v>
      </c>
      <c r="O1331" t="s">
        <v>42</v>
      </c>
      <c r="P1331">
        <v>23</v>
      </c>
      <c r="Q1331">
        <v>0</v>
      </c>
      <c r="R1331">
        <v>0</v>
      </c>
      <c r="S1331">
        <v>0</v>
      </c>
      <c r="T1331" t="s">
        <v>4271</v>
      </c>
      <c r="U1331" t="s">
        <v>44</v>
      </c>
      <c r="W1331" t="s">
        <v>4185</v>
      </c>
      <c r="Y1331">
        <v>0</v>
      </c>
      <c r="AA1331" t="s">
        <v>40</v>
      </c>
      <c r="AB1331" t="s">
        <v>46</v>
      </c>
      <c r="AC1331" t="s">
        <v>47</v>
      </c>
      <c r="AF1331" t="s">
        <v>48</v>
      </c>
      <c r="AJ1331" t="s">
        <v>40</v>
      </c>
      <c r="AK1331" t="s">
        <v>49</v>
      </c>
      <c r="AO1331" s="1">
        <v>45972</v>
      </c>
      <c r="AP1331" s="5">
        <v>0.41666666666666669</v>
      </c>
      <c r="AS1331">
        <v>1</v>
      </c>
    </row>
    <row r="1332" spans="1:45" x14ac:dyDescent="0.2">
      <c r="A1332">
        <f t="shared" si="82"/>
        <v>2025</v>
      </c>
      <c r="B1332">
        <f t="shared" si="83"/>
        <v>11</v>
      </c>
      <c r="C1332">
        <f t="shared" si="84"/>
        <v>46</v>
      </c>
      <c r="D1332" s="2">
        <f t="shared" si="85"/>
        <v>45972</v>
      </c>
      <c r="E1332" s="1">
        <v>45972.416666666664</v>
      </c>
      <c r="F1332" t="s">
        <v>4272</v>
      </c>
      <c r="G1332" t="s">
        <v>36</v>
      </c>
      <c r="H1332">
        <v>467175</v>
      </c>
      <c r="I1332" t="s">
        <v>51</v>
      </c>
      <c r="J1332" t="s">
        <v>126</v>
      </c>
      <c r="M1332" t="s">
        <v>40</v>
      </c>
      <c r="N1332" t="s">
        <v>41</v>
      </c>
      <c r="O1332" t="s">
        <v>127</v>
      </c>
      <c r="P1332">
        <v>33</v>
      </c>
      <c r="Q1332">
        <v>0</v>
      </c>
      <c r="R1332">
        <v>0</v>
      </c>
      <c r="S1332">
        <v>0</v>
      </c>
      <c r="T1332" t="s">
        <v>54</v>
      </c>
      <c r="U1332" t="s">
        <v>55</v>
      </c>
      <c r="W1332" t="s">
        <v>4273</v>
      </c>
      <c r="Y1332">
        <v>0</v>
      </c>
      <c r="AA1332" t="s">
        <v>40</v>
      </c>
      <c r="AB1332" t="s">
        <v>46</v>
      </c>
      <c r="AC1332" t="s">
        <v>47</v>
      </c>
      <c r="AG1332" t="s">
        <v>4274</v>
      </c>
      <c r="AJ1332" t="s">
        <v>40</v>
      </c>
      <c r="AK1332">
        <v>5019357384</v>
      </c>
      <c r="AO1332" s="1">
        <v>45972</v>
      </c>
      <c r="AP1332" s="5">
        <v>0.41666666666666669</v>
      </c>
      <c r="AS1332">
        <v>1</v>
      </c>
    </row>
    <row r="1333" spans="1:45" x14ac:dyDescent="0.2">
      <c r="A1333">
        <f t="shared" si="82"/>
        <v>2025</v>
      </c>
      <c r="B1333">
        <f t="shared" si="83"/>
        <v>11</v>
      </c>
      <c r="C1333">
        <f t="shared" si="84"/>
        <v>46</v>
      </c>
      <c r="D1333" s="2">
        <f t="shared" si="85"/>
        <v>45972</v>
      </c>
      <c r="E1333" s="1">
        <v>45972.416666666664</v>
      </c>
      <c r="F1333" t="s">
        <v>4275</v>
      </c>
      <c r="G1333" t="s">
        <v>36</v>
      </c>
      <c r="H1333" t="s">
        <v>4276</v>
      </c>
      <c r="I1333" t="s">
        <v>78</v>
      </c>
      <c r="J1333" t="s">
        <v>834</v>
      </c>
      <c r="M1333" t="s">
        <v>40</v>
      </c>
      <c r="N1333" t="s">
        <v>41</v>
      </c>
      <c r="O1333" t="s">
        <v>835</v>
      </c>
      <c r="P1333">
        <v>66</v>
      </c>
      <c r="Q1333">
        <v>0</v>
      </c>
      <c r="R1333">
        <v>0</v>
      </c>
      <c r="S1333">
        <v>0</v>
      </c>
      <c r="T1333" t="s">
        <v>54</v>
      </c>
      <c r="U1333" t="s">
        <v>55</v>
      </c>
      <c r="W1333" t="s">
        <v>4277</v>
      </c>
      <c r="X1333" t="s">
        <v>4278</v>
      </c>
      <c r="Y1333">
        <v>0</v>
      </c>
      <c r="AA1333" t="s">
        <v>40</v>
      </c>
      <c r="AB1333" t="s">
        <v>46</v>
      </c>
      <c r="AC1333" t="s">
        <v>47</v>
      </c>
      <c r="AD1333" t="s">
        <v>81</v>
      </c>
      <c r="AE1333" t="s">
        <v>81</v>
      </c>
      <c r="AG1333" t="s">
        <v>4279</v>
      </c>
      <c r="AJ1333" t="s">
        <v>40</v>
      </c>
      <c r="AK1333" t="s">
        <v>4280</v>
      </c>
      <c r="AL1333" t="s">
        <v>4281</v>
      </c>
      <c r="AO1333" s="1">
        <v>45972</v>
      </c>
      <c r="AP1333" s="5">
        <v>0.41666666666666669</v>
      </c>
      <c r="AS1333">
        <v>1</v>
      </c>
    </row>
    <row r="1334" spans="1:45" x14ac:dyDescent="0.2">
      <c r="A1334">
        <f t="shared" si="82"/>
        <v>2025</v>
      </c>
      <c r="B1334">
        <f t="shared" si="83"/>
        <v>11</v>
      </c>
      <c r="C1334">
        <f t="shared" si="84"/>
        <v>46</v>
      </c>
      <c r="D1334" s="2">
        <f t="shared" si="85"/>
        <v>45972</v>
      </c>
      <c r="E1334" s="1">
        <v>45972.458333333336</v>
      </c>
      <c r="F1334" t="s">
        <v>4282</v>
      </c>
      <c r="G1334" t="s">
        <v>36</v>
      </c>
      <c r="H1334" t="s">
        <v>4283</v>
      </c>
      <c r="I1334" t="s">
        <v>38</v>
      </c>
      <c r="J1334" t="s">
        <v>254</v>
      </c>
      <c r="N1334" t="s">
        <v>41</v>
      </c>
      <c r="O1334" t="s">
        <v>42</v>
      </c>
      <c r="P1334">
        <v>4</v>
      </c>
      <c r="Q1334">
        <v>0</v>
      </c>
      <c r="R1334">
        <v>0</v>
      </c>
      <c r="S1334">
        <v>0</v>
      </c>
      <c r="T1334" t="s">
        <v>4284</v>
      </c>
      <c r="U1334" t="s">
        <v>294</v>
      </c>
      <c r="W1334" t="s">
        <v>4285</v>
      </c>
      <c r="Y1334">
        <v>0</v>
      </c>
      <c r="AA1334" t="s">
        <v>40</v>
      </c>
      <c r="AC1334" t="s">
        <v>47</v>
      </c>
      <c r="AF1334" t="s">
        <v>295</v>
      </c>
      <c r="AJ1334" t="s">
        <v>40</v>
      </c>
      <c r="AK1334" t="s">
        <v>49</v>
      </c>
      <c r="AO1334" s="1">
        <v>45972</v>
      </c>
      <c r="AP1334" s="5">
        <v>0.45833333333333331</v>
      </c>
      <c r="AS1334">
        <v>1</v>
      </c>
    </row>
    <row r="1335" spans="1:45" x14ac:dyDescent="0.2">
      <c r="A1335">
        <f t="shared" si="82"/>
        <v>2025</v>
      </c>
      <c r="B1335">
        <f t="shared" si="83"/>
        <v>11</v>
      </c>
      <c r="C1335">
        <f t="shared" si="84"/>
        <v>46</v>
      </c>
      <c r="D1335" s="2">
        <f t="shared" si="85"/>
        <v>45972</v>
      </c>
      <c r="E1335" s="1">
        <v>45972.458333333336</v>
      </c>
      <c r="F1335" t="s">
        <v>4286</v>
      </c>
      <c r="G1335" t="s">
        <v>36</v>
      </c>
      <c r="H1335" t="s">
        <v>37</v>
      </c>
      <c r="I1335" t="s">
        <v>38</v>
      </c>
      <c r="J1335" t="s">
        <v>112</v>
      </c>
      <c r="M1335" t="s">
        <v>40</v>
      </c>
      <c r="N1335" t="s">
        <v>41</v>
      </c>
      <c r="O1335" t="s">
        <v>42</v>
      </c>
      <c r="P1335">
        <v>23</v>
      </c>
      <c r="Q1335">
        <v>0</v>
      </c>
      <c r="R1335">
        <v>0</v>
      </c>
      <c r="S1335">
        <v>0</v>
      </c>
      <c r="T1335" t="s">
        <v>4287</v>
      </c>
      <c r="U1335" t="s">
        <v>44</v>
      </c>
      <c r="W1335" t="s">
        <v>4185</v>
      </c>
      <c r="Y1335">
        <v>0</v>
      </c>
      <c r="AA1335" t="s">
        <v>40</v>
      </c>
      <c r="AB1335" t="s">
        <v>46</v>
      </c>
      <c r="AC1335" t="s">
        <v>47</v>
      </c>
      <c r="AF1335" t="s">
        <v>48</v>
      </c>
      <c r="AJ1335" t="s">
        <v>40</v>
      </c>
      <c r="AK1335" t="s">
        <v>49</v>
      </c>
      <c r="AO1335" s="1">
        <v>45972</v>
      </c>
      <c r="AP1335" s="5">
        <v>0.45833333333333331</v>
      </c>
      <c r="AS1335">
        <v>1</v>
      </c>
    </row>
    <row r="1336" spans="1:45" x14ac:dyDescent="0.2">
      <c r="A1336">
        <f t="shared" si="82"/>
        <v>2025</v>
      </c>
      <c r="B1336">
        <f t="shared" si="83"/>
        <v>11</v>
      </c>
      <c r="C1336">
        <f t="shared" si="84"/>
        <v>46</v>
      </c>
      <c r="D1336" s="2">
        <f t="shared" si="85"/>
        <v>45972</v>
      </c>
      <c r="E1336" s="1">
        <v>45972.458333333336</v>
      </c>
      <c r="F1336" t="s">
        <v>4288</v>
      </c>
      <c r="G1336" t="s">
        <v>36</v>
      </c>
      <c r="H1336" t="s">
        <v>37</v>
      </c>
      <c r="I1336" t="s">
        <v>38</v>
      </c>
      <c r="J1336" t="s">
        <v>112</v>
      </c>
      <c r="M1336" t="s">
        <v>40</v>
      </c>
      <c r="N1336" t="s">
        <v>41</v>
      </c>
      <c r="O1336" t="s">
        <v>42</v>
      </c>
      <c r="P1336">
        <v>23</v>
      </c>
      <c r="Q1336">
        <v>0</v>
      </c>
      <c r="R1336">
        <v>0</v>
      </c>
      <c r="S1336">
        <v>0</v>
      </c>
      <c r="T1336" t="s">
        <v>4289</v>
      </c>
      <c r="U1336" t="s">
        <v>44</v>
      </c>
      <c r="W1336" t="s">
        <v>4185</v>
      </c>
      <c r="Y1336">
        <v>0</v>
      </c>
      <c r="AA1336" t="s">
        <v>40</v>
      </c>
      <c r="AB1336" t="s">
        <v>46</v>
      </c>
      <c r="AC1336" t="s">
        <v>47</v>
      </c>
      <c r="AF1336" t="s">
        <v>48</v>
      </c>
      <c r="AJ1336" t="s">
        <v>40</v>
      </c>
      <c r="AK1336" t="s">
        <v>49</v>
      </c>
      <c r="AO1336" s="1">
        <v>45972</v>
      </c>
      <c r="AP1336" s="5">
        <v>0.45833333333333331</v>
      </c>
      <c r="AS1336">
        <v>1</v>
      </c>
    </row>
    <row r="1337" spans="1:45" x14ac:dyDescent="0.2">
      <c r="A1337">
        <f t="shared" si="82"/>
        <v>2025</v>
      </c>
      <c r="B1337">
        <f t="shared" si="83"/>
        <v>11</v>
      </c>
      <c r="C1337">
        <f t="shared" si="84"/>
        <v>46</v>
      </c>
      <c r="D1337" s="2">
        <f t="shared" si="85"/>
        <v>45972</v>
      </c>
      <c r="E1337" s="1">
        <v>45972.458333333336</v>
      </c>
      <c r="F1337" t="s">
        <v>4290</v>
      </c>
      <c r="G1337" t="s">
        <v>36</v>
      </c>
      <c r="H1337" t="s">
        <v>37</v>
      </c>
      <c r="I1337" t="s">
        <v>38</v>
      </c>
      <c r="J1337" t="s">
        <v>112</v>
      </c>
      <c r="M1337" t="s">
        <v>40</v>
      </c>
      <c r="N1337" t="s">
        <v>41</v>
      </c>
      <c r="O1337" t="s">
        <v>42</v>
      </c>
      <c r="P1337">
        <v>23</v>
      </c>
      <c r="Q1337">
        <v>0</v>
      </c>
      <c r="R1337">
        <v>0</v>
      </c>
      <c r="S1337">
        <v>0</v>
      </c>
      <c r="T1337" t="s">
        <v>4291</v>
      </c>
      <c r="U1337" t="s">
        <v>44</v>
      </c>
      <c r="W1337" t="s">
        <v>4185</v>
      </c>
      <c r="Y1337">
        <v>0</v>
      </c>
      <c r="AA1337" t="s">
        <v>40</v>
      </c>
      <c r="AB1337" t="s">
        <v>46</v>
      </c>
      <c r="AC1337" t="s">
        <v>47</v>
      </c>
      <c r="AF1337" t="s">
        <v>48</v>
      </c>
      <c r="AJ1337" t="s">
        <v>40</v>
      </c>
      <c r="AK1337" t="s">
        <v>49</v>
      </c>
      <c r="AO1337" s="1">
        <v>45972</v>
      </c>
      <c r="AP1337" s="5">
        <v>0.45833333333333331</v>
      </c>
      <c r="AS1337">
        <v>1</v>
      </c>
    </row>
    <row r="1338" spans="1:45" x14ac:dyDescent="0.2">
      <c r="A1338">
        <f t="shared" si="82"/>
        <v>2025</v>
      </c>
      <c r="B1338">
        <f t="shared" si="83"/>
        <v>11</v>
      </c>
      <c r="C1338">
        <f t="shared" si="84"/>
        <v>46</v>
      </c>
      <c r="D1338" s="2">
        <f t="shared" si="85"/>
        <v>45972</v>
      </c>
      <c r="E1338" s="1">
        <v>45972.5</v>
      </c>
      <c r="F1338" t="s">
        <v>4292</v>
      </c>
      <c r="G1338" t="s">
        <v>36</v>
      </c>
      <c r="H1338">
        <v>467169</v>
      </c>
      <c r="I1338" t="s">
        <v>51</v>
      </c>
      <c r="J1338" t="s">
        <v>200</v>
      </c>
      <c r="M1338" t="s">
        <v>40</v>
      </c>
      <c r="N1338" t="s">
        <v>41</v>
      </c>
      <c r="O1338" t="s">
        <v>182</v>
      </c>
      <c r="P1338">
        <v>33</v>
      </c>
      <c r="Q1338">
        <v>0</v>
      </c>
      <c r="R1338">
        <v>0</v>
      </c>
      <c r="S1338">
        <v>0</v>
      </c>
      <c r="T1338" t="s">
        <v>54</v>
      </c>
      <c r="U1338" t="s">
        <v>55</v>
      </c>
      <c r="W1338" t="s">
        <v>4293</v>
      </c>
      <c r="Y1338">
        <v>0</v>
      </c>
      <c r="AA1338" t="s">
        <v>40</v>
      </c>
      <c r="AB1338" t="s">
        <v>46</v>
      </c>
      <c r="AC1338" t="s">
        <v>47</v>
      </c>
      <c r="AG1338" t="s">
        <v>4294</v>
      </c>
      <c r="AJ1338" t="s">
        <v>40</v>
      </c>
      <c r="AK1338">
        <v>5019375646</v>
      </c>
      <c r="AO1338" s="1">
        <v>45972</v>
      </c>
      <c r="AP1338" s="5">
        <v>0.5</v>
      </c>
      <c r="AS1338">
        <v>1</v>
      </c>
    </row>
    <row r="1339" spans="1:45" x14ac:dyDescent="0.2">
      <c r="A1339">
        <f t="shared" si="82"/>
        <v>2025</v>
      </c>
      <c r="B1339">
        <f t="shared" si="83"/>
        <v>11</v>
      </c>
      <c r="C1339">
        <f t="shared" si="84"/>
        <v>46</v>
      </c>
      <c r="D1339" s="2">
        <f t="shared" si="85"/>
        <v>45972</v>
      </c>
      <c r="E1339" s="1">
        <v>45972.5</v>
      </c>
      <c r="F1339" t="s">
        <v>4295</v>
      </c>
      <c r="G1339" t="s">
        <v>36</v>
      </c>
      <c r="H1339" t="s">
        <v>4296</v>
      </c>
      <c r="I1339" t="s">
        <v>78</v>
      </c>
      <c r="J1339" t="s">
        <v>52</v>
      </c>
      <c r="M1339" t="s">
        <v>40</v>
      </c>
      <c r="N1339" t="s">
        <v>41</v>
      </c>
      <c r="O1339" t="s">
        <v>145</v>
      </c>
      <c r="P1339">
        <v>66</v>
      </c>
      <c r="Q1339">
        <v>0</v>
      </c>
      <c r="R1339">
        <v>0</v>
      </c>
      <c r="S1339">
        <v>0</v>
      </c>
      <c r="T1339" t="s">
        <v>54</v>
      </c>
      <c r="U1339" t="s">
        <v>55</v>
      </c>
      <c r="W1339" t="s">
        <v>4234</v>
      </c>
      <c r="Y1339">
        <v>0</v>
      </c>
      <c r="AA1339" t="s">
        <v>40</v>
      </c>
      <c r="AB1339" t="s">
        <v>46</v>
      </c>
      <c r="AC1339" t="s">
        <v>47</v>
      </c>
      <c r="AD1339" t="s">
        <v>81</v>
      </c>
      <c r="AE1339" t="s">
        <v>81</v>
      </c>
      <c r="AG1339" t="s">
        <v>4297</v>
      </c>
      <c r="AJ1339" t="s">
        <v>40</v>
      </c>
      <c r="AK1339" t="s">
        <v>4298</v>
      </c>
      <c r="AO1339" s="1">
        <v>45972</v>
      </c>
      <c r="AP1339" s="5">
        <v>0.5</v>
      </c>
      <c r="AS1339">
        <v>1</v>
      </c>
    </row>
    <row r="1340" spans="1:45" x14ac:dyDescent="0.2">
      <c r="A1340">
        <f t="shared" si="82"/>
        <v>2025</v>
      </c>
      <c r="B1340">
        <f t="shared" si="83"/>
        <v>11</v>
      </c>
      <c r="C1340">
        <f t="shared" si="84"/>
        <v>46</v>
      </c>
      <c r="D1340" s="2">
        <f t="shared" si="85"/>
        <v>45972</v>
      </c>
      <c r="E1340" s="1">
        <v>45972.5</v>
      </c>
      <c r="F1340" t="s">
        <v>4299</v>
      </c>
      <c r="G1340" t="s">
        <v>36</v>
      </c>
      <c r="H1340" t="s">
        <v>111</v>
      </c>
      <c r="I1340" t="s">
        <v>38</v>
      </c>
      <c r="J1340" t="s">
        <v>99</v>
      </c>
      <c r="M1340" t="s">
        <v>40</v>
      </c>
      <c r="N1340" t="s">
        <v>41</v>
      </c>
      <c r="O1340" t="s">
        <v>42</v>
      </c>
      <c r="P1340">
        <v>23</v>
      </c>
      <c r="Q1340">
        <v>0</v>
      </c>
      <c r="R1340">
        <v>0</v>
      </c>
      <c r="S1340">
        <v>0</v>
      </c>
      <c r="T1340" t="s">
        <v>4300</v>
      </c>
      <c r="U1340" t="s">
        <v>44</v>
      </c>
      <c r="W1340" t="s">
        <v>3830</v>
      </c>
      <c r="Y1340">
        <v>0</v>
      </c>
      <c r="AA1340" t="s">
        <v>40</v>
      </c>
      <c r="AB1340" t="s">
        <v>46</v>
      </c>
      <c r="AC1340" t="s">
        <v>47</v>
      </c>
      <c r="AF1340" t="s">
        <v>677</v>
      </c>
      <c r="AJ1340" t="s">
        <v>40</v>
      </c>
      <c r="AK1340" t="s">
        <v>49</v>
      </c>
      <c r="AO1340" s="1">
        <v>45972</v>
      </c>
      <c r="AP1340" s="5">
        <v>0.5</v>
      </c>
      <c r="AS1340">
        <v>1</v>
      </c>
    </row>
    <row r="1341" spans="1:45" x14ac:dyDescent="0.2">
      <c r="A1341">
        <f t="shared" si="82"/>
        <v>2025</v>
      </c>
      <c r="B1341">
        <f t="shared" si="83"/>
        <v>11</v>
      </c>
      <c r="C1341">
        <f t="shared" si="84"/>
        <v>46</v>
      </c>
      <c r="D1341" s="2">
        <f t="shared" si="85"/>
        <v>45972</v>
      </c>
      <c r="E1341" s="1">
        <v>45972.5</v>
      </c>
      <c r="F1341" t="s">
        <v>4301</v>
      </c>
      <c r="G1341" t="s">
        <v>36</v>
      </c>
      <c r="H1341" t="s">
        <v>106</v>
      </c>
      <c r="I1341" t="s">
        <v>38</v>
      </c>
      <c r="J1341" t="s">
        <v>107</v>
      </c>
      <c r="M1341" t="s">
        <v>40</v>
      </c>
      <c r="N1341" t="s">
        <v>41</v>
      </c>
      <c r="O1341" t="s">
        <v>42</v>
      </c>
      <c r="P1341">
        <v>33</v>
      </c>
      <c r="Q1341">
        <v>0</v>
      </c>
      <c r="R1341">
        <v>0</v>
      </c>
      <c r="S1341">
        <v>0</v>
      </c>
      <c r="T1341" t="s">
        <v>4302</v>
      </c>
      <c r="U1341" t="s">
        <v>44</v>
      </c>
      <c r="W1341" t="s">
        <v>3830</v>
      </c>
      <c r="Y1341">
        <v>0</v>
      </c>
      <c r="AA1341" t="s">
        <v>40</v>
      </c>
      <c r="AB1341" t="s">
        <v>46</v>
      </c>
      <c r="AC1341" t="s">
        <v>47</v>
      </c>
      <c r="AF1341" t="s">
        <v>2869</v>
      </c>
      <c r="AJ1341" t="s">
        <v>40</v>
      </c>
      <c r="AK1341" t="s">
        <v>49</v>
      </c>
      <c r="AO1341" s="1">
        <v>45972</v>
      </c>
      <c r="AP1341" s="5">
        <v>0.5</v>
      </c>
      <c r="AS1341">
        <v>1</v>
      </c>
    </row>
    <row r="1342" spans="1:45" x14ac:dyDescent="0.2">
      <c r="A1342">
        <f t="shared" si="82"/>
        <v>2025</v>
      </c>
      <c r="B1342">
        <f t="shared" si="83"/>
        <v>11</v>
      </c>
      <c r="C1342">
        <f t="shared" si="84"/>
        <v>46</v>
      </c>
      <c r="D1342" s="2">
        <f t="shared" si="85"/>
        <v>45972</v>
      </c>
      <c r="E1342" s="1">
        <v>45972.541666666664</v>
      </c>
      <c r="F1342" t="s">
        <v>4303</v>
      </c>
      <c r="G1342" t="s">
        <v>36</v>
      </c>
      <c r="H1342">
        <v>470155</v>
      </c>
      <c r="I1342" t="s">
        <v>51</v>
      </c>
      <c r="J1342" t="s">
        <v>154</v>
      </c>
      <c r="M1342" t="s">
        <v>40</v>
      </c>
      <c r="N1342" t="s">
        <v>41</v>
      </c>
      <c r="O1342" t="s">
        <v>53</v>
      </c>
      <c r="P1342">
        <v>33</v>
      </c>
      <c r="Q1342">
        <v>0</v>
      </c>
      <c r="R1342">
        <v>0</v>
      </c>
      <c r="S1342">
        <v>0</v>
      </c>
      <c r="T1342" t="s">
        <v>54</v>
      </c>
      <c r="U1342" t="s">
        <v>55</v>
      </c>
      <c r="W1342" t="s">
        <v>3872</v>
      </c>
      <c r="Y1342">
        <v>0</v>
      </c>
      <c r="AA1342" t="s">
        <v>40</v>
      </c>
      <c r="AB1342" t="s">
        <v>46</v>
      </c>
      <c r="AC1342" t="s">
        <v>47</v>
      </c>
      <c r="AG1342" t="s">
        <v>4304</v>
      </c>
      <c r="AJ1342" t="s">
        <v>40</v>
      </c>
      <c r="AK1342">
        <v>5019365406</v>
      </c>
      <c r="AO1342" s="1">
        <v>45972</v>
      </c>
      <c r="AP1342" s="5">
        <v>0.54166666666666663</v>
      </c>
      <c r="AS1342">
        <v>1</v>
      </c>
    </row>
    <row r="1343" spans="1:45" x14ac:dyDescent="0.2">
      <c r="A1343">
        <f t="shared" si="82"/>
        <v>2025</v>
      </c>
      <c r="B1343">
        <f t="shared" si="83"/>
        <v>11</v>
      </c>
      <c r="C1343">
        <f t="shared" si="84"/>
        <v>46</v>
      </c>
      <c r="D1343" s="2">
        <f t="shared" si="85"/>
        <v>45972</v>
      </c>
      <c r="E1343" s="1">
        <v>45972.541666666664</v>
      </c>
      <c r="F1343" t="s">
        <v>4305</v>
      </c>
      <c r="G1343" t="s">
        <v>36</v>
      </c>
      <c r="H1343" t="s">
        <v>2358</v>
      </c>
      <c r="I1343" t="s">
        <v>1042</v>
      </c>
      <c r="J1343" t="s">
        <v>39</v>
      </c>
      <c r="M1343" t="s">
        <v>40</v>
      </c>
      <c r="N1343" t="s">
        <v>41</v>
      </c>
      <c r="O1343" t="s">
        <v>1043</v>
      </c>
      <c r="P1343">
        <v>13</v>
      </c>
      <c r="Q1343">
        <v>0</v>
      </c>
      <c r="R1343">
        <v>0</v>
      </c>
      <c r="S1343">
        <v>0</v>
      </c>
      <c r="T1343" t="s">
        <v>4306</v>
      </c>
      <c r="U1343" t="s">
        <v>44</v>
      </c>
      <c r="W1343" t="s">
        <v>4307</v>
      </c>
      <c r="Y1343">
        <v>0</v>
      </c>
      <c r="AA1343" t="s">
        <v>40</v>
      </c>
      <c r="AB1343" t="s">
        <v>46</v>
      </c>
      <c r="AC1343" t="s">
        <v>47</v>
      </c>
      <c r="AD1343" t="s">
        <v>81</v>
      </c>
      <c r="AE1343" t="s">
        <v>81</v>
      </c>
      <c r="AF1343" t="s">
        <v>1001</v>
      </c>
      <c r="AG1343" t="s">
        <v>81</v>
      </c>
      <c r="AJ1343" t="s">
        <v>40</v>
      </c>
      <c r="AK1343" t="s">
        <v>49</v>
      </c>
      <c r="AL1343" t="s">
        <v>1045</v>
      </c>
      <c r="AO1343" s="1">
        <v>45972</v>
      </c>
      <c r="AP1343" s="5">
        <v>0.54166666666666663</v>
      </c>
      <c r="AS1343">
        <v>1</v>
      </c>
    </row>
    <row r="1344" spans="1:45" x14ac:dyDescent="0.2">
      <c r="A1344">
        <f t="shared" si="82"/>
        <v>2025</v>
      </c>
      <c r="B1344">
        <f t="shared" si="83"/>
        <v>11</v>
      </c>
      <c r="C1344">
        <f t="shared" si="84"/>
        <v>46</v>
      </c>
      <c r="D1344" s="2">
        <f t="shared" si="85"/>
        <v>45972</v>
      </c>
      <c r="E1344" s="1">
        <v>45972.541666666664</v>
      </c>
      <c r="F1344" t="s">
        <v>4308</v>
      </c>
      <c r="G1344" t="s">
        <v>36</v>
      </c>
      <c r="H1344" t="s">
        <v>111</v>
      </c>
      <c r="I1344" t="s">
        <v>38</v>
      </c>
      <c r="J1344" t="s">
        <v>99</v>
      </c>
      <c r="M1344" t="s">
        <v>40</v>
      </c>
      <c r="N1344" t="s">
        <v>41</v>
      </c>
      <c r="O1344" t="s">
        <v>42</v>
      </c>
      <c r="P1344">
        <v>23</v>
      </c>
      <c r="Q1344">
        <v>0</v>
      </c>
      <c r="R1344">
        <v>0</v>
      </c>
      <c r="S1344">
        <v>0</v>
      </c>
      <c r="T1344" t="s">
        <v>4309</v>
      </c>
      <c r="U1344" t="s">
        <v>44</v>
      </c>
      <c r="W1344" t="s">
        <v>4307</v>
      </c>
      <c r="Y1344">
        <v>0</v>
      </c>
      <c r="AA1344" t="s">
        <v>40</v>
      </c>
      <c r="AB1344" t="s">
        <v>46</v>
      </c>
      <c r="AC1344" t="s">
        <v>47</v>
      </c>
      <c r="AF1344" t="s">
        <v>677</v>
      </c>
      <c r="AJ1344" t="s">
        <v>40</v>
      </c>
      <c r="AK1344" t="s">
        <v>49</v>
      </c>
      <c r="AO1344" s="1">
        <v>45972</v>
      </c>
      <c r="AP1344" s="5">
        <v>0.54166666666666663</v>
      </c>
      <c r="AS1344">
        <v>1</v>
      </c>
    </row>
    <row r="1345" spans="1:45" x14ac:dyDescent="0.2">
      <c r="A1345">
        <f t="shared" si="82"/>
        <v>2025</v>
      </c>
      <c r="B1345">
        <f t="shared" si="83"/>
        <v>11</v>
      </c>
      <c r="C1345">
        <f t="shared" si="84"/>
        <v>46</v>
      </c>
      <c r="D1345" s="2">
        <f t="shared" si="85"/>
        <v>45972</v>
      </c>
      <c r="E1345" s="1">
        <v>45972.583333333336</v>
      </c>
      <c r="F1345" t="s">
        <v>4310</v>
      </c>
      <c r="G1345" t="s">
        <v>36</v>
      </c>
      <c r="H1345" t="s">
        <v>111</v>
      </c>
      <c r="I1345" t="s">
        <v>38</v>
      </c>
      <c r="J1345" t="s">
        <v>99</v>
      </c>
      <c r="M1345" t="s">
        <v>40</v>
      </c>
      <c r="N1345" t="s">
        <v>41</v>
      </c>
      <c r="O1345" t="s">
        <v>42</v>
      </c>
      <c r="P1345">
        <v>23</v>
      </c>
      <c r="Q1345">
        <v>0</v>
      </c>
      <c r="R1345">
        <v>0</v>
      </c>
      <c r="S1345">
        <v>0</v>
      </c>
      <c r="T1345" t="s">
        <v>4311</v>
      </c>
      <c r="U1345" t="s">
        <v>44</v>
      </c>
      <c r="W1345" t="s">
        <v>4312</v>
      </c>
      <c r="Y1345">
        <v>0</v>
      </c>
      <c r="AA1345" t="s">
        <v>40</v>
      </c>
      <c r="AB1345" t="s">
        <v>46</v>
      </c>
      <c r="AC1345" t="s">
        <v>47</v>
      </c>
      <c r="AF1345" t="s">
        <v>677</v>
      </c>
      <c r="AJ1345" t="s">
        <v>40</v>
      </c>
      <c r="AK1345" t="s">
        <v>49</v>
      </c>
      <c r="AO1345" s="1">
        <v>45972</v>
      </c>
      <c r="AP1345" s="5">
        <v>0.58333333333333337</v>
      </c>
      <c r="AS1345">
        <v>1</v>
      </c>
    </row>
    <row r="1346" spans="1:45" x14ac:dyDescent="0.2">
      <c r="A1346">
        <f t="shared" ref="A1346:A1409" si="86">YEAR(D1346)</f>
        <v>2025</v>
      </c>
      <c r="B1346">
        <f t="shared" ref="B1346:B1409" si="87">MONTH(D1346)</f>
        <v>11</v>
      </c>
      <c r="C1346">
        <f t="shared" ref="C1346:C1409" si="88">WEEKNUM(D1346)</f>
        <v>46</v>
      </c>
      <c r="D1346" s="2">
        <f t="shared" ref="D1346:D1409" si="89">INT(E1346)</f>
        <v>45972</v>
      </c>
      <c r="E1346" s="1">
        <v>45972.583333333336</v>
      </c>
      <c r="F1346" t="s">
        <v>4313</v>
      </c>
      <c r="G1346" t="s">
        <v>36</v>
      </c>
      <c r="H1346" t="s">
        <v>1167</v>
      </c>
      <c r="I1346" t="s">
        <v>38</v>
      </c>
      <c r="J1346" t="s">
        <v>1168</v>
      </c>
      <c r="M1346" t="s">
        <v>40</v>
      </c>
      <c r="N1346" t="s">
        <v>41</v>
      </c>
      <c r="O1346" t="s">
        <v>42</v>
      </c>
      <c r="P1346">
        <v>12</v>
      </c>
      <c r="Q1346">
        <v>0</v>
      </c>
      <c r="R1346">
        <v>0</v>
      </c>
      <c r="S1346">
        <v>0</v>
      </c>
      <c r="T1346" t="s">
        <v>4314</v>
      </c>
      <c r="U1346" t="s">
        <v>44</v>
      </c>
      <c r="W1346" t="s">
        <v>3830</v>
      </c>
      <c r="Y1346">
        <v>0</v>
      </c>
      <c r="AA1346" t="s">
        <v>40</v>
      </c>
      <c r="AB1346" t="s">
        <v>46</v>
      </c>
      <c r="AC1346" t="s">
        <v>47</v>
      </c>
      <c r="AF1346" t="s">
        <v>1169</v>
      </c>
      <c r="AJ1346" t="s">
        <v>40</v>
      </c>
      <c r="AK1346" t="s">
        <v>49</v>
      </c>
      <c r="AO1346" s="1">
        <v>45972</v>
      </c>
      <c r="AP1346" s="5">
        <v>0.58333333333333337</v>
      </c>
      <c r="AS1346">
        <v>1</v>
      </c>
    </row>
    <row r="1347" spans="1:45" x14ac:dyDescent="0.2">
      <c r="A1347">
        <f t="shared" si="86"/>
        <v>2025</v>
      </c>
      <c r="B1347">
        <f t="shared" si="87"/>
        <v>11</v>
      </c>
      <c r="C1347">
        <f t="shared" si="88"/>
        <v>46</v>
      </c>
      <c r="D1347" s="2">
        <f t="shared" si="89"/>
        <v>45972</v>
      </c>
      <c r="E1347" s="1">
        <v>45972.583333333336</v>
      </c>
      <c r="F1347" t="s">
        <v>4315</v>
      </c>
      <c r="G1347" t="s">
        <v>36</v>
      </c>
      <c r="H1347" t="s">
        <v>879</v>
      </c>
      <c r="I1347" t="s">
        <v>38</v>
      </c>
      <c r="J1347" t="s">
        <v>880</v>
      </c>
      <c r="M1347" t="s">
        <v>40</v>
      </c>
      <c r="N1347" t="s">
        <v>41</v>
      </c>
      <c r="O1347" t="s">
        <v>42</v>
      </c>
      <c r="P1347">
        <v>6</v>
      </c>
      <c r="Q1347">
        <v>0</v>
      </c>
      <c r="R1347">
        <v>0</v>
      </c>
      <c r="S1347">
        <v>0</v>
      </c>
      <c r="T1347">
        <v>5019233076</v>
      </c>
      <c r="U1347" t="s">
        <v>101</v>
      </c>
      <c r="W1347" t="s">
        <v>3830</v>
      </c>
      <c r="Y1347">
        <v>0</v>
      </c>
      <c r="AA1347" t="s">
        <v>40</v>
      </c>
      <c r="AB1347" t="s">
        <v>46</v>
      </c>
      <c r="AC1347" t="s">
        <v>47</v>
      </c>
      <c r="AF1347" t="s">
        <v>882</v>
      </c>
      <c r="AJ1347" t="s">
        <v>40</v>
      </c>
      <c r="AK1347" t="s">
        <v>49</v>
      </c>
      <c r="AO1347" s="1">
        <v>45972</v>
      </c>
      <c r="AP1347" s="5">
        <v>0.58333333333333337</v>
      </c>
      <c r="AS1347">
        <v>1</v>
      </c>
    </row>
    <row r="1348" spans="1:45" x14ac:dyDescent="0.2">
      <c r="A1348">
        <f t="shared" si="86"/>
        <v>2025</v>
      </c>
      <c r="B1348">
        <f t="shared" si="87"/>
        <v>11</v>
      </c>
      <c r="C1348">
        <f t="shared" si="88"/>
        <v>46</v>
      </c>
      <c r="D1348" s="2">
        <f t="shared" si="89"/>
        <v>45972</v>
      </c>
      <c r="E1348" s="1">
        <v>45972.583333333336</v>
      </c>
      <c r="F1348" t="s">
        <v>4316</v>
      </c>
      <c r="G1348" t="s">
        <v>36</v>
      </c>
      <c r="H1348">
        <v>467182</v>
      </c>
      <c r="I1348" t="s">
        <v>51</v>
      </c>
      <c r="J1348" t="s">
        <v>154</v>
      </c>
      <c r="M1348" t="s">
        <v>40</v>
      </c>
      <c r="N1348" t="s">
        <v>41</v>
      </c>
      <c r="O1348" t="s">
        <v>155</v>
      </c>
      <c r="P1348">
        <v>33</v>
      </c>
      <c r="Q1348">
        <v>0</v>
      </c>
      <c r="R1348">
        <v>0</v>
      </c>
      <c r="S1348">
        <v>0</v>
      </c>
      <c r="T1348" t="s">
        <v>54</v>
      </c>
      <c r="U1348" t="s">
        <v>55</v>
      </c>
      <c r="W1348" t="s">
        <v>4185</v>
      </c>
      <c r="Y1348">
        <v>0</v>
      </c>
      <c r="AA1348" t="s">
        <v>40</v>
      </c>
      <c r="AB1348" t="s">
        <v>46</v>
      </c>
      <c r="AC1348" t="s">
        <v>47</v>
      </c>
      <c r="AG1348" t="s">
        <v>4317</v>
      </c>
      <c r="AJ1348" t="s">
        <v>40</v>
      </c>
      <c r="AK1348">
        <v>5019376211</v>
      </c>
      <c r="AO1348" s="1">
        <v>45972</v>
      </c>
      <c r="AP1348" s="5">
        <v>0.58333333333333337</v>
      </c>
      <c r="AS1348">
        <v>1</v>
      </c>
    </row>
    <row r="1349" spans="1:45" x14ac:dyDescent="0.2">
      <c r="A1349">
        <f t="shared" si="86"/>
        <v>2025</v>
      </c>
      <c r="B1349">
        <f t="shared" si="87"/>
        <v>11</v>
      </c>
      <c r="C1349">
        <f t="shared" si="88"/>
        <v>46</v>
      </c>
      <c r="D1349" s="2">
        <f t="shared" si="89"/>
        <v>45972</v>
      </c>
      <c r="E1349" s="1">
        <v>45972.625</v>
      </c>
      <c r="F1349" t="s">
        <v>4318</v>
      </c>
      <c r="G1349" t="s">
        <v>36</v>
      </c>
      <c r="H1349" t="s">
        <v>111</v>
      </c>
      <c r="I1349" t="s">
        <v>38</v>
      </c>
      <c r="J1349" t="s">
        <v>99</v>
      </c>
      <c r="M1349" t="s">
        <v>40</v>
      </c>
      <c r="N1349" t="s">
        <v>41</v>
      </c>
      <c r="O1349" t="s">
        <v>42</v>
      </c>
      <c r="P1349">
        <v>23</v>
      </c>
      <c r="Q1349">
        <v>0</v>
      </c>
      <c r="R1349">
        <v>0</v>
      </c>
      <c r="S1349">
        <v>0</v>
      </c>
      <c r="T1349" t="s">
        <v>4319</v>
      </c>
      <c r="U1349" t="s">
        <v>44</v>
      </c>
      <c r="W1349" t="s">
        <v>3669</v>
      </c>
      <c r="Y1349">
        <v>0</v>
      </c>
      <c r="AA1349" t="s">
        <v>40</v>
      </c>
      <c r="AB1349" t="s">
        <v>46</v>
      </c>
      <c r="AC1349" t="s">
        <v>47</v>
      </c>
      <c r="AF1349" t="s">
        <v>677</v>
      </c>
      <c r="AJ1349" t="s">
        <v>40</v>
      </c>
      <c r="AK1349" t="s">
        <v>49</v>
      </c>
      <c r="AO1349" s="1">
        <v>45972</v>
      </c>
      <c r="AP1349" s="5">
        <v>0.625</v>
      </c>
      <c r="AS1349">
        <v>1</v>
      </c>
    </row>
    <row r="1350" spans="1:45" x14ac:dyDescent="0.2">
      <c r="A1350">
        <f t="shared" si="86"/>
        <v>2025</v>
      </c>
      <c r="B1350">
        <f t="shared" si="87"/>
        <v>11</v>
      </c>
      <c r="C1350">
        <f t="shared" si="88"/>
        <v>46</v>
      </c>
      <c r="D1350" s="2">
        <f t="shared" si="89"/>
        <v>45972</v>
      </c>
      <c r="E1350" s="1">
        <v>45972.625</v>
      </c>
      <c r="F1350" t="s">
        <v>4320</v>
      </c>
      <c r="G1350" t="s">
        <v>36</v>
      </c>
      <c r="H1350" t="s">
        <v>3147</v>
      </c>
      <c r="I1350" t="s">
        <v>38</v>
      </c>
      <c r="J1350" t="s">
        <v>99</v>
      </c>
      <c r="M1350" t="s">
        <v>40</v>
      </c>
      <c r="N1350" t="s">
        <v>41</v>
      </c>
      <c r="O1350" t="s">
        <v>42</v>
      </c>
      <c r="P1350">
        <v>10</v>
      </c>
      <c r="Q1350">
        <v>0</v>
      </c>
      <c r="R1350">
        <v>0</v>
      </c>
      <c r="S1350">
        <v>0</v>
      </c>
      <c r="T1350" t="s">
        <v>4321</v>
      </c>
      <c r="U1350" t="s">
        <v>101</v>
      </c>
      <c r="W1350" t="s">
        <v>4312</v>
      </c>
      <c r="Y1350">
        <v>0</v>
      </c>
      <c r="AA1350" t="s">
        <v>40</v>
      </c>
      <c r="AB1350" t="s">
        <v>46</v>
      </c>
      <c r="AC1350" t="s">
        <v>47</v>
      </c>
      <c r="AF1350" t="s">
        <v>367</v>
      </c>
      <c r="AJ1350" t="s">
        <v>40</v>
      </c>
      <c r="AK1350" t="s">
        <v>49</v>
      </c>
      <c r="AM1350" t="s">
        <v>4262</v>
      </c>
      <c r="AN1350" t="s">
        <v>4263</v>
      </c>
      <c r="AO1350" s="1">
        <v>45972</v>
      </c>
      <c r="AP1350" s="5">
        <v>0.625</v>
      </c>
      <c r="AS1350">
        <v>1</v>
      </c>
    </row>
    <row r="1351" spans="1:45" x14ac:dyDescent="0.2">
      <c r="A1351">
        <f t="shared" si="86"/>
        <v>2025</v>
      </c>
      <c r="B1351">
        <f t="shared" si="87"/>
        <v>11</v>
      </c>
      <c r="C1351">
        <f t="shared" si="88"/>
        <v>46</v>
      </c>
      <c r="D1351" s="2">
        <f t="shared" si="89"/>
        <v>45972</v>
      </c>
      <c r="E1351" s="1">
        <v>45972.625</v>
      </c>
      <c r="F1351" t="s">
        <v>4322</v>
      </c>
      <c r="G1351" t="s">
        <v>36</v>
      </c>
      <c r="H1351">
        <v>467173</v>
      </c>
      <c r="I1351" t="s">
        <v>51</v>
      </c>
      <c r="J1351" t="s">
        <v>154</v>
      </c>
      <c r="M1351" t="s">
        <v>40</v>
      </c>
      <c r="N1351" t="s">
        <v>41</v>
      </c>
      <c r="O1351" t="s">
        <v>155</v>
      </c>
      <c r="P1351">
        <v>33</v>
      </c>
      <c r="Q1351">
        <v>0</v>
      </c>
      <c r="R1351">
        <v>0</v>
      </c>
      <c r="S1351">
        <v>0</v>
      </c>
      <c r="T1351" t="s">
        <v>54</v>
      </c>
      <c r="U1351" t="s">
        <v>55</v>
      </c>
      <c r="W1351" t="s">
        <v>4185</v>
      </c>
      <c r="Y1351">
        <v>0</v>
      </c>
      <c r="AA1351" t="s">
        <v>40</v>
      </c>
      <c r="AB1351" t="s">
        <v>46</v>
      </c>
      <c r="AC1351" t="s">
        <v>47</v>
      </c>
      <c r="AG1351" t="s">
        <v>4323</v>
      </c>
      <c r="AJ1351" t="s">
        <v>40</v>
      </c>
      <c r="AK1351">
        <v>5019364993</v>
      </c>
      <c r="AO1351" s="1">
        <v>45972</v>
      </c>
      <c r="AP1351" s="5">
        <v>0.625</v>
      </c>
      <c r="AS1351">
        <v>1</v>
      </c>
    </row>
    <row r="1352" spans="1:45" x14ac:dyDescent="0.2">
      <c r="A1352">
        <f t="shared" si="86"/>
        <v>2025</v>
      </c>
      <c r="B1352">
        <f t="shared" si="87"/>
        <v>11</v>
      </c>
      <c r="C1352">
        <f t="shared" si="88"/>
        <v>46</v>
      </c>
      <c r="D1352" s="2">
        <f t="shared" si="89"/>
        <v>45972</v>
      </c>
      <c r="E1352" s="1">
        <v>45972.666666666664</v>
      </c>
      <c r="F1352" t="s">
        <v>4324</v>
      </c>
      <c r="G1352" t="s">
        <v>36</v>
      </c>
      <c r="H1352">
        <v>467177</v>
      </c>
      <c r="I1352" t="s">
        <v>51</v>
      </c>
      <c r="J1352" t="s">
        <v>154</v>
      </c>
      <c r="M1352" t="s">
        <v>40</v>
      </c>
      <c r="N1352" t="s">
        <v>41</v>
      </c>
      <c r="O1352" t="s">
        <v>155</v>
      </c>
      <c r="P1352">
        <v>33</v>
      </c>
      <c r="Q1352">
        <v>0</v>
      </c>
      <c r="R1352">
        <v>0</v>
      </c>
      <c r="S1352">
        <v>0</v>
      </c>
      <c r="T1352" t="s">
        <v>54</v>
      </c>
      <c r="U1352" t="s">
        <v>55</v>
      </c>
      <c r="W1352" t="s">
        <v>4185</v>
      </c>
      <c r="Y1352">
        <v>0</v>
      </c>
      <c r="AA1352" t="s">
        <v>40</v>
      </c>
      <c r="AB1352" t="s">
        <v>46</v>
      </c>
      <c r="AC1352" t="s">
        <v>47</v>
      </c>
      <c r="AG1352" t="s">
        <v>4325</v>
      </c>
      <c r="AJ1352" t="s">
        <v>40</v>
      </c>
      <c r="AK1352">
        <v>5019377006</v>
      </c>
      <c r="AO1352" s="1">
        <v>45972</v>
      </c>
      <c r="AP1352" s="5">
        <v>0.66666666666666663</v>
      </c>
      <c r="AS1352">
        <v>1</v>
      </c>
    </row>
    <row r="1353" spans="1:45" x14ac:dyDescent="0.2">
      <c r="A1353">
        <f t="shared" si="86"/>
        <v>2025</v>
      </c>
      <c r="B1353">
        <f t="shared" si="87"/>
        <v>11</v>
      </c>
      <c r="C1353">
        <f t="shared" si="88"/>
        <v>46</v>
      </c>
      <c r="D1353" s="2">
        <f t="shared" si="89"/>
        <v>45972</v>
      </c>
      <c r="E1353" s="1">
        <v>45972.666666666664</v>
      </c>
      <c r="F1353" t="s">
        <v>4326</v>
      </c>
      <c r="G1353" t="s">
        <v>36</v>
      </c>
      <c r="H1353" t="s">
        <v>111</v>
      </c>
      <c r="I1353" t="s">
        <v>38</v>
      </c>
      <c r="J1353" t="s">
        <v>99</v>
      </c>
      <c r="M1353" t="s">
        <v>40</v>
      </c>
      <c r="N1353" t="s">
        <v>41</v>
      </c>
      <c r="O1353" t="s">
        <v>42</v>
      </c>
      <c r="P1353">
        <v>23</v>
      </c>
      <c r="Q1353">
        <v>0</v>
      </c>
      <c r="R1353">
        <v>0</v>
      </c>
      <c r="S1353">
        <v>0</v>
      </c>
      <c r="T1353" t="s">
        <v>4327</v>
      </c>
      <c r="U1353" t="s">
        <v>44</v>
      </c>
      <c r="W1353" t="s">
        <v>3743</v>
      </c>
      <c r="Y1353">
        <v>0</v>
      </c>
      <c r="AA1353" t="s">
        <v>40</v>
      </c>
      <c r="AB1353" t="s">
        <v>46</v>
      </c>
      <c r="AC1353" t="s">
        <v>47</v>
      </c>
      <c r="AF1353" t="s">
        <v>48</v>
      </c>
      <c r="AJ1353" t="s">
        <v>40</v>
      </c>
      <c r="AK1353" t="s">
        <v>49</v>
      </c>
      <c r="AO1353" s="1">
        <v>45972</v>
      </c>
      <c r="AP1353" s="5">
        <v>0.66666666666666663</v>
      </c>
      <c r="AS1353">
        <v>1</v>
      </c>
    </row>
    <row r="1354" spans="1:45" x14ac:dyDescent="0.2">
      <c r="A1354">
        <f t="shared" si="86"/>
        <v>2025</v>
      </c>
      <c r="B1354">
        <f t="shared" si="87"/>
        <v>11</v>
      </c>
      <c r="C1354">
        <f t="shared" si="88"/>
        <v>46</v>
      </c>
      <c r="D1354" s="2">
        <f t="shared" si="89"/>
        <v>45972</v>
      </c>
      <c r="E1354" s="1">
        <v>45972.666666666664</v>
      </c>
      <c r="F1354" t="s">
        <v>4328</v>
      </c>
      <c r="G1354" t="s">
        <v>36</v>
      </c>
      <c r="H1354">
        <v>467198</v>
      </c>
      <c r="I1354" t="s">
        <v>51</v>
      </c>
      <c r="J1354" t="s">
        <v>194</v>
      </c>
      <c r="M1354" t="s">
        <v>40</v>
      </c>
      <c r="N1354" t="s">
        <v>41</v>
      </c>
      <c r="O1354" t="s">
        <v>189</v>
      </c>
      <c r="P1354">
        <v>33</v>
      </c>
      <c r="Q1354">
        <v>0</v>
      </c>
      <c r="R1354">
        <v>0</v>
      </c>
      <c r="S1354">
        <v>0</v>
      </c>
      <c r="T1354" t="s">
        <v>54</v>
      </c>
      <c r="U1354" t="s">
        <v>55</v>
      </c>
      <c r="W1354" t="s">
        <v>4329</v>
      </c>
      <c r="Y1354">
        <v>0</v>
      </c>
      <c r="AA1354" t="s">
        <v>40</v>
      </c>
      <c r="AB1354" t="s">
        <v>46</v>
      </c>
      <c r="AC1354" t="s">
        <v>47</v>
      </c>
      <c r="AG1354" t="s">
        <v>4330</v>
      </c>
      <c r="AJ1354" t="s">
        <v>40</v>
      </c>
      <c r="AK1354">
        <v>5019368263</v>
      </c>
      <c r="AO1354" s="1">
        <v>45972</v>
      </c>
      <c r="AP1354" s="5">
        <v>0.66666666666666663</v>
      </c>
      <c r="AS1354">
        <v>1</v>
      </c>
    </row>
    <row r="1355" spans="1:45" x14ac:dyDescent="0.2">
      <c r="A1355">
        <f t="shared" si="86"/>
        <v>2025</v>
      </c>
      <c r="B1355">
        <f t="shared" si="87"/>
        <v>11</v>
      </c>
      <c r="C1355">
        <f t="shared" si="88"/>
        <v>46</v>
      </c>
      <c r="D1355" s="2">
        <f t="shared" si="89"/>
        <v>45972</v>
      </c>
      <c r="E1355" s="1">
        <v>45972.708333333336</v>
      </c>
      <c r="F1355" t="s">
        <v>4331</v>
      </c>
      <c r="G1355" t="s">
        <v>36</v>
      </c>
      <c r="H1355">
        <v>467176</v>
      </c>
      <c r="I1355" t="s">
        <v>51</v>
      </c>
      <c r="J1355" t="s">
        <v>188</v>
      </c>
      <c r="M1355" t="s">
        <v>40</v>
      </c>
      <c r="N1355" t="s">
        <v>41</v>
      </c>
      <c r="O1355" t="s">
        <v>189</v>
      </c>
      <c r="P1355">
        <v>33</v>
      </c>
      <c r="Q1355">
        <v>0</v>
      </c>
      <c r="R1355">
        <v>0</v>
      </c>
      <c r="S1355">
        <v>0</v>
      </c>
      <c r="T1355" t="s">
        <v>54</v>
      </c>
      <c r="U1355" t="s">
        <v>55</v>
      </c>
      <c r="W1355" t="s">
        <v>4307</v>
      </c>
      <c r="Y1355">
        <v>0</v>
      </c>
      <c r="AA1355" t="s">
        <v>40</v>
      </c>
      <c r="AB1355" t="s">
        <v>46</v>
      </c>
      <c r="AC1355" t="s">
        <v>47</v>
      </c>
      <c r="AG1355" t="s">
        <v>4332</v>
      </c>
      <c r="AJ1355" t="s">
        <v>40</v>
      </c>
      <c r="AK1355">
        <v>5019376007</v>
      </c>
      <c r="AO1355" s="1">
        <v>45972</v>
      </c>
      <c r="AP1355" s="5">
        <v>0.70833333333333337</v>
      </c>
      <c r="AS1355">
        <v>1</v>
      </c>
    </row>
    <row r="1356" spans="1:45" x14ac:dyDescent="0.2">
      <c r="A1356">
        <f t="shared" si="86"/>
        <v>2025</v>
      </c>
      <c r="B1356">
        <f t="shared" si="87"/>
        <v>11</v>
      </c>
      <c r="C1356">
        <f t="shared" si="88"/>
        <v>46</v>
      </c>
      <c r="D1356" s="2">
        <f t="shared" si="89"/>
        <v>45972</v>
      </c>
      <c r="E1356" s="1">
        <v>45972.708333333336</v>
      </c>
      <c r="F1356" t="s">
        <v>4333</v>
      </c>
      <c r="G1356" t="s">
        <v>36</v>
      </c>
      <c r="H1356" t="s">
        <v>4334</v>
      </c>
      <c r="I1356" t="s">
        <v>78</v>
      </c>
      <c r="J1356" t="s">
        <v>154</v>
      </c>
      <c r="M1356" t="s">
        <v>40</v>
      </c>
      <c r="N1356" t="s">
        <v>41</v>
      </c>
      <c r="O1356" t="s">
        <v>554</v>
      </c>
      <c r="P1356">
        <v>66</v>
      </c>
      <c r="Q1356">
        <v>0</v>
      </c>
      <c r="R1356">
        <v>0</v>
      </c>
      <c r="S1356">
        <v>0</v>
      </c>
      <c r="T1356" t="s">
        <v>54</v>
      </c>
      <c r="U1356" t="s">
        <v>55</v>
      </c>
      <c r="W1356" t="s">
        <v>4335</v>
      </c>
      <c r="Y1356">
        <v>0</v>
      </c>
      <c r="AA1356" t="s">
        <v>40</v>
      </c>
      <c r="AB1356" t="s">
        <v>46</v>
      </c>
      <c r="AC1356" t="s">
        <v>47</v>
      </c>
      <c r="AD1356" t="s">
        <v>81</v>
      </c>
      <c r="AE1356" t="s">
        <v>81</v>
      </c>
      <c r="AG1356" t="s">
        <v>4336</v>
      </c>
      <c r="AJ1356" t="s">
        <v>40</v>
      </c>
      <c r="AK1356" t="s">
        <v>4337</v>
      </c>
      <c r="AO1356" s="1">
        <v>45972</v>
      </c>
      <c r="AP1356" s="5">
        <v>0.70833333333333337</v>
      </c>
      <c r="AS1356">
        <v>1</v>
      </c>
    </row>
    <row r="1357" spans="1:45" x14ac:dyDescent="0.2">
      <c r="A1357">
        <f t="shared" si="86"/>
        <v>2025</v>
      </c>
      <c r="B1357">
        <f t="shared" si="87"/>
        <v>11</v>
      </c>
      <c r="C1357">
        <f t="shared" si="88"/>
        <v>46</v>
      </c>
      <c r="D1357" s="2">
        <f t="shared" si="89"/>
        <v>45972</v>
      </c>
      <c r="E1357" s="1">
        <v>45972.75</v>
      </c>
      <c r="F1357" t="s">
        <v>4338</v>
      </c>
      <c r="G1357" t="s">
        <v>36</v>
      </c>
      <c r="H1357" t="s">
        <v>4339</v>
      </c>
      <c r="I1357" t="s">
        <v>78</v>
      </c>
      <c r="J1357" t="s">
        <v>194</v>
      </c>
      <c r="M1357" t="s">
        <v>40</v>
      </c>
      <c r="N1357" t="s">
        <v>41</v>
      </c>
      <c r="O1357" t="s">
        <v>195</v>
      </c>
      <c r="P1357">
        <v>66</v>
      </c>
      <c r="Q1357">
        <v>0</v>
      </c>
      <c r="R1357">
        <v>0</v>
      </c>
      <c r="S1357">
        <v>0</v>
      </c>
      <c r="T1357" t="s">
        <v>54</v>
      </c>
      <c r="U1357" t="s">
        <v>55</v>
      </c>
      <c r="W1357" t="s">
        <v>4213</v>
      </c>
      <c r="Y1357">
        <v>0</v>
      </c>
      <c r="AA1357" t="s">
        <v>40</v>
      </c>
      <c r="AB1357" t="s">
        <v>46</v>
      </c>
      <c r="AC1357" t="s">
        <v>47</v>
      </c>
      <c r="AD1357" t="s">
        <v>81</v>
      </c>
      <c r="AE1357" t="s">
        <v>81</v>
      </c>
      <c r="AG1357" t="s">
        <v>4340</v>
      </c>
      <c r="AJ1357" t="s">
        <v>40</v>
      </c>
      <c r="AK1357" t="s">
        <v>4341</v>
      </c>
      <c r="AO1357" s="1">
        <v>45972</v>
      </c>
      <c r="AP1357" s="5">
        <v>0.75</v>
      </c>
      <c r="AS1357">
        <v>1</v>
      </c>
    </row>
    <row r="1358" spans="1:45" x14ac:dyDescent="0.2">
      <c r="A1358">
        <f t="shared" si="86"/>
        <v>2025</v>
      </c>
      <c r="B1358">
        <f t="shared" si="87"/>
        <v>11</v>
      </c>
      <c r="C1358">
        <f t="shared" si="88"/>
        <v>46</v>
      </c>
      <c r="D1358" s="2">
        <f t="shared" si="89"/>
        <v>45972</v>
      </c>
      <c r="E1358" s="1">
        <v>45972.75</v>
      </c>
      <c r="F1358" t="s">
        <v>4342</v>
      </c>
      <c r="G1358" t="s">
        <v>36</v>
      </c>
      <c r="H1358">
        <v>467174</v>
      </c>
      <c r="I1358" t="s">
        <v>51</v>
      </c>
      <c r="J1358" t="s">
        <v>219</v>
      </c>
      <c r="M1358" t="s">
        <v>40</v>
      </c>
      <c r="N1358" t="s">
        <v>41</v>
      </c>
      <c r="O1358" t="s">
        <v>90</v>
      </c>
      <c r="P1358">
        <v>33</v>
      </c>
      <c r="Q1358">
        <v>0</v>
      </c>
      <c r="R1358">
        <v>0</v>
      </c>
      <c r="S1358">
        <v>0</v>
      </c>
      <c r="T1358" t="s">
        <v>54</v>
      </c>
      <c r="U1358" t="s">
        <v>55</v>
      </c>
      <c r="W1358" t="s">
        <v>4220</v>
      </c>
      <c r="X1358" t="s">
        <v>4343</v>
      </c>
      <c r="Y1358">
        <v>0</v>
      </c>
      <c r="AA1358" t="s">
        <v>40</v>
      </c>
      <c r="AB1358" t="s">
        <v>46</v>
      </c>
      <c r="AC1358" t="s">
        <v>47</v>
      </c>
      <c r="AG1358" t="s">
        <v>4344</v>
      </c>
      <c r="AJ1358" t="s">
        <v>40</v>
      </c>
      <c r="AK1358">
        <v>5019360977</v>
      </c>
      <c r="AL1358" t="s">
        <v>4345</v>
      </c>
      <c r="AM1358" t="s">
        <v>4346</v>
      </c>
      <c r="AO1358" s="1">
        <v>45972</v>
      </c>
      <c r="AP1358" s="5">
        <v>0.75</v>
      </c>
      <c r="AS1358">
        <v>1</v>
      </c>
    </row>
    <row r="1359" spans="1:45" x14ac:dyDescent="0.2">
      <c r="A1359">
        <f t="shared" si="86"/>
        <v>2025</v>
      </c>
      <c r="B1359">
        <f t="shared" si="87"/>
        <v>11</v>
      </c>
      <c r="C1359">
        <f t="shared" si="88"/>
        <v>46</v>
      </c>
      <c r="D1359" s="2">
        <f t="shared" si="89"/>
        <v>45972</v>
      </c>
      <c r="E1359" s="1">
        <v>45972.75</v>
      </c>
      <c r="F1359" t="s">
        <v>4347</v>
      </c>
      <c r="G1359" t="s">
        <v>36</v>
      </c>
      <c r="H1359">
        <v>471934</v>
      </c>
      <c r="I1359" t="s">
        <v>51</v>
      </c>
      <c r="J1359" t="s">
        <v>1059</v>
      </c>
      <c r="M1359" t="s">
        <v>40</v>
      </c>
      <c r="N1359" t="s">
        <v>41</v>
      </c>
      <c r="O1359" t="s">
        <v>1060</v>
      </c>
      <c r="P1359">
        <v>33</v>
      </c>
      <c r="Q1359">
        <v>0</v>
      </c>
      <c r="R1359">
        <v>0</v>
      </c>
      <c r="S1359">
        <v>0</v>
      </c>
      <c r="T1359" t="s">
        <v>54</v>
      </c>
      <c r="U1359" t="s">
        <v>55</v>
      </c>
      <c r="W1359" t="s">
        <v>4348</v>
      </c>
      <c r="Y1359">
        <v>0</v>
      </c>
      <c r="AA1359" t="s">
        <v>40</v>
      </c>
      <c r="AB1359" t="s">
        <v>46</v>
      </c>
      <c r="AC1359" t="s">
        <v>47</v>
      </c>
      <c r="AG1359" t="s">
        <v>4349</v>
      </c>
      <c r="AJ1359" t="s">
        <v>40</v>
      </c>
      <c r="AK1359">
        <v>5019355391</v>
      </c>
      <c r="AO1359" s="1">
        <v>45972</v>
      </c>
      <c r="AP1359" s="5">
        <v>0.75</v>
      </c>
      <c r="AS1359">
        <v>1</v>
      </c>
    </row>
    <row r="1360" spans="1:45" x14ac:dyDescent="0.2">
      <c r="A1360">
        <f t="shared" si="86"/>
        <v>2025</v>
      </c>
      <c r="B1360">
        <f t="shared" si="87"/>
        <v>11</v>
      </c>
      <c r="C1360">
        <f t="shared" si="88"/>
        <v>46</v>
      </c>
      <c r="D1360" s="2">
        <f t="shared" si="89"/>
        <v>45972</v>
      </c>
      <c r="E1360" s="1">
        <v>45972.791666666664</v>
      </c>
      <c r="F1360" t="s">
        <v>4350</v>
      </c>
      <c r="G1360" t="s">
        <v>36</v>
      </c>
      <c r="H1360">
        <v>467158</v>
      </c>
      <c r="I1360" t="s">
        <v>51</v>
      </c>
      <c r="J1360" t="s">
        <v>126</v>
      </c>
      <c r="M1360" t="s">
        <v>40</v>
      </c>
      <c r="N1360" t="s">
        <v>41</v>
      </c>
      <c r="O1360" t="s">
        <v>90</v>
      </c>
      <c r="P1360">
        <v>33</v>
      </c>
      <c r="Q1360">
        <v>0</v>
      </c>
      <c r="R1360">
        <v>0</v>
      </c>
      <c r="S1360">
        <v>0</v>
      </c>
      <c r="T1360" t="s">
        <v>54</v>
      </c>
      <c r="U1360" t="s">
        <v>55</v>
      </c>
      <c r="W1360" t="s">
        <v>4351</v>
      </c>
      <c r="Y1360">
        <v>0</v>
      </c>
      <c r="AA1360" t="s">
        <v>40</v>
      </c>
      <c r="AB1360" t="s">
        <v>46</v>
      </c>
      <c r="AC1360" t="s">
        <v>47</v>
      </c>
      <c r="AG1360" t="s">
        <v>4352</v>
      </c>
      <c r="AJ1360" t="s">
        <v>40</v>
      </c>
      <c r="AK1360">
        <v>5019354750</v>
      </c>
      <c r="AO1360" s="1">
        <v>45972</v>
      </c>
      <c r="AP1360" s="5">
        <v>0.79166666666666663</v>
      </c>
      <c r="AS1360">
        <v>1</v>
      </c>
    </row>
    <row r="1361" spans="1:45" x14ac:dyDescent="0.2">
      <c r="A1361">
        <f t="shared" si="86"/>
        <v>2025</v>
      </c>
      <c r="B1361">
        <f t="shared" si="87"/>
        <v>11</v>
      </c>
      <c r="C1361">
        <f t="shared" si="88"/>
        <v>46</v>
      </c>
      <c r="D1361" s="2">
        <f t="shared" si="89"/>
        <v>45972</v>
      </c>
      <c r="E1361" s="1">
        <v>45972.791666666664</v>
      </c>
      <c r="F1361" t="s">
        <v>4353</v>
      </c>
      <c r="G1361" t="s">
        <v>36</v>
      </c>
      <c r="H1361" t="s">
        <v>4354</v>
      </c>
      <c r="I1361" t="s">
        <v>78</v>
      </c>
      <c r="J1361" t="s">
        <v>713</v>
      </c>
      <c r="M1361" t="s">
        <v>40</v>
      </c>
      <c r="N1361" t="s">
        <v>41</v>
      </c>
      <c r="O1361" t="s">
        <v>714</v>
      </c>
      <c r="P1361">
        <v>66</v>
      </c>
      <c r="Q1361">
        <v>0</v>
      </c>
      <c r="R1361">
        <v>0</v>
      </c>
      <c r="S1361">
        <v>0</v>
      </c>
      <c r="T1361" t="s">
        <v>54</v>
      </c>
      <c r="U1361" t="s">
        <v>55</v>
      </c>
      <c r="W1361" t="s">
        <v>4355</v>
      </c>
      <c r="Y1361">
        <v>0</v>
      </c>
      <c r="AA1361" t="s">
        <v>40</v>
      </c>
      <c r="AB1361" t="s">
        <v>46</v>
      </c>
      <c r="AC1361" t="s">
        <v>47</v>
      </c>
      <c r="AD1361" t="s">
        <v>81</v>
      </c>
      <c r="AE1361" t="s">
        <v>81</v>
      </c>
      <c r="AG1361" t="s">
        <v>4356</v>
      </c>
      <c r="AJ1361" t="s">
        <v>40</v>
      </c>
      <c r="AK1361" t="s">
        <v>4357</v>
      </c>
      <c r="AO1361" s="1">
        <v>45972</v>
      </c>
      <c r="AP1361" s="5">
        <v>0.79166666666666663</v>
      </c>
      <c r="AS1361">
        <v>1</v>
      </c>
    </row>
    <row r="1362" spans="1:45" x14ac:dyDescent="0.2">
      <c r="A1362">
        <f t="shared" si="86"/>
        <v>2025</v>
      </c>
      <c r="B1362">
        <f t="shared" si="87"/>
        <v>11</v>
      </c>
      <c r="C1362">
        <f t="shared" si="88"/>
        <v>46</v>
      </c>
      <c r="D1362" s="2">
        <f t="shared" si="89"/>
        <v>45973</v>
      </c>
      <c r="E1362" s="1">
        <v>45973.25</v>
      </c>
      <c r="F1362" t="s">
        <v>4358</v>
      </c>
      <c r="G1362" t="s">
        <v>36</v>
      </c>
      <c r="H1362" t="s">
        <v>4359</v>
      </c>
      <c r="I1362" t="s">
        <v>38</v>
      </c>
      <c r="J1362" t="s">
        <v>60</v>
      </c>
      <c r="M1362" t="s">
        <v>40</v>
      </c>
      <c r="N1362" t="s">
        <v>41</v>
      </c>
      <c r="O1362" t="s">
        <v>42</v>
      </c>
      <c r="P1362">
        <v>20</v>
      </c>
      <c r="Q1362">
        <v>0</v>
      </c>
      <c r="R1362">
        <v>0</v>
      </c>
      <c r="S1362">
        <v>0</v>
      </c>
      <c r="T1362" t="s">
        <v>4360</v>
      </c>
      <c r="U1362" t="s">
        <v>44</v>
      </c>
      <c r="W1362" t="s">
        <v>4361</v>
      </c>
      <c r="Y1362">
        <v>0</v>
      </c>
      <c r="AA1362" t="s">
        <v>40</v>
      </c>
      <c r="AB1362" t="s">
        <v>46</v>
      </c>
      <c r="AC1362" t="s">
        <v>47</v>
      </c>
      <c r="AF1362" t="s">
        <v>133</v>
      </c>
      <c r="AJ1362" t="s">
        <v>40</v>
      </c>
      <c r="AK1362" t="s">
        <v>49</v>
      </c>
      <c r="AN1362">
        <v>260111584</v>
      </c>
      <c r="AO1362" s="1">
        <v>45973</v>
      </c>
      <c r="AP1362" s="5">
        <v>0.25</v>
      </c>
      <c r="AS1362">
        <v>1</v>
      </c>
    </row>
    <row r="1363" spans="1:45" x14ac:dyDescent="0.2">
      <c r="A1363">
        <f t="shared" si="86"/>
        <v>2025</v>
      </c>
      <c r="B1363">
        <f t="shared" si="87"/>
        <v>11</v>
      </c>
      <c r="C1363">
        <f t="shared" si="88"/>
        <v>46</v>
      </c>
      <c r="D1363" s="2">
        <f t="shared" si="89"/>
        <v>45973</v>
      </c>
      <c r="E1363" s="1">
        <v>45973.25</v>
      </c>
      <c r="F1363" t="s">
        <v>4362</v>
      </c>
      <c r="G1363" t="s">
        <v>36</v>
      </c>
      <c r="H1363">
        <v>470160</v>
      </c>
      <c r="I1363" t="s">
        <v>51</v>
      </c>
      <c r="J1363" t="s">
        <v>52</v>
      </c>
      <c r="M1363" t="s">
        <v>40</v>
      </c>
      <c r="N1363" t="s">
        <v>41</v>
      </c>
      <c r="O1363" t="s">
        <v>53</v>
      </c>
      <c r="P1363">
        <v>33</v>
      </c>
      <c r="Q1363">
        <v>0</v>
      </c>
      <c r="R1363">
        <v>0</v>
      </c>
      <c r="S1363">
        <v>0</v>
      </c>
      <c r="T1363" t="s">
        <v>54</v>
      </c>
      <c r="U1363" t="s">
        <v>55</v>
      </c>
      <c r="W1363" t="s">
        <v>4363</v>
      </c>
      <c r="Y1363">
        <v>0</v>
      </c>
      <c r="AA1363" t="s">
        <v>40</v>
      </c>
      <c r="AB1363" t="s">
        <v>46</v>
      </c>
      <c r="AC1363" t="s">
        <v>47</v>
      </c>
      <c r="AG1363" t="s">
        <v>4364</v>
      </c>
      <c r="AJ1363" t="s">
        <v>40</v>
      </c>
      <c r="AK1363">
        <v>5019365753</v>
      </c>
      <c r="AO1363" s="1">
        <v>45973</v>
      </c>
      <c r="AP1363" s="5">
        <v>0.25</v>
      </c>
      <c r="AS1363">
        <v>1</v>
      </c>
    </row>
    <row r="1364" spans="1:45" x14ac:dyDescent="0.2">
      <c r="A1364">
        <f t="shared" si="86"/>
        <v>2025</v>
      </c>
      <c r="B1364">
        <f t="shared" si="87"/>
        <v>11</v>
      </c>
      <c r="C1364">
        <f t="shared" si="88"/>
        <v>46</v>
      </c>
      <c r="D1364" s="2">
        <f t="shared" si="89"/>
        <v>45973</v>
      </c>
      <c r="E1364" s="1">
        <v>45973.291666666664</v>
      </c>
      <c r="F1364" t="s">
        <v>4365</v>
      </c>
      <c r="G1364" t="s">
        <v>36</v>
      </c>
      <c r="H1364" t="s">
        <v>4366</v>
      </c>
      <c r="I1364" t="s">
        <v>38</v>
      </c>
      <c r="J1364" t="s">
        <v>60</v>
      </c>
      <c r="M1364" t="s">
        <v>40</v>
      </c>
      <c r="N1364" t="s">
        <v>41</v>
      </c>
      <c r="O1364" t="s">
        <v>42</v>
      </c>
      <c r="P1364">
        <v>20</v>
      </c>
      <c r="Q1364">
        <v>0</v>
      </c>
      <c r="R1364">
        <v>0</v>
      </c>
      <c r="S1364">
        <v>0</v>
      </c>
      <c r="T1364">
        <v>5019345562</v>
      </c>
      <c r="U1364" t="s">
        <v>44</v>
      </c>
      <c r="W1364" t="s">
        <v>4367</v>
      </c>
      <c r="Y1364">
        <v>0</v>
      </c>
      <c r="AA1364" t="s">
        <v>40</v>
      </c>
      <c r="AB1364" t="s">
        <v>46</v>
      </c>
      <c r="AC1364" t="s">
        <v>47</v>
      </c>
      <c r="AF1364" t="s">
        <v>133</v>
      </c>
      <c r="AJ1364" t="s">
        <v>40</v>
      </c>
      <c r="AK1364" t="s">
        <v>49</v>
      </c>
      <c r="AN1364">
        <v>260326904</v>
      </c>
      <c r="AO1364" s="1">
        <v>45973</v>
      </c>
      <c r="AP1364" s="5">
        <v>0.29166666666666669</v>
      </c>
      <c r="AS1364">
        <v>1</v>
      </c>
    </row>
    <row r="1365" spans="1:45" x14ac:dyDescent="0.2">
      <c r="A1365">
        <f t="shared" si="86"/>
        <v>2025</v>
      </c>
      <c r="B1365">
        <f t="shared" si="87"/>
        <v>11</v>
      </c>
      <c r="C1365">
        <f t="shared" si="88"/>
        <v>46</v>
      </c>
      <c r="D1365" s="2">
        <f t="shared" si="89"/>
        <v>45973</v>
      </c>
      <c r="E1365" s="1">
        <v>45973.291666666664</v>
      </c>
      <c r="F1365" t="s">
        <v>4368</v>
      </c>
      <c r="G1365" t="s">
        <v>36</v>
      </c>
      <c r="H1365" t="s">
        <v>264</v>
      </c>
      <c r="I1365" t="s">
        <v>38</v>
      </c>
      <c r="J1365" t="s">
        <v>265</v>
      </c>
      <c r="M1365" t="s">
        <v>40</v>
      </c>
      <c r="N1365" t="s">
        <v>41</v>
      </c>
      <c r="O1365" t="s">
        <v>42</v>
      </c>
      <c r="P1365">
        <v>23</v>
      </c>
      <c r="Q1365">
        <v>0</v>
      </c>
      <c r="R1365">
        <v>0</v>
      </c>
      <c r="S1365">
        <v>0</v>
      </c>
      <c r="T1365" t="s">
        <v>4369</v>
      </c>
      <c r="U1365" t="s">
        <v>55</v>
      </c>
      <c r="W1365" t="s">
        <v>4370</v>
      </c>
      <c r="Y1365">
        <v>0</v>
      </c>
      <c r="AA1365" t="s">
        <v>40</v>
      </c>
      <c r="AB1365" t="s">
        <v>46</v>
      </c>
      <c r="AC1365" t="s">
        <v>47</v>
      </c>
      <c r="AF1365" t="s">
        <v>48</v>
      </c>
      <c r="AJ1365" t="s">
        <v>40</v>
      </c>
      <c r="AK1365" t="s">
        <v>49</v>
      </c>
      <c r="AO1365" s="1">
        <v>45973</v>
      </c>
      <c r="AP1365" s="5">
        <v>0.29166666666666669</v>
      </c>
      <c r="AS1365">
        <v>1</v>
      </c>
    </row>
    <row r="1366" spans="1:45" x14ac:dyDescent="0.2">
      <c r="A1366">
        <f t="shared" si="86"/>
        <v>2025</v>
      </c>
      <c r="B1366">
        <f t="shared" si="87"/>
        <v>11</v>
      </c>
      <c r="C1366">
        <f t="shared" si="88"/>
        <v>46</v>
      </c>
      <c r="D1366" s="2">
        <f t="shared" si="89"/>
        <v>45973</v>
      </c>
      <c r="E1366" s="1">
        <v>45973.291666666664</v>
      </c>
      <c r="F1366" t="s">
        <v>4371</v>
      </c>
      <c r="G1366" t="s">
        <v>36</v>
      </c>
      <c r="H1366" t="s">
        <v>253</v>
      </c>
      <c r="I1366" t="s">
        <v>38</v>
      </c>
      <c r="J1366" t="s">
        <v>254</v>
      </c>
      <c r="M1366" t="s">
        <v>40</v>
      </c>
      <c r="N1366" t="s">
        <v>41</v>
      </c>
      <c r="O1366" t="s">
        <v>42</v>
      </c>
      <c r="P1366">
        <v>1</v>
      </c>
      <c r="Q1366">
        <v>0</v>
      </c>
      <c r="R1366">
        <v>0</v>
      </c>
      <c r="S1366">
        <v>0</v>
      </c>
      <c r="T1366">
        <v>5019394933</v>
      </c>
      <c r="U1366" t="s">
        <v>101</v>
      </c>
      <c r="W1366" t="s">
        <v>3872</v>
      </c>
      <c r="Y1366">
        <v>0</v>
      </c>
      <c r="AA1366" t="s">
        <v>40</v>
      </c>
      <c r="AB1366" t="s">
        <v>46</v>
      </c>
      <c r="AC1366" t="s">
        <v>47</v>
      </c>
      <c r="AF1366" t="s">
        <v>48</v>
      </c>
      <c r="AJ1366" t="s">
        <v>40</v>
      </c>
      <c r="AK1366" t="s">
        <v>49</v>
      </c>
      <c r="AO1366" s="1">
        <v>45973</v>
      </c>
      <c r="AP1366" s="5">
        <v>0.29166666666666669</v>
      </c>
      <c r="AS1366">
        <v>1</v>
      </c>
    </row>
    <row r="1367" spans="1:45" x14ac:dyDescent="0.2">
      <c r="A1367">
        <f t="shared" si="86"/>
        <v>2025</v>
      </c>
      <c r="B1367">
        <f t="shared" si="87"/>
        <v>11</v>
      </c>
      <c r="C1367">
        <f t="shared" si="88"/>
        <v>46</v>
      </c>
      <c r="D1367" s="2">
        <f t="shared" si="89"/>
        <v>45973</v>
      </c>
      <c r="E1367" s="1">
        <v>45973.333333333336</v>
      </c>
      <c r="F1367" t="s">
        <v>4372</v>
      </c>
      <c r="G1367" t="s">
        <v>36</v>
      </c>
      <c r="H1367" t="s">
        <v>4373</v>
      </c>
      <c r="I1367" t="s">
        <v>78</v>
      </c>
      <c r="J1367" t="s">
        <v>52</v>
      </c>
      <c r="M1367" t="s">
        <v>40</v>
      </c>
      <c r="N1367" t="s">
        <v>41</v>
      </c>
      <c r="O1367" t="s">
        <v>79</v>
      </c>
      <c r="P1367">
        <v>66</v>
      </c>
      <c r="Q1367">
        <v>0</v>
      </c>
      <c r="R1367">
        <v>0</v>
      </c>
      <c r="S1367">
        <v>0</v>
      </c>
      <c r="T1367" t="s">
        <v>54</v>
      </c>
      <c r="U1367" t="s">
        <v>55</v>
      </c>
      <c r="W1367" t="s">
        <v>4374</v>
      </c>
      <c r="Y1367">
        <v>0</v>
      </c>
      <c r="AA1367" t="s">
        <v>40</v>
      </c>
      <c r="AB1367" t="s">
        <v>46</v>
      </c>
      <c r="AC1367" t="s">
        <v>47</v>
      </c>
      <c r="AD1367" t="s">
        <v>81</v>
      </c>
      <c r="AE1367" t="s">
        <v>81</v>
      </c>
      <c r="AG1367" t="s">
        <v>4375</v>
      </c>
      <c r="AJ1367" t="s">
        <v>40</v>
      </c>
      <c r="AK1367" t="s">
        <v>4376</v>
      </c>
      <c r="AO1367" s="1">
        <v>45973</v>
      </c>
      <c r="AP1367" s="5">
        <v>0.33333333333333331</v>
      </c>
      <c r="AS1367">
        <v>1</v>
      </c>
    </row>
    <row r="1368" spans="1:45" x14ac:dyDescent="0.2">
      <c r="A1368">
        <f t="shared" si="86"/>
        <v>2025</v>
      </c>
      <c r="B1368">
        <f t="shared" si="87"/>
        <v>11</v>
      </c>
      <c r="C1368">
        <f t="shared" si="88"/>
        <v>46</v>
      </c>
      <c r="D1368" s="2">
        <f t="shared" si="89"/>
        <v>45973</v>
      </c>
      <c r="E1368" s="1">
        <v>45973.333333333336</v>
      </c>
      <c r="F1368" t="s">
        <v>4377</v>
      </c>
      <c r="G1368" t="s">
        <v>36</v>
      </c>
      <c r="H1368" t="s">
        <v>1586</v>
      </c>
      <c r="I1368" t="s">
        <v>38</v>
      </c>
      <c r="J1368" t="s">
        <v>39</v>
      </c>
      <c r="M1368" t="s">
        <v>40</v>
      </c>
      <c r="N1368" t="s">
        <v>41</v>
      </c>
      <c r="O1368" t="s">
        <v>42</v>
      </c>
      <c r="P1368">
        <v>29</v>
      </c>
      <c r="Q1368">
        <v>0</v>
      </c>
      <c r="R1368">
        <v>0</v>
      </c>
      <c r="S1368">
        <v>0</v>
      </c>
      <c r="T1368" t="s">
        <v>4378</v>
      </c>
      <c r="U1368" t="s">
        <v>44</v>
      </c>
      <c r="W1368" t="s">
        <v>4370</v>
      </c>
      <c r="Y1368">
        <v>0</v>
      </c>
      <c r="AA1368" t="s">
        <v>40</v>
      </c>
      <c r="AB1368" t="s">
        <v>46</v>
      </c>
      <c r="AC1368" t="s">
        <v>47</v>
      </c>
      <c r="AF1368" t="s">
        <v>48</v>
      </c>
      <c r="AJ1368" t="s">
        <v>40</v>
      </c>
      <c r="AK1368" t="s">
        <v>49</v>
      </c>
      <c r="AO1368" s="1">
        <v>45973</v>
      </c>
      <c r="AP1368" s="5">
        <v>0.33333333333333331</v>
      </c>
      <c r="AS1368">
        <v>1</v>
      </c>
    </row>
    <row r="1369" spans="1:45" x14ac:dyDescent="0.2">
      <c r="A1369">
        <f t="shared" si="86"/>
        <v>2025</v>
      </c>
      <c r="B1369">
        <f t="shared" si="87"/>
        <v>11</v>
      </c>
      <c r="C1369">
        <f t="shared" si="88"/>
        <v>46</v>
      </c>
      <c r="D1369" s="2">
        <f t="shared" si="89"/>
        <v>45973</v>
      </c>
      <c r="E1369" s="1">
        <v>45973.333333333336</v>
      </c>
      <c r="F1369" t="s">
        <v>4379</v>
      </c>
      <c r="G1369" t="s">
        <v>36</v>
      </c>
      <c r="H1369" t="s">
        <v>1586</v>
      </c>
      <c r="I1369" t="s">
        <v>38</v>
      </c>
      <c r="J1369" t="s">
        <v>39</v>
      </c>
      <c r="M1369" t="s">
        <v>40</v>
      </c>
      <c r="N1369" t="s">
        <v>41</v>
      </c>
      <c r="O1369" t="s">
        <v>42</v>
      </c>
      <c r="P1369">
        <v>29</v>
      </c>
      <c r="Q1369">
        <v>0</v>
      </c>
      <c r="R1369">
        <v>0</v>
      </c>
      <c r="S1369">
        <v>0</v>
      </c>
      <c r="T1369" t="s">
        <v>4380</v>
      </c>
      <c r="U1369" t="s">
        <v>44</v>
      </c>
      <c r="W1369" t="s">
        <v>4370</v>
      </c>
      <c r="Y1369">
        <v>0</v>
      </c>
      <c r="AA1369" t="s">
        <v>40</v>
      </c>
      <c r="AB1369" t="s">
        <v>46</v>
      </c>
      <c r="AC1369" t="s">
        <v>47</v>
      </c>
      <c r="AF1369" t="s">
        <v>48</v>
      </c>
      <c r="AJ1369" t="s">
        <v>40</v>
      </c>
      <c r="AK1369" t="s">
        <v>49</v>
      </c>
      <c r="AO1369" s="1">
        <v>45973</v>
      </c>
      <c r="AP1369" s="5">
        <v>0.33333333333333331</v>
      </c>
      <c r="AS1369">
        <v>1</v>
      </c>
    </row>
    <row r="1370" spans="1:45" x14ac:dyDescent="0.2">
      <c r="A1370">
        <f t="shared" si="86"/>
        <v>2025</v>
      </c>
      <c r="B1370">
        <f t="shared" si="87"/>
        <v>11</v>
      </c>
      <c r="C1370">
        <f t="shared" si="88"/>
        <v>46</v>
      </c>
      <c r="D1370" s="2">
        <f t="shared" si="89"/>
        <v>45973</v>
      </c>
      <c r="E1370" s="1">
        <v>45973.375</v>
      </c>
      <c r="F1370" t="s">
        <v>4381</v>
      </c>
      <c r="G1370" t="s">
        <v>36</v>
      </c>
      <c r="H1370" t="s">
        <v>4382</v>
      </c>
      <c r="I1370" t="s">
        <v>38</v>
      </c>
      <c r="J1370" t="s">
        <v>60</v>
      </c>
      <c r="M1370" t="s">
        <v>40</v>
      </c>
      <c r="N1370" t="s">
        <v>41</v>
      </c>
      <c r="O1370" t="s">
        <v>42</v>
      </c>
      <c r="P1370">
        <v>20</v>
      </c>
      <c r="Q1370">
        <v>0</v>
      </c>
      <c r="R1370">
        <v>0</v>
      </c>
      <c r="S1370">
        <v>0</v>
      </c>
      <c r="T1370" t="s">
        <v>4383</v>
      </c>
      <c r="U1370" t="s">
        <v>44</v>
      </c>
      <c r="W1370" t="s">
        <v>4384</v>
      </c>
      <c r="Y1370">
        <v>0</v>
      </c>
      <c r="AA1370" t="s">
        <v>40</v>
      </c>
      <c r="AB1370" t="s">
        <v>46</v>
      </c>
      <c r="AC1370" t="s">
        <v>47</v>
      </c>
      <c r="AF1370" t="s">
        <v>1009</v>
      </c>
      <c r="AJ1370" t="s">
        <v>40</v>
      </c>
      <c r="AK1370" t="s">
        <v>49</v>
      </c>
      <c r="AN1370">
        <v>20313647</v>
      </c>
      <c r="AO1370" s="1">
        <v>45973</v>
      </c>
      <c r="AP1370" s="5">
        <v>0.375</v>
      </c>
      <c r="AS1370">
        <v>1</v>
      </c>
    </row>
    <row r="1371" spans="1:45" x14ac:dyDescent="0.2">
      <c r="A1371">
        <f t="shared" si="86"/>
        <v>2025</v>
      </c>
      <c r="B1371">
        <f t="shared" si="87"/>
        <v>11</v>
      </c>
      <c r="C1371">
        <f t="shared" si="88"/>
        <v>46</v>
      </c>
      <c r="D1371" s="2">
        <f t="shared" si="89"/>
        <v>45973</v>
      </c>
      <c r="E1371" s="1">
        <v>45973.375</v>
      </c>
      <c r="F1371" t="s">
        <v>4385</v>
      </c>
      <c r="G1371" t="s">
        <v>36</v>
      </c>
      <c r="H1371" t="s">
        <v>663</v>
      </c>
      <c r="I1371" t="s">
        <v>38</v>
      </c>
      <c r="J1371" t="s">
        <v>265</v>
      </c>
      <c r="M1371" t="s">
        <v>40</v>
      </c>
      <c r="N1371" t="s">
        <v>41</v>
      </c>
      <c r="O1371" t="s">
        <v>42</v>
      </c>
      <c r="P1371">
        <v>27</v>
      </c>
      <c r="Q1371">
        <v>0</v>
      </c>
      <c r="R1371">
        <v>0</v>
      </c>
      <c r="S1371">
        <v>0</v>
      </c>
      <c r="T1371">
        <v>90012144</v>
      </c>
      <c r="U1371" t="s">
        <v>44</v>
      </c>
      <c r="W1371" t="s">
        <v>4386</v>
      </c>
      <c r="Y1371">
        <v>0</v>
      </c>
      <c r="AA1371" t="s">
        <v>40</v>
      </c>
      <c r="AB1371" t="s">
        <v>46</v>
      </c>
      <c r="AC1371" t="s">
        <v>47</v>
      </c>
      <c r="AF1371" t="s">
        <v>4254</v>
      </c>
      <c r="AJ1371" t="s">
        <v>40</v>
      </c>
      <c r="AK1371" t="s">
        <v>49</v>
      </c>
      <c r="AO1371" s="1">
        <v>45973</v>
      </c>
      <c r="AP1371" s="5">
        <v>0.375</v>
      </c>
      <c r="AS1371">
        <v>1</v>
      </c>
    </row>
    <row r="1372" spans="1:45" x14ac:dyDescent="0.2">
      <c r="A1372">
        <f t="shared" si="86"/>
        <v>2025</v>
      </c>
      <c r="B1372">
        <f t="shared" si="87"/>
        <v>11</v>
      </c>
      <c r="C1372">
        <f t="shared" si="88"/>
        <v>46</v>
      </c>
      <c r="D1372" s="2">
        <f t="shared" si="89"/>
        <v>45973</v>
      </c>
      <c r="E1372" s="1">
        <v>45973.375</v>
      </c>
      <c r="F1372" t="s">
        <v>4387</v>
      </c>
      <c r="G1372" t="s">
        <v>36</v>
      </c>
      <c r="H1372" t="s">
        <v>1586</v>
      </c>
      <c r="I1372" t="s">
        <v>38</v>
      </c>
      <c r="J1372" t="s">
        <v>39</v>
      </c>
      <c r="M1372" t="s">
        <v>40</v>
      </c>
      <c r="N1372" t="s">
        <v>41</v>
      </c>
      <c r="O1372" t="s">
        <v>42</v>
      </c>
      <c r="P1372">
        <v>29</v>
      </c>
      <c r="Q1372">
        <v>0</v>
      </c>
      <c r="R1372">
        <v>0</v>
      </c>
      <c r="S1372">
        <v>0</v>
      </c>
      <c r="T1372" t="s">
        <v>4388</v>
      </c>
      <c r="U1372" t="s">
        <v>44</v>
      </c>
      <c r="W1372" t="s">
        <v>4370</v>
      </c>
      <c r="Y1372">
        <v>0</v>
      </c>
      <c r="AA1372" t="s">
        <v>40</v>
      </c>
      <c r="AB1372" t="s">
        <v>46</v>
      </c>
      <c r="AC1372" t="s">
        <v>47</v>
      </c>
      <c r="AF1372" t="s">
        <v>48</v>
      </c>
      <c r="AJ1372" t="s">
        <v>40</v>
      </c>
      <c r="AK1372" t="s">
        <v>49</v>
      </c>
      <c r="AO1372" s="1">
        <v>45973</v>
      </c>
      <c r="AP1372" s="5">
        <v>0.375</v>
      </c>
      <c r="AS1372">
        <v>1</v>
      </c>
    </row>
    <row r="1373" spans="1:45" x14ac:dyDescent="0.2">
      <c r="A1373">
        <f t="shared" si="86"/>
        <v>2025</v>
      </c>
      <c r="B1373">
        <f t="shared" si="87"/>
        <v>11</v>
      </c>
      <c r="C1373">
        <f t="shared" si="88"/>
        <v>46</v>
      </c>
      <c r="D1373" s="2">
        <f t="shared" si="89"/>
        <v>45973</v>
      </c>
      <c r="E1373" s="1">
        <v>45973.416666666664</v>
      </c>
      <c r="F1373" t="s">
        <v>4389</v>
      </c>
      <c r="G1373" t="s">
        <v>36</v>
      </c>
      <c r="H1373" t="s">
        <v>37</v>
      </c>
      <c r="I1373" t="s">
        <v>38</v>
      </c>
      <c r="J1373" t="s">
        <v>112</v>
      </c>
      <c r="M1373" t="s">
        <v>40</v>
      </c>
      <c r="N1373" t="s">
        <v>41</v>
      </c>
      <c r="O1373" t="s">
        <v>42</v>
      </c>
      <c r="P1373">
        <v>23</v>
      </c>
      <c r="Q1373">
        <v>0</v>
      </c>
      <c r="R1373">
        <v>0</v>
      </c>
      <c r="S1373">
        <v>0</v>
      </c>
      <c r="T1373" t="s">
        <v>4390</v>
      </c>
      <c r="U1373" t="s">
        <v>44</v>
      </c>
      <c r="W1373" t="s">
        <v>4370</v>
      </c>
      <c r="Y1373">
        <v>0</v>
      </c>
      <c r="AA1373" t="s">
        <v>40</v>
      </c>
      <c r="AB1373" t="s">
        <v>46</v>
      </c>
      <c r="AC1373" t="s">
        <v>47</v>
      </c>
      <c r="AF1373" t="s">
        <v>48</v>
      </c>
      <c r="AJ1373" t="s">
        <v>40</v>
      </c>
      <c r="AK1373" t="s">
        <v>49</v>
      </c>
      <c r="AO1373" s="1">
        <v>45973</v>
      </c>
      <c r="AP1373" s="5">
        <v>0.41666666666666669</v>
      </c>
      <c r="AS1373">
        <v>1</v>
      </c>
    </row>
    <row r="1374" spans="1:45" x14ac:dyDescent="0.2">
      <c r="A1374">
        <f t="shared" si="86"/>
        <v>2025</v>
      </c>
      <c r="B1374">
        <f t="shared" si="87"/>
        <v>11</v>
      </c>
      <c r="C1374">
        <f t="shared" si="88"/>
        <v>46</v>
      </c>
      <c r="D1374" s="2">
        <f t="shared" si="89"/>
        <v>45973</v>
      </c>
      <c r="E1374" s="1">
        <v>45973.416666666664</v>
      </c>
      <c r="F1374" t="s">
        <v>4391</v>
      </c>
      <c r="G1374" t="s">
        <v>36</v>
      </c>
      <c r="H1374" t="s">
        <v>37</v>
      </c>
      <c r="I1374" t="s">
        <v>38</v>
      </c>
      <c r="J1374" t="s">
        <v>112</v>
      </c>
      <c r="M1374" t="s">
        <v>40</v>
      </c>
      <c r="N1374" t="s">
        <v>41</v>
      </c>
      <c r="O1374" t="s">
        <v>42</v>
      </c>
      <c r="P1374">
        <v>23</v>
      </c>
      <c r="Q1374">
        <v>0</v>
      </c>
      <c r="R1374">
        <v>0</v>
      </c>
      <c r="S1374">
        <v>0</v>
      </c>
      <c r="T1374" t="s">
        <v>4392</v>
      </c>
      <c r="U1374" t="s">
        <v>44</v>
      </c>
      <c r="W1374" t="s">
        <v>4370</v>
      </c>
      <c r="Y1374">
        <v>0</v>
      </c>
      <c r="AA1374" t="s">
        <v>40</v>
      </c>
      <c r="AB1374" t="s">
        <v>46</v>
      </c>
      <c r="AC1374" t="s">
        <v>47</v>
      </c>
      <c r="AF1374" t="s">
        <v>48</v>
      </c>
      <c r="AJ1374" t="s">
        <v>40</v>
      </c>
      <c r="AK1374" t="s">
        <v>49</v>
      </c>
      <c r="AO1374" s="1">
        <v>45973</v>
      </c>
      <c r="AP1374" s="5">
        <v>0.41666666666666669</v>
      </c>
      <c r="AS1374">
        <v>1</v>
      </c>
    </row>
    <row r="1375" spans="1:45" x14ac:dyDescent="0.2">
      <c r="A1375">
        <f t="shared" si="86"/>
        <v>2025</v>
      </c>
      <c r="B1375">
        <f t="shared" si="87"/>
        <v>11</v>
      </c>
      <c r="C1375">
        <f t="shared" si="88"/>
        <v>46</v>
      </c>
      <c r="D1375" s="2">
        <f t="shared" si="89"/>
        <v>45973</v>
      </c>
      <c r="E1375" s="1">
        <v>45973.416666666664</v>
      </c>
      <c r="F1375" t="s">
        <v>4393</v>
      </c>
      <c r="G1375" t="s">
        <v>36</v>
      </c>
      <c r="H1375">
        <v>467167</v>
      </c>
      <c r="I1375" t="s">
        <v>51</v>
      </c>
      <c r="J1375" t="s">
        <v>52</v>
      </c>
      <c r="M1375" t="s">
        <v>40</v>
      </c>
      <c r="N1375" t="s">
        <v>41</v>
      </c>
      <c r="O1375" t="s">
        <v>66</v>
      </c>
      <c r="P1375">
        <v>33</v>
      </c>
      <c r="Q1375">
        <v>0</v>
      </c>
      <c r="R1375">
        <v>0</v>
      </c>
      <c r="S1375">
        <v>0</v>
      </c>
      <c r="T1375" t="s">
        <v>54</v>
      </c>
      <c r="U1375" t="s">
        <v>55</v>
      </c>
      <c r="W1375" t="s">
        <v>4394</v>
      </c>
      <c r="Y1375">
        <v>0</v>
      </c>
      <c r="AA1375" t="s">
        <v>40</v>
      </c>
      <c r="AB1375" t="s">
        <v>46</v>
      </c>
      <c r="AC1375" t="s">
        <v>47</v>
      </c>
      <c r="AG1375" t="s">
        <v>4395</v>
      </c>
      <c r="AJ1375" t="s">
        <v>40</v>
      </c>
      <c r="AK1375">
        <v>5019391418</v>
      </c>
      <c r="AO1375" s="1">
        <v>45973</v>
      </c>
      <c r="AP1375" s="5">
        <v>0.41666666666666669</v>
      </c>
      <c r="AS1375">
        <v>1</v>
      </c>
    </row>
    <row r="1376" spans="1:45" x14ac:dyDescent="0.2">
      <c r="A1376">
        <f t="shared" si="86"/>
        <v>2025</v>
      </c>
      <c r="B1376">
        <f t="shared" si="87"/>
        <v>11</v>
      </c>
      <c r="C1376">
        <f t="shared" si="88"/>
        <v>46</v>
      </c>
      <c r="D1376" s="2">
        <f t="shared" si="89"/>
        <v>45973</v>
      </c>
      <c r="E1376" s="1">
        <v>45973.416666666664</v>
      </c>
      <c r="F1376" t="s">
        <v>4396</v>
      </c>
      <c r="G1376" t="s">
        <v>36</v>
      </c>
      <c r="H1376" t="s">
        <v>4397</v>
      </c>
      <c r="I1376" t="s">
        <v>38</v>
      </c>
      <c r="J1376" t="s">
        <v>60</v>
      </c>
      <c r="M1376" t="s">
        <v>40</v>
      </c>
      <c r="N1376" t="s">
        <v>41</v>
      </c>
      <c r="O1376" t="s">
        <v>42</v>
      </c>
      <c r="P1376">
        <v>20</v>
      </c>
      <c r="Q1376">
        <v>0</v>
      </c>
      <c r="R1376">
        <v>0</v>
      </c>
      <c r="S1376">
        <v>0</v>
      </c>
      <c r="T1376">
        <v>5019282270</v>
      </c>
      <c r="U1376" t="s">
        <v>44</v>
      </c>
      <c r="W1376" t="s">
        <v>4361</v>
      </c>
      <c r="Y1376">
        <v>0</v>
      </c>
      <c r="AA1376" t="s">
        <v>40</v>
      </c>
      <c r="AB1376" t="s">
        <v>46</v>
      </c>
      <c r="AC1376" t="s">
        <v>47</v>
      </c>
      <c r="AF1376" t="s">
        <v>133</v>
      </c>
      <c r="AJ1376" t="s">
        <v>40</v>
      </c>
      <c r="AK1376" t="s">
        <v>49</v>
      </c>
      <c r="AN1376">
        <v>260954894</v>
      </c>
      <c r="AO1376" s="1">
        <v>45973</v>
      </c>
      <c r="AP1376" s="5">
        <v>0.41666666666666669</v>
      </c>
      <c r="AS1376">
        <v>1</v>
      </c>
    </row>
    <row r="1377" spans="1:45" x14ac:dyDescent="0.2">
      <c r="A1377">
        <f t="shared" si="86"/>
        <v>2025</v>
      </c>
      <c r="B1377">
        <f t="shared" si="87"/>
        <v>11</v>
      </c>
      <c r="C1377">
        <f t="shared" si="88"/>
        <v>46</v>
      </c>
      <c r="D1377" s="2">
        <f t="shared" si="89"/>
        <v>45973</v>
      </c>
      <c r="E1377" s="1">
        <v>45973.458333333336</v>
      </c>
      <c r="F1377" t="s">
        <v>4398</v>
      </c>
      <c r="G1377" t="s">
        <v>36</v>
      </c>
      <c r="H1377" t="s">
        <v>4399</v>
      </c>
      <c r="I1377" t="s">
        <v>38</v>
      </c>
      <c r="J1377" t="s">
        <v>60</v>
      </c>
      <c r="M1377" t="s">
        <v>40</v>
      </c>
      <c r="N1377" t="s">
        <v>41</v>
      </c>
      <c r="O1377" t="s">
        <v>42</v>
      </c>
      <c r="P1377">
        <v>20</v>
      </c>
      <c r="Q1377">
        <v>0</v>
      </c>
      <c r="R1377">
        <v>0</v>
      </c>
      <c r="S1377">
        <v>0</v>
      </c>
      <c r="T1377">
        <v>5019297642</v>
      </c>
      <c r="U1377" t="s">
        <v>44</v>
      </c>
      <c r="W1377" t="s">
        <v>4400</v>
      </c>
      <c r="Y1377">
        <v>0</v>
      </c>
      <c r="AA1377" t="s">
        <v>40</v>
      </c>
      <c r="AB1377" t="s">
        <v>46</v>
      </c>
      <c r="AC1377" t="s">
        <v>47</v>
      </c>
      <c r="AF1377" t="s">
        <v>133</v>
      </c>
      <c r="AJ1377" t="s">
        <v>40</v>
      </c>
      <c r="AK1377" t="s">
        <v>49</v>
      </c>
      <c r="AN1377">
        <v>260954894</v>
      </c>
      <c r="AO1377" s="1">
        <v>45973</v>
      </c>
      <c r="AP1377" s="5">
        <v>0.45833333333333331</v>
      </c>
      <c r="AS1377">
        <v>1</v>
      </c>
    </row>
    <row r="1378" spans="1:45" x14ac:dyDescent="0.2">
      <c r="A1378">
        <f t="shared" si="86"/>
        <v>2025</v>
      </c>
      <c r="B1378">
        <f t="shared" si="87"/>
        <v>11</v>
      </c>
      <c r="C1378">
        <f t="shared" si="88"/>
        <v>46</v>
      </c>
      <c r="D1378" s="2">
        <f t="shared" si="89"/>
        <v>45973</v>
      </c>
      <c r="E1378" s="1">
        <v>45973.458333333336</v>
      </c>
      <c r="F1378" t="s">
        <v>4401</v>
      </c>
      <c r="G1378" t="s">
        <v>36</v>
      </c>
      <c r="H1378" t="s">
        <v>4402</v>
      </c>
      <c r="I1378" t="s">
        <v>38</v>
      </c>
      <c r="J1378" t="s">
        <v>60</v>
      </c>
      <c r="M1378" t="s">
        <v>40</v>
      </c>
      <c r="N1378" t="s">
        <v>41</v>
      </c>
      <c r="O1378" t="s">
        <v>42</v>
      </c>
      <c r="P1378">
        <v>20</v>
      </c>
      <c r="Q1378">
        <v>0</v>
      </c>
      <c r="R1378">
        <v>0</v>
      </c>
      <c r="S1378">
        <v>0</v>
      </c>
      <c r="T1378" t="s">
        <v>4403</v>
      </c>
      <c r="U1378" t="s">
        <v>44</v>
      </c>
      <c r="W1378" t="s">
        <v>4400</v>
      </c>
      <c r="Y1378">
        <v>0</v>
      </c>
      <c r="AA1378" t="s">
        <v>40</v>
      </c>
      <c r="AB1378" t="s">
        <v>46</v>
      </c>
      <c r="AC1378" t="s">
        <v>47</v>
      </c>
      <c r="AF1378" t="s">
        <v>133</v>
      </c>
      <c r="AJ1378" t="s">
        <v>40</v>
      </c>
      <c r="AK1378" t="s">
        <v>49</v>
      </c>
      <c r="AN1378">
        <v>260907685</v>
      </c>
      <c r="AO1378" s="1">
        <v>45973</v>
      </c>
      <c r="AP1378" s="5">
        <v>0.45833333333333331</v>
      </c>
      <c r="AS1378">
        <v>1</v>
      </c>
    </row>
    <row r="1379" spans="1:45" x14ac:dyDescent="0.2">
      <c r="A1379">
        <f t="shared" si="86"/>
        <v>2025</v>
      </c>
      <c r="B1379">
        <f t="shared" si="87"/>
        <v>11</v>
      </c>
      <c r="C1379">
        <f t="shared" si="88"/>
        <v>46</v>
      </c>
      <c r="D1379" s="2">
        <f t="shared" si="89"/>
        <v>45973</v>
      </c>
      <c r="E1379" s="1">
        <v>45973.458333333336</v>
      </c>
      <c r="F1379" t="s">
        <v>4404</v>
      </c>
      <c r="G1379" t="s">
        <v>36</v>
      </c>
      <c r="H1379" t="s">
        <v>37</v>
      </c>
      <c r="I1379" t="s">
        <v>38</v>
      </c>
      <c r="J1379" t="s">
        <v>112</v>
      </c>
      <c r="M1379" t="s">
        <v>40</v>
      </c>
      <c r="N1379" t="s">
        <v>41</v>
      </c>
      <c r="O1379" t="s">
        <v>42</v>
      </c>
      <c r="P1379">
        <v>23</v>
      </c>
      <c r="Q1379">
        <v>0</v>
      </c>
      <c r="R1379">
        <v>0</v>
      </c>
      <c r="S1379">
        <v>0</v>
      </c>
      <c r="T1379" t="s">
        <v>4405</v>
      </c>
      <c r="U1379" t="s">
        <v>44</v>
      </c>
      <c r="W1379" t="s">
        <v>4370</v>
      </c>
      <c r="Y1379">
        <v>0</v>
      </c>
      <c r="AA1379" t="s">
        <v>40</v>
      </c>
      <c r="AB1379" t="s">
        <v>46</v>
      </c>
      <c r="AC1379" t="s">
        <v>47</v>
      </c>
      <c r="AF1379" t="s">
        <v>48</v>
      </c>
      <c r="AJ1379" t="s">
        <v>40</v>
      </c>
      <c r="AK1379" t="s">
        <v>49</v>
      </c>
      <c r="AO1379" s="1">
        <v>45973</v>
      </c>
      <c r="AP1379" s="5">
        <v>0.45833333333333331</v>
      </c>
      <c r="AS1379">
        <v>1</v>
      </c>
    </row>
    <row r="1380" spans="1:45" x14ac:dyDescent="0.2">
      <c r="A1380">
        <f t="shared" si="86"/>
        <v>2025</v>
      </c>
      <c r="B1380">
        <f t="shared" si="87"/>
        <v>11</v>
      </c>
      <c r="C1380">
        <f t="shared" si="88"/>
        <v>46</v>
      </c>
      <c r="D1380" s="2">
        <f t="shared" si="89"/>
        <v>45973</v>
      </c>
      <c r="E1380" s="1">
        <v>45973.5</v>
      </c>
      <c r="F1380" t="s">
        <v>4406</v>
      </c>
      <c r="G1380" t="s">
        <v>36</v>
      </c>
      <c r="H1380">
        <v>470138</v>
      </c>
      <c r="I1380" t="s">
        <v>51</v>
      </c>
      <c r="J1380" t="s">
        <v>52</v>
      </c>
      <c r="M1380" t="s">
        <v>40</v>
      </c>
      <c r="N1380" t="s">
        <v>41</v>
      </c>
      <c r="O1380" t="s">
        <v>53</v>
      </c>
      <c r="P1380">
        <v>33</v>
      </c>
      <c r="Q1380">
        <v>0</v>
      </c>
      <c r="R1380">
        <v>0</v>
      </c>
      <c r="S1380">
        <v>0</v>
      </c>
      <c r="T1380" t="s">
        <v>54</v>
      </c>
      <c r="U1380" t="s">
        <v>55</v>
      </c>
      <c r="W1380" t="s">
        <v>3776</v>
      </c>
      <c r="Y1380">
        <v>0</v>
      </c>
      <c r="AA1380" t="s">
        <v>40</v>
      </c>
      <c r="AB1380" t="s">
        <v>46</v>
      </c>
      <c r="AC1380" t="s">
        <v>47</v>
      </c>
      <c r="AG1380" t="s">
        <v>4407</v>
      </c>
      <c r="AJ1380" t="s">
        <v>40</v>
      </c>
      <c r="AK1380">
        <v>5019375132</v>
      </c>
      <c r="AO1380" s="1">
        <v>45973</v>
      </c>
      <c r="AP1380" s="5">
        <v>0.5</v>
      </c>
      <c r="AS1380">
        <v>1</v>
      </c>
    </row>
    <row r="1381" spans="1:45" x14ac:dyDescent="0.2">
      <c r="A1381">
        <f t="shared" si="86"/>
        <v>2025</v>
      </c>
      <c r="B1381">
        <f t="shared" si="87"/>
        <v>11</v>
      </c>
      <c r="C1381">
        <f t="shared" si="88"/>
        <v>46</v>
      </c>
      <c r="D1381" s="2">
        <f t="shared" si="89"/>
        <v>45973</v>
      </c>
      <c r="E1381" s="1">
        <v>45973.5</v>
      </c>
      <c r="F1381" t="s">
        <v>4408</v>
      </c>
      <c r="G1381" t="s">
        <v>36</v>
      </c>
      <c r="H1381" t="s">
        <v>37</v>
      </c>
      <c r="I1381" t="s">
        <v>38</v>
      </c>
      <c r="J1381" t="s">
        <v>112</v>
      </c>
      <c r="M1381" t="s">
        <v>40</v>
      </c>
      <c r="N1381" t="s">
        <v>41</v>
      </c>
      <c r="O1381" t="s">
        <v>42</v>
      </c>
      <c r="P1381">
        <v>23</v>
      </c>
      <c r="Q1381">
        <v>0</v>
      </c>
      <c r="R1381">
        <v>0</v>
      </c>
      <c r="S1381">
        <v>0</v>
      </c>
      <c r="T1381" t="s">
        <v>4409</v>
      </c>
      <c r="U1381" t="s">
        <v>44</v>
      </c>
      <c r="W1381" t="s">
        <v>4370</v>
      </c>
      <c r="Y1381">
        <v>0</v>
      </c>
      <c r="AA1381" t="s">
        <v>40</v>
      </c>
      <c r="AB1381" t="s">
        <v>46</v>
      </c>
      <c r="AC1381" t="s">
        <v>47</v>
      </c>
      <c r="AF1381" t="s">
        <v>48</v>
      </c>
      <c r="AJ1381" t="s">
        <v>40</v>
      </c>
      <c r="AK1381" t="s">
        <v>49</v>
      </c>
      <c r="AO1381" s="1">
        <v>45973</v>
      </c>
      <c r="AP1381" s="5">
        <v>0.5</v>
      </c>
      <c r="AS1381">
        <v>1</v>
      </c>
    </row>
    <row r="1382" spans="1:45" x14ac:dyDescent="0.2">
      <c r="A1382">
        <f t="shared" si="86"/>
        <v>2025</v>
      </c>
      <c r="B1382">
        <f t="shared" si="87"/>
        <v>11</v>
      </c>
      <c r="C1382">
        <f t="shared" si="88"/>
        <v>46</v>
      </c>
      <c r="D1382" s="2">
        <f t="shared" si="89"/>
        <v>45973</v>
      </c>
      <c r="E1382" s="1">
        <v>45973.5</v>
      </c>
      <c r="F1382" t="s">
        <v>4410</v>
      </c>
      <c r="G1382" t="s">
        <v>36</v>
      </c>
      <c r="H1382" t="s">
        <v>1167</v>
      </c>
      <c r="I1382" t="s">
        <v>38</v>
      </c>
      <c r="J1382" t="s">
        <v>4411</v>
      </c>
      <c r="M1382" t="s">
        <v>40</v>
      </c>
      <c r="N1382" t="s">
        <v>41</v>
      </c>
      <c r="O1382" t="s">
        <v>42</v>
      </c>
      <c r="P1382">
        <v>3</v>
      </c>
      <c r="Q1382">
        <v>0</v>
      </c>
      <c r="R1382">
        <v>0</v>
      </c>
      <c r="S1382">
        <v>0</v>
      </c>
      <c r="T1382">
        <v>5019235344</v>
      </c>
      <c r="U1382" t="s">
        <v>101</v>
      </c>
      <c r="W1382" t="s">
        <v>4386</v>
      </c>
      <c r="Y1382">
        <v>0</v>
      </c>
      <c r="AA1382" t="s">
        <v>40</v>
      </c>
      <c r="AB1382" t="s">
        <v>46</v>
      </c>
      <c r="AC1382" t="s">
        <v>47</v>
      </c>
      <c r="AF1382" t="s">
        <v>4412</v>
      </c>
      <c r="AJ1382" t="s">
        <v>40</v>
      </c>
      <c r="AK1382" t="s">
        <v>49</v>
      </c>
      <c r="AO1382" s="1">
        <v>45973</v>
      </c>
      <c r="AP1382" s="5">
        <v>0.5</v>
      </c>
      <c r="AS1382">
        <v>1</v>
      </c>
    </row>
    <row r="1383" spans="1:45" x14ac:dyDescent="0.2">
      <c r="A1383">
        <f t="shared" si="86"/>
        <v>2025</v>
      </c>
      <c r="B1383">
        <f t="shared" si="87"/>
        <v>11</v>
      </c>
      <c r="C1383">
        <f t="shared" si="88"/>
        <v>46</v>
      </c>
      <c r="D1383" s="2">
        <f t="shared" si="89"/>
        <v>45973</v>
      </c>
      <c r="E1383" s="1">
        <v>45973.5</v>
      </c>
      <c r="F1383" t="s">
        <v>4413</v>
      </c>
      <c r="G1383" t="s">
        <v>36</v>
      </c>
      <c r="H1383" t="s">
        <v>4414</v>
      </c>
      <c r="I1383" t="s">
        <v>38</v>
      </c>
      <c r="J1383" t="s">
        <v>60</v>
      </c>
      <c r="M1383" t="s">
        <v>40</v>
      </c>
      <c r="N1383" t="s">
        <v>41</v>
      </c>
      <c r="O1383" t="s">
        <v>42</v>
      </c>
      <c r="P1383">
        <v>20</v>
      </c>
      <c r="Q1383">
        <v>0</v>
      </c>
      <c r="R1383">
        <v>0</v>
      </c>
      <c r="S1383">
        <v>0</v>
      </c>
      <c r="T1383">
        <v>5019334848</v>
      </c>
      <c r="U1383" t="s">
        <v>44</v>
      </c>
      <c r="W1383" t="s">
        <v>4361</v>
      </c>
      <c r="Y1383">
        <v>0</v>
      </c>
      <c r="AA1383" t="s">
        <v>40</v>
      </c>
      <c r="AB1383" t="s">
        <v>46</v>
      </c>
      <c r="AC1383" t="s">
        <v>47</v>
      </c>
      <c r="AF1383" t="s">
        <v>133</v>
      </c>
      <c r="AJ1383" t="s">
        <v>40</v>
      </c>
      <c r="AK1383" t="s">
        <v>49</v>
      </c>
      <c r="AN1383">
        <v>260323323</v>
      </c>
      <c r="AO1383" s="1">
        <v>45973</v>
      </c>
      <c r="AP1383" s="5">
        <v>0.5</v>
      </c>
      <c r="AS1383">
        <v>1</v>
      </c>
    </row>
    <row r="1384" spans="1:45" x14ac:dyDescent="0.2">
      <c r="A1384">
        <f t="shared" si="86"/>
        <v>2025</v>
      </c>
      <c r="B1384">
        <f t="shared" si="87"/>
        <v>11</v>
      </c>
      <c r="C1384">
        <f t="shared" si="88"/>
        <v>46</v>
      </c>
      <c r="D1384" s="2">
        <f t="shared" si="89"/>
        <v>45973</v>
      </c>
      <c r="E1384" s="1">
        <v>45973.5</v>
      </c>
      <c r="F1384" t="s">
        <v>4415</v>
      </c>
      <c r="G1384" t="s">
        <v>36</v>
      </c>
      <c r="H1384">
        <v>470164</v>
      </c>
      <c r="I1384" t="s">
        <v>51</v>
      </c>
      <c r="J1384" t="s">
        <v>144</v>
      </c>
      <c r="M1384" t="s">
        <v>40</v>
      </c>
      <c r="N1384" t="s">
        <v>41</v>
      </c>
      <c r="O1384" t="s">
        <v>53</v>
      </c>
      <c r="P1384">
        <v>33</v>
      </c>
      <c r="Q1384">
        <v>0</v>
      </c>
      <c r="R1384">
        <v>0</v>
      </c>
      <c r="S1384">
        <v>0</v>
      </c>
      <c r="T1384" t="s">
        <v>54</v>
      </c>
      <c r="U1384" t="s">
        <v>55</v>
      </c>
      <c r="W1384" t="s">
        <v>4416</v>
      </c>
      <c r="X1384" t="s">
        <v>4417</v>
      </c>
      <c r="Y1384">
        <v>0</v>
      </c>
      <c r="AA1384" t="s">
        <v>40</v>
      </c>
      <c r="AB1384" t="s">
        <v>46</v>
      </c>
      <c r="AC1384" t="s">
        <v>47</v>
      </c>
      <c r="AG1384" t="s">
        <v>4418</v>
      </c>
      <c r="AJ1384" t="s">
        <v>40</v>
      </c>
      <c r="AK1384">
        <v>5019362712</v>
      </c>
      <c r="AL1384" t="s">
        <v>4419</v>
      </c>
      <c r="AM1384" t="s">
        <v>4420</v>
      </c>
      <c r="AO1384" s="1">
        <v>45973</v>
      </c>
      <c r="AP1384" s="5">
        <v>0.5</v>
      </c>
      <c r="AS1384">
        <v>1</v>
      </c>
    </row>
    <row r="1385" spans="1:45" x14ac:dyDescent="0.2">
      <c r="A1385">
        <f t="shared" si="86"/>
        <v>2025</v>
      </c>
      <c r="B1385">
        <f t="shared" si="87"/>
        <v>11</v>
      </c>
      <c r="C1385">
        <f t="shared" si="88"/>
        <v>46</v>
      </c>
      <c r="D1385" s="2">
        <f t="shared" si="89"/>
        <v>45973</v>
      </c>
      <c r="E1385" s="1">
        <v>45973.541666666664</v>
      </c>
      <c r="F1385" t="s">
        <v>4421</v>
      </c>
      <c r="G1385" t="s">
        <v>36</v>
      </c>
      <c r="H1385" t="s">
        <v>4422</v>
      </c>
      <c r="I1385" t="s">
        <v>38</v>
      </c>
      <c r="J1385" t="s">
        <v>60</v>
      </c>
      <c r="M1385" t="s">
        <v>40</v>
      </c>
      <c r="N1385" t="s">
        <v>41</v>
      </c>
      <c r="O1385" t="s">
        <v>42</v>
      </c>
      <c r="P1385">
        <v>20</v>
      </c>
      <c r="Q1385">
        <v>0</v>
      </c>
      <c r="R1385">
        <v>0</v>
      </c>
      <c r="S1385">
        <v>0</v>
      </c>
      <c r="T1385">
        <v>5019325623</v>
      </c>
      <c r="U1385" t="s">
        <v>44</v>
      </c>
      <c r="W1385" t="s">
        <v>4361</v>
      </c>
      <c r="Y1385">
        <v>0</v>
      </c>
      <c r="AA1385" t="s">
        <v>40</v>
      </c>
      <c r="AB1385" t="s">
        <v>46</v>
      </c>
      <c r="AC1385" t="s">
        <v>47</v>
      </c>
      <c r="AF1385" t="s">
        <v>1009</v>
      </c>
      <c r="AJ1385" t="s">
        <v>40</v>
      </c>
      <c r="AK1385" t="s">
        <v>49</v>
      </c>
      <c r="AN1385">
        <v>261489050</v>
      </c>
      <c r="AO1385" s="1">
        <v>45973</v>
      </c>
      <c r="AP1385" s="5">
        <v>0.54166666666666663</v>
      </c>
      <c r="AS1385">
        <v>1</v>
      </c>
    </row>
    <row r="1386" spans="1:45" x14ac:dyDescent="0.2">
      <c r="A1386">
        <f t="shared" si="86"/>
        <v>2025</v>
      </c>
      <c r="B1386">
        <f t="shared" si="87"/>
        <v>11</v>
      </c>
      <c r="C1386">
        <f t="shared" si="88"/>
        <v>46</v>
      </c>
      <c r="D1386" s="2">
        <f t="shared" si="89"/>
        <v>45973</v>
      </c>
      <c r="E1386" s="1">
        <v>45973.541666666664</v>
      </c>
      <c r="F1386" t="s">
        <v>4423</v>
      </c>
      <c r="G1386" t="s">
        <v>36</v>
      </c>
      <c r="H1386" t="s">
        <v>106</v>
      </c>
      <c r="I1386" t="s">
        <v>38</v>
      </c>
      <c r="J1386" t="s">
        <v>107</v>
      </c>
      <c r="M1386" t="s">
        <v>40</v>
      </c>
      <c r="N1386" t="s">
        <v>41</v>
      </c>
      <c r="O1386" t="s">
        <v>42</v>
      </c>
      <c r="P1386">
        <v>33</v>
      </c>
      <c r="Q1386">
        <v>0</v>
      </c>
      <c r="R1386">
        <v>0</v>
      </c>
      <c r="S1386">
        <v>0</v>
      </c>
      <c r="T1386">
        <v>5019344325</v>
      </c>
      <c r="U1386" t="s">
        <v>44</v>
      </c>
      <c r="W1386" t="s">
        <v>4386</v>
      </c>
      <c r="Y1386">
        <v>0</v>
      </c>
      <c r="AA1386" t="s">
        <v>40</v>
      </c>
      <c r="AB1386" t="s">
        <v>46</v>
      </c>
      <c r="AC1386" t="s">
        <v>47</v>
      </c>
      <c r="AF1386" t="s">
        <v>2869</v>
      </c>
      <c r="AJ1386" t="s">
        <v>40</v>
      </c>
      <c r="AK1386" t="s">
        <v>49</v>
      </c>
      <c r="AO1386" s="1">
        <v>45973</v>
      </c>
      <c r="AP1386" s="5">
        <v>0.54166666666666663</v>
      </c>
      <c r="AS1386">
        <v>1</v>
      </c>
    </row>
    <row r="1387" spans="1:45" x14ac:dyDescent="0.2">
      <c r="A1387">
        <f t="shared" si="86"/>
        <v>2025</v>
      </c>
      <c r="B1387">
        <f t="shared" si="87"/>
        <v>11</v>
      </c>
      <c r="C1387">
        <f t="shared" si="88"/>
        <v>46</v>
      </c>
      <c r="D1387" s="2">
        <f t="shared" si="89"/>
        <v>45973</v>
      </c>
      <c r="E1387" s="1">
        <v>45973.541666666664</v>
      </c>
      <c r="F1387" t="s">
        <v>4424</v>
      </c>
      <c r="G1387" t="s">
        <v>36</v>
      </c>
      <c r="H1387">
        <v>467165</v>
      </c>
      <c r="I1387" t="s">
        <v>51</v>
      </c>
      <c r="J1387" t="s">
        <v>126</v>
      </c>
      <c r="M1387" t="s">
        <v>40</v>
      </c>
      <c r="N1387" t="s">
        <v>41</v>
      </c>
      <c r="O1387" t="s">
        <v>90</v>
      </c>
      <c r="P1387">
        <v>33</v>
      </c>
      <c r="Q1387">
        <v>0</v>
      </c>
      <c r="R1387">
        <v>0</v>
      </c>
      <c r="S1387">
        <v>0</v>
      </c>
      <c r="T1387" t="s">
        <v>54</v>
      </c>
      <c r="U1387" t="s">
        <v>55</v>
      </c>
      <c r="W1387" t="s">
        <v>4220</v>
      </c>
      <c r="X1387" t="s">
        <v>1253</v>
      </c>
      <c r="Y1387">
        <v>0</v>
      </c>
      <c r="AA1387" t="s">
        <v>40</v>
      </c>
      <c r="AB1387" t="s">
        <v>46</v>
      </c>
      <c r="AC1387" t="s">
        <v>47</v>
      </c>
      <c r="AG1387" t="s">
        <v>4425</v>
      </c>
      <c r="AJ1387" t="s">
        <v>40</v>
      </c>
      <c r="AK1387">
        <v>5019358191</v>
      </c>
      <c r="AL1387" t="s">
        <v>1256</v>
      </c>
      <c r="AM1387" t="s">
        <v>4426</v>
      </c>
      <c r="AO1387" s="1">
        <v>45973</v>
      </c>
      <c r="AP1387" s="5">
        <v>0.54166666666666663</v>
      </c>
      <c r="AS1387">
        <v>1</v>
      </c>
    </row>
    <row r="1388" spans="1:45" x14ac:dyDescent="0.2">
      <c r="A1388">
        <f t="shared" si="86"/>
        <v>2025</v>
      </c>
      <c r="B1388">
        <f t="shared" si="87"/>
        <v>11</v>
      </c>
      <c r="C1388">
        <f t="shared" si="88"/>
        <v>46</v>
      </c>
      <c r="D1388" s="2">
        <f t="shared" si="89"/>
        <v>45973</v>
      </c>
      <c r="E1388" s="1">
        <v>45973.541666666664</v>
      </c>
      <c r="F1388" t="s">
        <v>4427</v>
      </c>
      <c r="G1388" t="s">
        <v>36</v>
      </c>
      <c r="H1388" t="s">
        <v>37</v>
      </c>
      <c r="I1388" t="s">
        <v>38</v>
      </c>
      <c r="J1388" t="s">
        <v>112</v>
      </c>
      <c r="M1388" t="s">
        <v>40</v>
      </c>
      <c r="N1388" t="s">
        <v>41</v>
      </c>
      <c r="O1388" t="s">
        <v>42</v>
      </c>
      <c r="P1388">
        <v>23</v>
      </c>
      <c r="Q1388">
        <v>0</v>
      </c>
      <c r="R1388">
        <v>0</v>
      </c>
      <c r="S1388">
        <v>0</v>
      </c>
      <c r="T1388" t="s">
        <v>4428</v>
      </c>
      <c r="U1388" t="s">
        <v>44</v>
      </c>
      <c r="W1388" t="s">
        <v>4370</v>
      </c>
      <c r="Y1388">
        <v>0</v>
      </c>
      <c r="AA1388" t="s">
        <v>40</v>
      </c>
      <c r="AB1388" t="s">
        <v>46</v>
      </c>
      <c r="AC1388" t="s">
        <v>47</v>
      </c>
      <c r="AF1388" t="s">
        <v>48</v>
      </c>
      <c r="AJ1388" t="s">
        <v>40</v>
      </c>
      <c r="AK1388" t="s">
        <v>49</v>
      </c>
      <c r="AO1388" s="1">
        <v>45973</v>
      </c>
      <c r="AP1388" s="5">
        <v>0.54166666666666663</v>
      </c>
      <c r="AS1388">
        <v>1</v>
      </c>
    </row>
    <row r="1389" spans="1:45" x14ac:dyDescent="0.2">
      <c r="A1389">
        <f t="shared" si="86"/>
        <v>2025</v>
      </c>
      <c r="B1389">
        <f t="shared" si="87"/>
        <v>11</v>
      </c>
      <c r="C1389">
        <f t="shared" si="88"/>
        <v>46</v>
      </c>
      <c r="D1389" s="2">
        <f t="shared" si="89"/>
        <v>45973</v>
      </c>
      <c r="E1389" s="1">
        <v>45973.583333333336</v>
      </c>
      <c r="F1389" t="s">
        <v>4429</v>
      </c>
      <c r="G1389" t="s">
        <v>36</v>
      </c>
      <c r="H1389" t="s">
        <v>111</v>
      </c>
      <c r="I1389" t="s">
        <v>38</v>
      </c>
      <c r="J1389" t="s">
        <v>99</v>
      </c>
      <c r="M1389" t="s">
        <v>40</v>
      </c>
      <c r="N1389" t="s">
        <v>41</v>
      </c>
      <c r="O1389" t="s">
        <v>42</v>
      </c>
      <c r="P1389">
        <v>23</v>
      </c>
      <c r="Q1389">
        <v>0</v>
      </c>
      <c r="R1389">
        <v>0</v>
      </c>
      <c r="S1389">
        <v>0</v>
      </c>
      <c r="T1389" t="s">
        <v>4430</v>
      </c>
      <c r="U1389" t="s">
        <v>44</v>
      </c>
      <c r="W1389" t="s">
        <v>4293</v>
      </c>
      <c r="Y1389">
        <v>0</v>
      </c>
      <c r="AA1389" t="s">
        <v>40</v>
      </c>
      <c r="AB1389" t="s">
        <v>46</v>
      </c>
      <c r="AC1389" t="s">
        <v>47</v>
      </c>
      <c r="AF1389" t="s">
        <v>677</v>
      </c>
      <c r="AJ1389" t="s">
        <v>40</v>
      </c>
      <c r="AK1389" t="s">
        <v>49</v>
      </c>
      <c r="AO1389" s="1">
        <v>45973</v>
      </c>
      <c r="AP1389" s="5">
        <v>0.58333333333333337</v>
      </c>
      <c r="AS1389">
        <v>1</v>
      </c>
    </row>
    <row r="1390" spans="1:45" x14ac:dyDescent="0.2">
      <c r="A1390">
        <f t="shared" si="86"/>
        <v>2025</v>
      </c>
      <c r="B1390">
        <f t="shared" si="87"/>
        <v>11</v>
      </c>
      <c r="C1390">
        <f t="shared" si="88"/>
        <v>46</v>
      </c>
      <c r="D1390" s="2">
        <f t="shared" si="89"/>
        <v>45973</v>
      </c>
      <c r="E1390" s="1">
        <v>45973.583333333336</v>
      </c>
      <c r="F1390" t="s">
        <v>4431</v>
      </c>
      <c r="G1390" t="s">
        <v>36</v>
      </c>
      <c r="H1390" t="s">
        <v>1586</v>
      </c>
      <c r="I1390" t="s">
        <v>38</v>
      </c>
      <c r="J1390" t="s">
        <v>39</v>
      </c>
      <c r="M1390" t="s">
        <v>40</v>
      </c>
      <c r="N1390" t="s">
        <v>41</v>
      </c>
      <c r="O1390" t="s">
        <v>42</v>
      </c>
      <c r="P1390">
        <v>29</v>
      </c>
      <c r="Q1390">
        <v>0</v>
      </c>
      <c r="R1390">
        <v>0</v>
      </c>
      <c r="S1390">
        <v>0</v>
      </c>
      <c r="T1390" t="s">
        <v>4432</v>
      </c>
      <c r="U1390" t="s">
        <v>44</v>
      </c>
      <c r="W1390" t="s">
        <v>4370</v>
      </c>
      <c r="Y1390">
        <v>0</v>
      </c>
      <c r="AA1390" t="s">
        <v>40</v>
      </c>
      <c r="AB1390" t="s">
        <v>46</v>
      </c>
      <c r="AC1390" t="s">
        <v>47</v>
      </c>
      <c r="AF1390" t="s">
        <v>48</v>
      </c>
      <c r="AJ1390" t="s">
        <v>40</v>
      </c>
      <c r="AK1390" t="s">
        <v>49</v>
      </c>
      <c r="AO1390" s="1">
        <v>45973</v>
      </c>
      <c r="AP1390" s="5">
        <v>0.58333333333333337</v>
      </c>
      <c r="AS1390">
        <v>1</v>
      </c>
    </row>
    <row r="1391" spans="1:45" x14ac:dyDescent="0.2">
      <c r="A1391">
        <f t="shared" si="86"/>
        <v>2025</v>
      </c>
      <c r="B1391">
        <f t="shared" si="87"/>
        <v>11</v>
      </c>
      <c r="C1391">
        <f t="shared" si="88"/>
        <v>46</v>
      </c>
      <c r="D1391" s="2">
        <f t="shared" si="89"/>
        <v>45973</v>
      </c>
      <c r="E1391" s="1">
        <v>45973.625</v>
      </c>
      <c r="F1391" t="s">
        <v>4433</v>
      </c>
      <c r="G1391" t="s">
        <v>36</v>
      </c>
      <c r="H1391" t="s">
        <v>37</v>
      </c>
      <c r="I1391" t="s">
        <v>38</v>
      </c>
      <c r="J1391" t="s">
        <v>112</v>
      </c>
      <c r="M1391" t="s">
        <v>40</v>
      </c>
      <c r="N1391" t="s">
        <v>41</v>
      </c>
      <c r="O1391" t="s">
        <v>42</v>
      </c>
      <c r="P1391">
        <v>23</v>
      </c>
      <c r="Q1391">
        <v>0</v>
      </c>
      <c r="R1391">
        <v>0</v>
      </c>
      <c r="S1391">
        <v>0</v>
      </c>
      <c r="T1391" t="s">
        <v>4434</v>
      </c>
      <c r="U1391" t="s">
        <v>44</v>
      </c>
      <c r="W1391" t="s">
        <v>4370</v>
      </c>
      <c r="Y1391">
        <v>0</v>
      </c>
      <c r="AA1391" t="s">
        <v>40</v>
      </c>
      <c r="AB1391" t="s">
        <v>46</v>
      </c>
      <c r="AC1391" t="s">
        <v>47</v>
      </c>
      <c r="AF1391" t="s">
        <v>48</v>
      </c>
      <c r="AJ1391" t="s">
        <v>40</v>
      </c>
      <c r="AK1391" t="s">
        <v>49</v>
      </c>
      <c r="AO1391" s="1">
        <v>45973</v>
      </c>
      <c r="AP1391" s="5">
        <v>0.625</v>
      </c>
      <c r="AS1391">
        <v>1</v>
      </c>
    </row>
    <row r="1392" spans="1:45" x14ac:dyDescent="0.2">
      <c r="A1392">
        <f t="shared" si="86"/>
        <v>2025</v>
      </c>
      <c r="B1392">
        <f t="shared" si="87"/>
        <v>11</v>
      </c>
      <c r="C1392">
        <f t="shared" si="88"/>
        <v>46</v>
      </c>
      <c r="D1392" s="2">
        <f t="shared" si="89"/>
        <v>45973</v>
      </c>
      <c r="E1392" s="1">
        <v>45973.625</v>
      </c>
      <c r="F1392" t="s">
        <v>4435</v>
      </c>
      <c r="G1392" t="s">
        <v>36</v>
      </c>
      <c r="H1392">
        <v>467180</v>
      </c>
      <c r="I1392" t="s">
        <v>51</v>
      </c>
      <c r="J1392" t="s">
        <v>154</v>
      </c>
      <c r="M1392" t="s">
        <v>40</v>
      </c>
      <c r="N1392" t="s">
        <v>41</v>
      </c>
      <c r="O1392" t="s">
        <v>155</v>
      </c>
      <c r="P1392">
        <v>33</v>
      </c>
      <c r="Q1392">
        <v>0</v>
      </c>
      <c r="R1392">
        <v>0</v>
      </c>
      <c r="S1392">
        <v>0</v>
      </c>
      <c r="T1392" t="s">
        <v>54</v>
      </c>
      <c r="U1392" t="s">
        <v>55</v>
      </c>
      <c r="W1392" t="s">
        <v>4370</v>
      </c>
      <c r="Y1392">
        <v>0</v>
      </c>
      <c r="AA1392" t="s">
        <v>40</v>
      </c>
      <c r="AB1392" t="s">
        <v>46</v>
      </c>
      <c r="AC1392" t="s">
        <v>47</v>
      </c>
      <c r="AG1392" t="s">
        <v>4436</v>
      </c>
      <c r="AJ1392" t="s">
        <v>40</v>
      </c>
      <c r="AK1392">
        <v>5019392680</v>
      </c>
      <c r="AO1392" s="1">
        <v>45973</v>
      </c>
      <c r="AP1392" s="5">
        <v>0.625</v>
      </c>
      <c r="AS1392">
        <v>1</v>
      </c>
    </row>
    <row r="1393" spans="1:45" x14ac:dyDescent="0.2">
      <c r="A1393">
        <f t="shared" si="86"/>
        <v>2025</v>
      </c>
      <c r="B1393">
        <f t="shared" si="87"/>
        <v>11</v>
      </c>
      <c r="C1393">
        <f t="shared" si="88"/>
        <v>46</v>
      </c>
      <c r="D1393" s="2">
        <f t="shared" si="89"/>
        <v>45973</v>
      </c>
      <c r="E1393" s="1">
        <v>45973.625</v>
      </c>
      <c r="F1393" t="s">
        <v>4437</v>
      </c>
      <c r="G1393" t="s">
        <v>36</v>
      </c>
      <c r="H1393" t="s">
        <v>4438</v>
      </c>
      <c r="I1393" t="s">
        <v>162</v>
      </c>
      <c r="J1393" t="s">
        <v>1032</v>
      </c>
      <c r="M1393" t="s">
        <v>40</v>
      </c>
      <c r="N1393" t="s">
        <v>41</v>
      </c>
      <c r="O1393" t="s">
        <v>4439</v>
      </c>
      <c r="P1393">
        <v>32</v>
      </c>
      <c r="Q1393">
        <v>0</v>
      </c>
      <c r="R1393">
        <v>0</v>
      </c>
      <c r="S1393">
        <v>0</v>
      </c>
      <c r="T1393" t="s">
        <v>54</v>
      </c>
      <c r="U1393" t="s">
        <v>44</v>
      </c>
      <c r="W1393" t="s">
        <v>4440</v>
      </c>
      <c r="X1393" t="s">
        <v>4441</v>
      </c>
      <c r="Y1393">
        <v>0</v>
      </c>
      <c r="AA1393" t="s">
        <v>40</v>
      </c>
      <c r="AB1393" t="s">
        <v>46</v>
      </c>
      <c r="AC1393" t="s">
        <v>47</v>
      </c>
      <c r="AD1393" t="s">
        <v>166</v>
      </c>
      <c r="AE1393" t="s">
        <v>166</v>
      </c>
      <c r="AG1393" t="s">
        <v>4442</v>
      </c>
      <c r="AJ1393" t="s">
        <v>40</v>
      </c>
      <c r="AK1393" t="s">
        <v>4443</v>
      </c>
      <c r="AL1393" t="s">
        <v>4444</v>
      </c>
      <c r="AM1393" t="s">
        <v>4445</v>
      </c>
      <c r="AO1393" s="1">
        <v>45973</v>
      </c>
      <c r="AP1393" s="5">
        <v>0.625</v>
      </c>
      <c r="AS1393">
        <v>1</v>
      </c>
    </row>
    <row r="1394" spans="1:45" x14ac:dyDescent="0.2">
      <c r="A1394">
        <f t="shared" si="86"/>
        <v>2025</v>
      </c>
      <c r="B1394">
        <f t="shared" si="87"/>
        <v>11</v>
      </c>
      <c r="C1394">
        <f t="shared" si="88"/>
        <v>46</v>
      </c>
      <c r="D1394" s="2">
        <f t="shared" si="89"/>
        <v>45973</v>
      </c>
      <c r="E1394" s="1">
        <v>45973.666666666664</v>
      </c>
      <c r="F1394" t="s">
        <v>4446</v>
      </c>
      <c r="G1394" t="s">
        <v>36</v>
      </c>
      <c r="H1394">
        <v>467232</v>
      </c>
      <c r="I1394" t="s">
        <v>51</v>
      </c>
      <c r="J1394" t="s">
        <v>118</v>
      </c>
      <c r="M1394" t="s">
        <v>40</v>
      </c>
      <c r="N1394" t="s">
        <v>41</v>
      </c>
      <c r="O1394" t="s">
        <v>119</v>
      </c>
      <c r="P1394">
        <v>33</v>
      </c>
      <c r="Q1394">
        <v>0</v>
      </c>
      <c r="R1394">
        <v>0</v>
      </c>
      <c r="S1394">
        <v>0</v>
      </c>
      <c r="T1394" t="s">
        <v>54</v>
      </c>
      <c r="U1394" t="s">
        <v>55</v>
      </c>
      <c r="W1394" t="s">
        <v>4447</v>
      </c>
      <c r="Y1394">
        <v>0</v>
      </c>
      <c r="AA1394" t="s">
        <v>40</v>
      </c>
      <c r="AB1394" t="s">
        <v>46</v>
      </c>
      <c r="AC1394" t="s">
        <v>47</v>
      </c>
      <c r="AG1394" t="s">
        <v>4448</v>
      </c>
      <c r="AJ1394" t="s">
        <v>40</v>
      </c>
      <c r="AK1394">
        <v>5019375613</v>
      </c>
      <c r="AO1394" s="1">
        <v>45973</v>
      </c>
      <c r="AP1394" s="5">
        <v>0.66666666666666663</v>
      </c>
      <c r="AS1394">
        <v>1</v>
      </c>
    </row>
    <row r="1395" spans="1:45" x14ac:dyDescent="0.2">
      <c r="A1395">
        <f t="shared" si="86"/>
        <v>2025</v>
      </c>
      <c r="B1395">
        <f t="shared" si="87"/>
        <v>11</v>
      </c>
      <c r="C1395">
        <f t="shared" si="88"/>
        <v>46</v>
      </c>
      <c r="D1395" s="2">
        <f t="shared" si="89"/>
        <v>45973</v>
      </c>
      <c r="E1395" s="1">
        <v>45973.666666666664</v>
      </c>
      <c r="F1395" t="s">
        <v>4449</v>
      </c>
      <c r="G1395" t="s">
        <v>36</v>
      </c>
      <c r="H1395" t="s">
        <v>239</v>
      </c>
      <c r="I1395" t="s">
        <v>38</v>
      </c>
      <c r="J1395" t="s">
        <v>240</v>
      </c>
      <c r="M1395" t="s">
        <v>40</v>
      </c>
      <c r="N1395" t="s">
        <v>41</v>
      </c>
      <c r="O1395" t="s">
        <v>42</v>
      </c>
      <c r="P1395">
        <v>28</v>
      </c>
      <c r="Q1395">
        <v>0</v>
      </c>
      <c r="R1395">
        <v>0</v>
      </c>
      <c r="S1395">
        <v>0</v>
      </c>
      <c r="T1395" t="s">
        <v>4450</v>
      </c>
      <c r="U1395" t="s">
        <v>44</v>
      </c>
      <c r="W1395" t="s">
        <v>4386</v>
      </c>
      <c r="Y1395">
        <v>0</v>
      </c>
      <c r="AA1395" t="s">
        <v>40</v>
      </c>
      <c r="AB1395" t="s">
        <v>46</v>
      </c>
      <c r="AC1395" t="s">
        <v>47</v>
      </c>
      <c r="AF1395" t="s">
        <v>242</v>
      </c>
      <c r="AJ1395" t="s">
        <v>40</v>
      </c>
      <c r="AK1395" t="s">
        <v>49</v>
      </c>
      <c r="AO1395" s="1">
        <v>45973</v>
      </c>
      <c r="AP1395" s="5">
        <v>0.66666666666666663</v>
      </c>
      <c r="AS1395">
        <v>1</v>
      </c>
    </row>
    <row r="1396" spans="1:45" x14ac:dyDescent="0.2">
      <c r="A1396">
        <f t="shared" si="86"/>
        <v>2025</v>
      </c>
      <c r="B1396">
        <f t="shared" si="87"/>
        <v>11</v>
      </c>
      <c r="C1396">
        <f t="shared" si="88"/>
        <v>46</v>
      </c>
      <c r="D1396" s="2">
        <f t="shared" si="89"/>
        <v>45973</v>
      </c>
      <c r="E1396" s="1">
        <v>45973.666666666664</v>
      </c>
      <c r="F1396" t="s">
        <v>4451</v>
      </c>
      <c r="G1396" t="s">
        <v>36</v>
      </c>
      <c r="H1396" t="s">
        <v>2379</v>
      </c>
      <c r="I1396" t="s">
        <v>38</v>
      </c>
      <c r="J1396" t="s">
        <v>2380</v>
      </c>
      <c r="M1396" t="s">
        <v>40</v>
      </c>
      <c r="N1396" t="s">
        <v>41</v>
      </c>
      <c r="O1396" t="s">
        <v>42</v>
      </c>
      <c r="P1396">
        <v>33</v>
      </c>
      <c r="Q1396">
        <v>0</v>
      </c>
      <c r="R1396">
        <v>0</v>
      </c>
      <c r="S1396">
        <v>0</v>
      </c>
      <c r="T1396">
        <v>90030309</v>
      </c>
      <c r="U1396" t="s">
        <v>44</v>
      </c>
      <c r="W1396" t="s">
        <v>4386</v>
      </c>
      <c r="Y1396">
        <v>0</v>
      </c>
      <c r="AA1396" t="s">
        <v>40</v>
      </c>
      <c r="AB1396" t="s">
        <v>46</v>
      </c>
      <c r="AC1396" t="s">
        <v>47</v>
      </c>
      <c r="AF1396" t="s">
        <v>2381</v>
      </c>
      <c r="AJ1396" t="s">
        <v>40</v>
      </c>
      <c r="AK1396" t="s">
        <v>49</v>
      </c>
      <c r="AO1396" s="1">
        <v>45973</v>
      </c>
      <c r="AP1396" s="5">
        <v>0.66666666666666663</v>
      </c>
      <c r="AS1396">
        <v>1</v>
      </c>
    </row>
    <row r="1397" spans="1:45" x14ac:dyDescent="0.2">
      <c r="A1397">
        <f t="shared" si="86"/>
        <v>2025</v>
      </c>
      <c r="B1397">
        <f t="shared" si="87"/>
        <v>11</v>
      </c>
      <c r="C1397">
        <f t="shared" si="88"/>
        <v>46</v>
      </c>
      <c r="D1397" s="2">
        <f t="shared" si="89"/>
        <v>45973</v>
      </c>
      <c r="E1397" s="1">
        <v>45973.666666666664</v>
      </c>
      <c r="F1397" t="s">
        <v>4452</v>
      </c>
      <c r="G1397" t="s">
        <v>36</v>
      </c>
      <c r="H1397">
        <v>467181</v>
      </c>
      <c r="I1397" t="s">
        <v>51</v>
      </c>
      <c r="J1397" t="s">
        <v>154</v>
      </c>
      <c r="M1397" t="s">
        <v>40</v>
      </c>
      <c r="N1397" t="s">
        <v>41</v>
      </c>
      <c r="O1397" t="s">
        <v>155</v>
      </c>
      <c r="P1397">
        <v>33</v>
      </c>
      <c r="Q1397">
        <v>0</v>
      </c>
      <c r="R1397">
        <v>0</v>
      </c>
      <c r="S1397">
        <v>0</v>
      </c>
      <c r="T1397" t="s">
        <v>54</v>
      </c>
      <c r="U1397" t="s">
        <v>55</v>
      </c>
      <c r="W1397" t="s">
        <v>4370</v>
      </c>
      <c r="Y1397">
        <v>0</v>
      </c>
      <c r="AA1397" t="s">
        <v>40</v>
      </c>
      <c r="AB1397" t="s">
        <v>46</v>
      </c>
      <c r="AC1397" t="s">
        <v>47</v>
      </c>
      <c r="AG1397" t="s">
        <v>4453</v>
      </c>
      <c r="AJ1397" t="s">
        <v>40</v>
      </c>
      <c r="AK1397">
        <v>5019378939</v>
      </c>
      <c r="AO1397" s="1">
        <v>45973</v>
      </c>
      <c r="AP1397" s="5">
        <v>0.66666666666666663</v>
      </c>
      <c r="AS1397">
        <v>1</v>
      </c>
    </row>
    <row r="1398" spans="1:45" x14ac:dyDescent="0.2">
      <c r="A1398">
        <f t="shared" si="86"/>
        <v>2025</v>
      </c>
      <c r="B1398">
        <f t="shared" si="87"/>
        <v>11</v>
      </c>
      <c r="C1398">
        <f t="shared" si="88"/>
        <v>46</v>
      </c>
      <c r="D1398" s="2">
        <f t="shared" si="89"/>
        <v>45973</v>
      </c>
      <c r="E1398" s="1">
        <v>45973.708333333336</v>
      </c>
      <c r="F1398" t="s">
        <v>4454</v>
      </c>
      <c r="G1398" t="s">
        <v>36</v>
      </c>
      <c r="H1398">
        <v>467171</v>
      </c>
      <c r="I1398" t="s">
        <v>51</v>
      </c>
      <c r="J1398" t="s">
        <v>188</v>
      </c>
      <c r="M1398" t="s">
        <v>40</v>
      </c>
      <c r="N1398" t="s">
        <v>41</v>
      </c>
      <c r="O1398" t="s">
        <v>189</v>
      </c>
      <c r="P1398">
        <v>33</v>
      </c>
      <c r="Q1398">
        <v>0</v>
      </c>
      <c r="R1398">
        <v>0</v>
      </c>
      <c r="S1398">
        <v>0</v>
      </c>
      <c r="T1398" t="s">
        <v>54</v>
      </c>
      <c r="U1398" t="s">
        <v>55</v>
      </c>
      <c r="W1398" t="s">
        <v>4455</v>
      </c>
      <c r="Y1398">
        <v>0</v>
      </c>
      <c r="AA1398" t="s">
        <v>40</v>
      </c>
      <c r="AB1398" t="s">
        <v>46</v>
      </c>
      <c r="AC1398" t="s">
        <v>47</v>
      </c>
      <c r="AG1398" t="s">
        <v>4456</v>
      </c>
      <c r="AJ1398" t="s">
        <v>40</v>
      </c>
      <c r="AK1398">
        <v>5019394920</v>
      </c>
      <c r="AO1398" s="1">
        <v>45973</v>
      </c>
      <c r="AP1398" s="5">
        <v>0.70833333333333337</v>
      </c>
      <c r="AS1398">
        <v>1</v>
      </c>
    </row>
    <row r="1399" spans="1:45" x14ac:dyDescent="0.2">
      <c r="A1399">
        <f t="shared" si="86"/>
        <v>2025</v>
      </c>
      <c r="B1399">
        <f t="shared" si="87"/>
        <v>11</v>
      </c>
      <c r="C1399">
        <f t="shared" si="88"/>
        <v>46</v>
      </c>
      <c r="D1399" s="2">
        <f t="shared" si="89"/>
        <v>45973</v>
      </c>
      <c r="E1399" s="1">
        <v>45973.708333333336</v>
      </c>
      <c r="F1399" t="s">
        <v>4457</v>
      </c>
      <c r="G1399" t="s">
        <v>36</v>
      </c>
      <c r="H1399" t="s">
        <v>4458</v>
      </c>
      <c r="I1399" t="s">
        <v>78</v>
      </c>
      <c r="J1399" t="s">
        <v>200</v>
      </c>
      <c r="M1399" t="s">
        <v>40</v>
      </c>
      <c r="N1399" t="s">
        <v>41</v>
      </c>
      <c r="O1399" t="s">
        <v>2032</v>
      </c>
      <c r="P1399">
        <v>66</v>
      </c>
      <c r="Q1399">
        <v>0</v>
      </c>
      <c r="R1399">
        <v>0</v>
      </c>
      <c r="S1399">
        <v>0</v>
      </c>
      <c r="T1399" t="s">
        <v>54</v>
      </c>
      <c r="U1399" t="s">
        <v>55</v>
      </c>
      <c r="W1399" t="s">
        <v>4459</v>
      </c>
      <c r="Y1399">
        <v>0</v>
      </c>
      <c r="AA1399" t="s">
        <v>40</v>
      </c>
      <c r="AB1399" t="s">
        <v>46</v>
      </c>
      <c r="AC1399" t="s">
        <v>47</v>
      </c>
      <c r="AD1399" t="s">
        <v>81</v>
      </c>
      <c r="AE1399" t="s">
        <v>81</v>
      </c>
      <c r="AG1399" t="s">
        <v>4460</v>
      </c>
      <c r="AJ1399" t="s">
        <v>40</v>
      </c>
      <c r="AK1399" t="s">
        <v>4461</v>
      </c>
      <c r="AO1399" s="1">
        <v>45973</v>
      </c>
      <c r="AP1399" s="5">
        <v>0.70833333333333337</v>
      </c>
      <c r="AS1399">
        <v>1</v>
      </c>
    </row>
    <row r="1400" spans="1:45" x14ac:dyDescent="0.2">
      <c r="A1400">
        <f t="shared" si="86"/>
        <v>2025</v>
      </c>
      <c r="B1400">
        <f t="shared" si="87"/>
        <v>11</v>
      </c>
      <c r="C1400">
        <f t="shared" si="88"/>
        <v>46</v>
      </c>
      <c r="D1400" s="2">
        <f t="shared" si="89"/>
        <v>45973</v>
      </c>
      <c r="E1400" s="1">
        <v>45973.75</v>
      </c>
      <c r="F1400" t="s">
        <v>4462</v>
      </c>
      <c r="G1400" t="s">
        <v>36</v>
      </c>
      <c r="H1400">
        <v>470604</v>
      </c>
      <c r="I1400" t="s">
        <v>51</v>
      </c>
      <c r="J1400" t="s">
        <v>154</v>
      </c>
      <c r="M1400" t="s">
        <v>40</v>
      </c>
      <c r="N1400" t="s">
        <v>41</v>
      </c>
      <c r="O1400" t="s">
        <v>371</v>
      </c>
      <c r="P1400">
        <v>33</v>
      </c>
      <c r="Q1400">
        <v>0</v>
      </c>
      <c r="R1400">
        <v>0</v>
      </c>
      <c r="S1400">
        <v>0</v>
      </c>
      <c r="T1400" t="s">
        <v>54</v>
      </c>
      <c r="U1400" t="s">
        <v>55</v>
      </c>
      <c r="W1400" t="s">
        <v>4463</v>
      </c>
      <c r="Y1400">
        <v>0</v>
      </c>
      <c r="AA1400" t="s">
        <v>40</v>
      </c>
      <c r="AB1400" t="s">
        <v>46</v>
      </c>
      <c r="AC1400" t="s">
        <v>47</v>
      </c>
      <c r="AG1400" t="s">
        <v>4464</v>
      </c>
      <c r="AJ1400" t="s">
        <v>40</v>
      </c>
      <c r="AK1400">
        <v>5019365935</v>
      </c>
      <c r="AO1400" s="1">
        <v>45973</v>
      </c>
      <c r="AP1400" s="5">
        <v>0.75</v>
      </c>
      <c r="AS1400">
        <v>1</v>
      </c>
    </row>
    <row r="1401" spans="1:45" x14ac:dyDescent="0.2">
      <c r="A1401">
        <f t="shared" si="86"/>
        <v>2025</v>
      </c>
      <c r="B1401">
        <f t="shared" si="87"/>
        <v>11</v>
      </c>
      <c r="C1401">
        <f t="shared" si="88"/>
        <v>46</v>
      </c>
      <c r="D1401" s="2">
        <f t="shared" si="89"/>
        <v>45973</v>
      </c>
      <c r="E1401" s="1">
        <v>45973.75</v>
      </c>
      <c r="F1401" t="s">
        <v>4465</v>
      </c>
      <c r="G1401" t="s">
        <v>36</v>
      </c>
      <c r="H1401">
        <v>470857</v>
      </c>
      <c r="I1401" t="s">
        <v>51</v>
      </c>
      <c r="J1401" t="s">
        <v>144</v>
      </c>
      <c r="M1401" t="s">
        <v>40</v>
      </c>
      <c r="N1401" t="s">
        <v>41</v>
      </c>
      <c r="O1401" t="s">
        <v>90</v>
      </c>
      <c r="P1401">
        <v>33</v>
      </c>
      <c r="Q1401">
        <v>0</v>
      </c>
      <c r="R1401">
        <v>0</v>
      </c>
      <c r="S1401">
        <v>0</v>
      </c>
      <c r="T1401" t="s">
        <v>54</v>
      </c>
      <c r="U1401" t="s">
        <v>55</v>
      </c>
      <c r="W1401" t="s">
        <v>4466</v>
      </c>
      <c r="X1401" t="s">
        <v>4467</v>
      </c>
      <c r="Y1401">
        <v>0</v>
      </c>
      <c r="AA1401" t="s">
        <v>40</v>
      </c>
      <c r="AB1401" t="s">
        <v>46</v>
      </c>
      <c r="AC1401" t="s">
        <v>47</v>
      </c>
      <c r="AG1401" t="s">
        <v>4468</v>
      </c>
      <c r="AJ1401" t="s">
        <v>40</v>
      </c>
      <c r="AK1401">
        <v>5019384784</v>
      </c>
      <c r="AL1401" t="s">
        <v>4469</v>
      </c>
      <c r="AM1401" t="s">
        <v>4470</v>
      </c>
      <c r="AO1401" s="1">
        <v>45973</v>
      </c>
      <c r="AP1401" s="5">
        <v>0.75</v>
      </c>
      <c r="AS1401">
        <v>1</v>
      </c>
    </row>
    <row r="1402" spans="1:45" x14ac:dyDescent="0.2">
      <c r="A1402">
        <f t="shared" si="86"/>
        <v>2025</v>
      </c>
      <c r="B1402">
        <f t="shared" si="87"/>
        <v>11</v>
      </c>
      <c r="C1402">
        <f t="shared" si="88"/>
        <v>46</v>
      </c>
      <c r="D1402" s="2">
        <f t="shared" si="89"/>
        <v>45973</v>
      </c>
      <c r="E1402" s="1">
        <v>45973.791666666664</v>
      </c>
      <c r="F1402" t="s">
        <v>4471</v>
      </c>
      <c r="G1402" t="s">
        <v>36</v>
      </c>
      <c r="H1402" t="s">
        <v>4472</v>
      </c>
      <c r="I1402" t="s">
        <v>218</v>
      </c>
      <c r="J1402" t="s">
        <v>194</v>
      </c>
      <c r="M1402" t="s">
        <v>40</v>
      </c>
      <c r="N1402" t="s">
        <v>41</v>
      </c>
      <c r="O1402" t="s">
        <v>4473</v>
      </c>
      <c r="P1402">
        <v>99</v>
      </c>
      <c r="Q1402">
        <v>0</v>
      </c>
      <c r="R1402">
        <v>0</v>
      </c>
      <c r="S1402">
        <v>0</v>
      </c>
      <c r="T1402" t="s">
        <v>54</v>
      </c>
      <c r="U1402" t="s">
        <v>55</v>
      </c>
      <c r="W1402" t="s">
        <v>4474</v>
      </c>
      <c r="Y1402">
        <v>0</v>
      </c>
      <c r="AA1402" t="s">
        <v>40</v>
      </c>
      <c r="AB1402" t="s">
        <v>46</v>
      </c>
      <c r="AC1402" t="s">
        <v>47</v>
      </c>
      <c r="AD1402" t="s">
        <v>223</v>
      </c>
      <c r="AE1402" t="s">
        <v>223</v>
      </c>
      <c r="AG1402" t="s">
        <v>4475</v>
      </c>
      <c r="AJ1402" t="s">
        <v>40</v>
      </c>
      <c r="AK1402" t="s">
        <v>4476</v>
      </c>
      <c r="AO1402" s="1">
        <v>45973</v>
      </c>
      <c r="AP1402" s="5">
        <v>0.79166666666666663</v>
      </c>
      <c r="AS1402">
        <v>1</v>
      </c>
    </row>
    <row r="1403" spans="1:45" x14ac:dyDescent="0.2">
      <c r="A1403">
        <f t="shared" si="86"/>
        <v>2025</v>
      </c>
      <c r="B1403">
        <f t="shared" si="87"/>
        <v>11</v>
      </c>
      <c r="C1403">
        <f t="shared" si="88"/>
        <v>46</v>
      </c>
      <c r="D1403" s="2">
        <f t="shared" si="89"/>
        <v>45973</v>
      </c>
      <c r="E1403" s="1">
        <v>45973.833333333336</v>
      </c>
      <c r="F1403" t="s">
        <v>4477</v>
      </c>
      <c r="G1403" t="s">
        <v>36</v>
      </c>
      <c r="H1403">
        <v>467186</v>
      </c>
      <c r="I1403" t="s">
        <v>51</v>
      </c>
      <c r="J1403" t="s">
        <v>219</v>
      </c>
      <c r="M1403" t="s">
        <v>40</v>
      </c>
      <c r="N1403" t="s">
        <v>41</v>
      </c>
      <c r="O1403" t="s">
        <v>90</v>
      </c>
      <c r="P1403">
        <v>33</v>
      </c>
      <c r="Q1403">
        <v>0</v>
      </c>
      <c r="R1403">
        <v>0</v>
      </c>
      <c r="S1403">
        <v>0</v>
      </c>
      <c r="T1403" t="s">
        <v>54</v>
      </c>
      <c r="U1403" t="s">
        <v>55</v>
      </c>
      <c r="W1403" t="s">
        <v>4220</v>
      </c>
      <c r="X1403" t="s">
        <v>4478</v>
      </c>
      <c r="Y1403">
        <v>0</v>
      </c>
      <c r="AA1403" t="s">
        <v>40</v>
      </c>
      <c r="AB1403" t="s">
        <v>46</v>
      </c>
      <c r="AC1403" t="s">
        <v>47</v>
      </c>
      <c r="AG1403" t="s">
        <v>4479</v>
      </c>
      <c r="AJ1403" t="s">
        <v>40</v>
      </c>
      <c r="AK1403">
        <v>5019387894</v>
      </c>
      <c r="AL1403" t="s">
        <v>4480</v>
      </c>
      <c r="AM1403" t="s">
        <v>4481</v>
      </c>
      <c r="AO1403" s="1">
        <v>45973</v>
      </c>
      <c r="AP1403" s="5">
        <v>0.83333333333333337</v>
      </c>
      <c r="AS1403">
        <v>1</v>
      </c>
    </row>
    <row r="1404" spans="1:45" x14ac:dyDescent="0.2">
      <c r="A1404">
        <f t="shared" si="86"/>
        <v>2025</v>
      </c>
      <c r="B1404">
        <f t="shared" si="87"/>
        <v>11</v>
      </c>
      <c r="C1404">
        <f t="shared" si="88"/>
        <v>46</v>
      </c>
      <c r="D1404" s="2">
        <f t="shared" si="89"/>
        <v>45974</v>
      </c>
      <c r="E1404" s="1">
        <v>45974.25</v>
      </c>
      <c r="F1404" t="s">
        <v>4482</v>
      </c>
      <c r="G1404" t="s">
        <v>36</v>
      </c>
      <c r="H1404" t="s">
        <v>4483</v>
      </c>
      <c r="I1404" t="s">
        <v>38</v>
      </c>
      <c r="J1404" t="s">
        <v>60</v>
      </c>
      <c r="M1404" t="s">
        <v>40</v>
      </c>
      <c r="N1404" t="s">
        <v>41</v>
      </c>
      <c r="O1404" t="s">
        <v>42</v>
      </c>
      <c r="P1404">
        <v>20</v>
      </c>
      <c r="Q1404">
        <v>0</v>
      </c>
      <c r="R1404">
        <v>0</v>
      </c>
      <c r="S1404">
        <v>0</v>
      </c>
      <c r="T1404">
        <v>5019282271</v>
      </c>
      <c r="U1404" t="s">
        <v>44</v>
      </c>
      <c r="W1404" t="s">
        <v>4484</v>
      </c>
      <c r="Y1404">
        <v>0</v>
      </c>
      <c r="AA1404" t="s">
        <v>40</v>
      </c>
      <c r="AB1404" t="s">
        <v>46</v>
      </c>
      <c r="AC1404" t="s">
        <v>47</v>
      </c>
      <c r="AF1404" t="s">
        <v>133</v>
      </c>
      <c r="AJ1404" t="s">
        <v>40</v>
      </c>
      <c r="AK1404" t="s">
        <v>49</v>
      </c>
      <c r="AN1404">
        <v>260954894</v>
      </c>
      <c r="AO1404" s="1">
        <v>45974</v>
      </c>
      <c r="AP1404" s="5">
        <v>0.25</v>
      </c>
      <c r="AS1404">
        <v>1</v>
      </c>
    </row>
    <row r="1405" spans="1:45" x14ac:dyDescent="0.2">
      <c r="A1405">
        <f t="shared" si="86"/>
        <v>2025</v>
      </c>
      <c r="B1405">
        <f t="shared" si="87"/>
        <v>11</v>
      </c>
      <c r="C1405">
        <f t="shared" si="88"/>
        <v>46</v>
      </c>
      <c r="D1405" s="2">
        <f t="shared" si="89"/>
        <v>45974</v>
      </c>
      <c r="E1405" s="1">
        <v>45974.25</v>
      </c>
      <c r="F1405" t="s">
        <v>4485</v>
      </c>
      <c r="G1405" t="s">
        <v>36</v>
      </c>
      <c r="H1405">
        <v>470147</v>
      </c>
      <c r="I1405" t="s">
        <v>51</v>
      </c>
      <c r="J1405" t="s">
        <v>52</v>
      </c>
      <c r="M1405" t="s">
        <v>40</v>
      </c>
      <c r="N1405" t="s">
        <v>41</v>
      </c>
      <c r="O1405" t="s">
        <v>53</v>
      </c>
      <c r="P1405">
        <v>33</v>
      </c>
      <c r="Q1405">
        <v>0</v>
      </c>
      <c r="R1405">
        <v>0</v>
      </c>
      <c r="S1405">
        <v>0</v>
      </c>
      <c r="T1405" t="s">
        <v>54</v>
      </c>
      <c r="U1405" t="s">
        <v>55</v>
      </c>
      <c r="W1405" t="s">
        <v>4486</v>
      </c>
      <c r="Y1405">
        <v>0</v>
      </c>
      <c r="AA1405" t="s">
        <v>40</v>
      </c>
      <c r="AB1405" t="s">
        <v>46</v>
      </c>
      <c r="AC1405" t="s">
        <v>47</v>
      </c>
      <c r="AG1405" t="s">
        <v>4487</v>
      </c>
      <c r="AJ1405" t="s">
        <v>40</v>
      </c>
      <c r="AK1405">
        <v>5019376113</v>
      </c>
      <c r="AO1405" s="1">
        <v>45974</v>
      </c>
      <c r="AP1405" s="5">
        <v>0.25</v>
      </c>
      <c r="AS1405">
        <v>1</v>
      </c>
    </row>
    <row r="1406" spans="1:45" x14ac:dyDescent="0.2">
      <c r="A1406">
        <f t="shared" si="86"/>
        <v>2025</v>
      </c>
      <c r="B1406">
        <f t="shared" si="87"/>
        <v>11</v>
      </c>
      <c r="C1406">
        <f t="shared" si="88"/>
        <v>46</v>
      </c>
      <c r="D1406" s="2">
        <f t="shared" si="89"/>
        <v>45974</v>
      </c>
      <c r="E1406" s="1">
        <v>45974.291666666664</v>
      </c>
      <c r="F1406" t="s">
        <v>4488</v>
      </c>
      <c r="G1406" t="s">
        <v>36</v>
      </c>
      <c r="H1406">
        <v>470142</v>
      </c>
      <c r="I1406" t="s">
        <v>51</v>
      </c>
      <c r="J1406" t="s">
        <v>52</v>
      </c>
      <c r="M1406" t="s">
        <v>40</v>
      </c>
      <c r="N1406" t="s">
        <v>41</v>
      </c>
      <c r="O1406" t="s">
        <v>53</v>
      </c>
      <c r="P1406">
        <v>33</v>
      </c>
      <c r="Q1406">
        <v>0</v>
      </c>
      <c r="R1406">
        <v>0</v>
      </c>
      <c r="S1406">
        <v>0</v>
      </c>
      <c r="T1406" t="s">
        <v>54</v>
      </c>
      <c r="U1406" t="s">
        <v>55</v>
      </c>
      <c r="W1406" t="s">
        <v>3776</v>
      </c>
      <c r="Y1406">
        <v>0</v>
      </c>
      <c r="AA1406" t="s">
        <v>40</v>
      </c>
      <c r="AB1406" t="s">
        <v>46</v>
      </c>
      <c r="AC1406" t="s">
        <v>47</v>
      </c>
      <c r="AG1406" t="s">
        <v>4489</v>
      </c>
      <c r="AJ1406" t="s">
        <v>40</v>
      </c>
      <c r="AK1406">
        <v>5019391924</v>
      </c>
      <c r="AO1406" s="1">
        <v>45974</v>
      </c>
      <c r="AP1406" s="5">
        <v>0.29166666666666669</v>
      </c>
      <c r="AS1406">
        <v>1</v>
      </c>
    </row>
    <row r="1407" spans="1:45" x14ac:dyDescent="0.2">
      <c r="A1407">
        <f t="shared" si="86"/>
        <v>2025</v>
      </c>
      <c r="B1407">
        <f t="shared" si="87"/>
        <v>11</v>
      </c>
      <c r="C1407">
        <f t="shared" si="88"/>
        <v>46</v>
      </c>
      <c r="D1407" s="2">
        <f t="shared" si="89"/>
        <v>45974</v>
      </c>
      <c r="E1407" s="1">
        <v>45974.291666666664</v>
      </c>
      <c r="F1407" t="s">
        <v>4490</v>
      </c>
      <c r="G1407" t="s">
        <v>36</v>
      </c>
      <c r="H1407" t="s">
        <v>253</v>
      </c>
      <c r="I1407" t="s">
        <v>38</v>
      </c>
      <c r="J1407" t="s">
        <v>254</v>
      </c>
      <c r="M1407" t="s">
        <v>40</v>
      </c>
      <c r="N1407" t="s">
        <v>41</v>
      </c>
      <c r="O1407" t="s">
        <v>42</v>
      </c>
      <c r="P1407">
        <v>1</v>
      </c>
      <c r="Q1407">
        <v>0</v>
      </c>
      <c r="R1407">
        <v>0</v>
      </c>
      <c r="S1407">
        <v>0</v>
      </c>
      <c r="T1407">
        <v>5019409482</v>
      </c>
      <c r="U1407" t="s">
        <v>101</v>
      </c>
      <c r="W1407" t="s">
        <v>4491</v>
      </c>
      <c r="Y1407">
        <v>0</v>
      </c>
      <c r="AA1407" t="s">
        <v>40</v>
      </c>
      <c r="AB1407" t="s">
        <v>46</v>
      </c>
      <c r="AC1407" t="s">
        <v>47</v>
      </c>
      <c r="AF1407" t="s">
        <v>48</v>
      </c>
      <c r="AJ1407" t="s">
        <v>40</v>
      </c>
      <c r="AK1407" t="s">
        <v>49</v>
      </c>
      <c r="AO1407" s="1">
        <v>45974</v>
      </c>
      <c r="AP1407" s="5">
        <v>0.29166666666666669</v>
      </c>
      <c r="AS1407">
        <v>1</v>
      </c>
    </row>
    <row r="1408" spans="1:45" x14ac:dyDescent="0.2">
      <c r="A1408">
        <f t="shared" si="86"/>
        <v>2025</v>
      </c>
      <c r="B1408">
        <f t="shared" si="87"/>
        <v>11</v>
      </c>
      <c r="C1408">
        <f t="shared" si="88"/>
        <v>46</v>
      </c>
      <c r="D1408" s="2">
        <f t="shared" si="89"/>
        <v>45974</v>
      </c>
      <c r="E1408" s="1">
        <v>45974.333333333336</v>
      </c>
      <c r="F1408" t="s">
        <v>4492</v>
      </c>
      <c r="G1408" t="s">
        <v>36</v>
      </c>
      <c r="H1408" t="s">
        <v>4493</v>
      </c>
      <c r="I1408" t="s">
        <v>38</v>
      </c>
      <c r="J1408" t="s">
        <v>60</v>
      </c>
      <c r="M1408" t="s">
        <v>40</v>
      </c>
      <c r="N1408" t="s">
        <v>41</v>
      </c>
      <c r="O1408" t="s">
        <v>42</v>
      </c>
      <c r="P1408">
        <v>20</v>
      </c>
      <c r="Q1408">
        <v>0</v>
      </c>
      <c r="R1408">
        <v>0</v>
      </c>
      <c r="S1408">
        <v>0</v>
      </c>
      <c r="T1408">
        <v>5019297643</v>
      </c>
      <c r="U1408" t="s">
        <v>44</v>
      </c>
      <c r="W1408" t="s">
        <v>4494</v>
      </c>
      <c r="Y1408">
        <v>0</v>
      </c>
      <c r="AA1408" t="s">
        <v>40</v>
      </c>
      <c r="AB1408" t="s">
        <v>46</v>
      </c>
      <c r="AC1408" t="s">
        <v>47</v>
      </c>
      <c r="AF1408" t="s">
        <v>133</v>
      </c>
      <c r="AJ1408" t="s">
        <v>40</v>
      </c>
      <c r="AK1408" t="s">
        <v>49</v>
      </c>
      <c r="AN1408">
        <v>260954894</v>
      </c>
      <c r="AO1408" s="1">
        <v>45974</v>
      </c>
      <c r="AP1408" s="5">
        <v>0.33333333333333331</v>
      </c>
      <c r="AS1408">
        <v>1</v>
      </c>
    </row>
    <row r="1409" spans="1:45" x14ac:dyDescent="0.2">
      <c r="A1409">
        <f t="shared" si="86"/>
        <v>2025</v>
      </c>
      <c r="B1409">
        <f t="shared" si="87"/>
        <v>11</v>
      </c>
      <c r="C1409">
        <f t="shared" si="88"/>
        <v>46</v>
      </c>
      <c r="D1409" s="2">
        <f t="shared" si="89"/>
        <v>45974</v>
      </c>
      <c r="E1409" s="1">
        <v>45974.333333333336</v>
      </c>
      <c r="F1409" t="s">
        <v>4495</v>
      </c>
      <c r="G1409" t="s">
        <v>36</v>
      </c>
      <c r="H1409" t="s">
        <v>111</v>
      </c>
      <c r="I1409" t="s">
        <v>38</v>
      </c>
      <c r="J1409" t="s">
        <v>112</v>
      </c>
      <c r="M1409" t="s">
        <v>40</v>
      </c>
      <c r="N1409" t="s">
        <v>41</v>
      </c>
      <c r="O1409" t="s">
        <v>42</v>
      </c>
      <c r="P1409">
        <v>13</v>
      </c>
      <c r="Q1409">
        <v>0</v>
      </c>
      <c r="R1409">
        <v>0</v>
      </c>
      <c r="S1409">
        <v>0</v>
      </c>
      <c r="T1409" t="s">
        <v>4496</v>
      </c>
      <c r="U1409" t="s">
        <v>44</v>
      </c>
      <c r="W1409" t="s">
        <v>4335</v>
      </c>
      <c r="Y1409">
        <v>0</v>
      </c>
      <c r="AA1409" t="s">
        <v>40</v>
      </c>
      <c r="AB1409" t="s">
        <v>46</v>
      </c>
      <c r="AC1409" t="s">
        <v>47</v>
      </c>
      <c r="AF1409" t="s">
        <v>48</v>
      </c>
      <c r="AJ1409" t="s">
        <v>40</v>
      </c>
      <c r="AK1409" t="s">
        <v>49</v>
      </c>
      <c r="AO1409" s="1">
        <v>45974</v>
      </c>
      <c r="AP1409" s="5">
        <v>0.33333333333333331</v>
      </c>
      <c r="AS1409">
        <v>1</v>
      </c>
    </row>
    <row r="1410" spans="1:45" x14ac:dyDescent="0.2">
      <c r="A1410">
        <f t="shared" ref="A1410:A1473" si="90">YEAR(D1410)</f>
        <v>2025</v>
      </c>
      <c r="B1410">
        <f t="shared" ref="B1410:B1473" si="91">MONTH(D1410)</f>
        <v>11</v>
      </c>
      <c r="C1410">
        <f t="shared" ref="C1410:C1473" si="92">WEEKNUM(D1410)</f>
        <v>46</v>
      </c>
      <c r="D1410" s="2">
        <f t="shared" ref="D1410:D1473" si="93">INT(E1410)</f>
        <v>45974</v>
      </c>
      <c r="E1410" s="1">
        <v>45974.333333333336</v>
      </c>
      <c r="F1410" t="s">
        <v>4497</v>
      </c>
      <c r="G1410" t="s">
        <v>36</v>
      </c>
      <c r="H1410" t="s">
        <v>264</v>
      </c>
      <c r="I1410" t="s">
        <v>38</v>
      </c>
      <c r="J1410" t="s">
        <v>265</v>
      </c>
      <c r="M1410" t="s">
        <v>40</v>
      </c>
      <c r="N1410" t="s">
        <v>41</v>
      </c>
      <c r="O1410" t="s">
        <v>42</v>
      </c>
      <c r="P1410">
        <v>23</v>
      </c>
      <c r="Q1410">
        <v>0</v>
      </c>
      <c r="R1410">
        <v>0</v>
      </c>
      <c r="S1410">
        <v>0</v>
      </c>
      <c r="T1410" t="s">
        <v>4498</v>
      </c>
      <c r="U1410" t="s">
        <v>55</v>
      </c>
      <c r="W1410" t="s">
        <v>4335</v>
      </c>
      <c r="Y1410">
        <v>0</v>
      </c>
      <c r="AA1410" t="s">
        <v>40</v>
      </c>
      <c r="AB1410" t="s">
        <v>46</v>
      </c>
      <c r="AC1410" t="s">
        <v>47</v>
      </c>
      <c r="AF1410" t="s">
        <v>48</v>
      </c>
      <c r="AJ1410" t="s">
        <v>40</v>
      </c>
      <c r="AK1410" t="s">
        <v>49</v>
      </c>
      <c r="AO1410" s="1">
        <v>45974</v>
      </c>
      <c r="AP1410" s="5">
        <v>0.33333333333333331</v>
      </c>
      <c r="AS1410">
        <v>1</v>
      </c>
    </row>
    <row r="1411" spans="1:45" x14ac:dyDescent="0.2">
      <c r="A1411">
        <f t="shared" si="90"/>
        <v>2025</v>
      </c>
      <c r="B1411">
        <f t="shared" si="91"/>
        <v>11</v>
      </c>
      <c r="C1411">
        <f t="shared" si="92"/>
        <v>46</v>
      </c>
      <c r="D1411" s="2">
        <f t="shared" si="93"/>
        <v>45974</v>
      </c>
      <c r="E1411" s="1">
        <v>45974.375</v>
      </c>
      <c r="F1411" t="s">
        <v>4499</v>
      </c>
      <c r="G1411" t="s">
        <v>36</v>
      </c>
      <c r="H1411" t="s">
        <v>4500</v>
      </c>
      <c r="I1411" t="s">
        <v>38</v>
      </c>
      <c r="J1411" t="s">
        <v>60</v>
      </c>
      <c r="M1411" t="s">
        <v>40</v>
      </c>
      <c r="N1411" t="s">
        <v>41</v>
      </c>
      <c r="O1411" t="s">
        <v>42</v>
      </c>
      <c r="P1411">
        <v>20</v>
      </c>
      <c r="Q1411">
        <v>0</v>
      </c>
      <c r="R1411">
        <v>0</v>
      </c>
      <c r="S1411">
        <v>0</v>
      </c>
      <c r="T1411">
        <v>5019338403</v>
      </c>
      <c r="U1411" t="s">
        <v>44</v>
      </c>
      <c r="W1411" t="s">
        <v>4501</v>
      </c>
      <c r="Y1411">
        <v>0</v>
      </c>
      <c r="AA1411" t="s">
        <v>40</v>
      </c>
      <c r="AB1411" t="s">
        <v>46</v>
      </c>
      <c r="AC1411" t="s">
        <v>47</v>
      </c>
      <c r="AF1411" t="s">
        <v>62</v>
      </c>
      <c r="AJ1411" t="s">
        <v>40</v>
      </c>
      <c r="AK1411" t="s">
        <v>49</v>
      </c>
      <c r="AN1411">
        <v>260900831</v>
      </c>
      <c r="AO1411" s="1">
        <v>45974</v>
      </c>
      <c r="AP1411" s="5">
        <v>0.375</v>
      </c>
      <c r="AS1411">
        <v>1</v>
      </c>
    </row>
    <row r="1412" spans="1:45" x14ac:dyDescent="0.2">
      <c r="A1412">
        <f t="shared" si="90"/>
        <v>2025</v>
      </c>
      <c r="B1412">
        <f t="shared" si="91"/>
        <v>11</v>
      </c>
      <c r="C1412">
        <f t="shared" si="92"/>
        <v>46</v>
      </c>
      <c r="D1412" s="2">
        <f t="shared" si="93"/>
        <v>45974</v>
      </c>
      <c r="E1412" s="1">
        <v>45974.375</v>
      </c>
      <c r="F1412" t="s">
        <v>4502</v>
      </c>
      <c r="G1412" t="s">
        <v>36</v>
      </c>
      <c r="H1412" t="s">
        <v>4503</v>
      </c>
      <c r="I1412" t="s">
        <v>38</v>
      </c>
      <c r="J1412" t="s">
        <v>60</v>
      </c>
      <c r="M1412" t="s">
        <v>40</v>
      </c>
      <c r="N1412" t="s">
        <v>41</v>
      </c>
      <c r="O1412" t="s">
        <v>42</v>
      </c>
      <c r="P1412">
        <v>20</v>
      </c>
      <c r="Q1412">
        <v>0</v>
      </c>
      <c r="R1412">
        <v>0</v>
      </c>
      <c r="S1412">
        <v>0</v>
      </c>
      <c r="T1412">
        <v>5019270155</v>
      </c>
      <c r="U1412" t="s">
        <v>44</v>
      </c>
      <c r="W1412" t="s">
        <v>4494</v>
      </c>
      <c r="Y1412">
        <v>0</v>
      </c>
      <c r="AA1412" t="s">
        <v>40</v>
      </c>
      <c r="AB1412" t="s">
        <v>46</v>
      </c>
      <c r="AC1412" t="s">
        <v>47</v>
      </c>
      <c r="AF1412" t="s">
        <v>133</v>
      </c>
      <c r="AJ1412" t="s">
        <v>40</v>
      </c>
      <c r="AK1412" t="s">
        <v>49</v>
      </c>
      <c r="AN1412">
        <v>260954894</v>
      </c>
      <c r="AO1412" s="1">
        <v>45974</v>
      </c>
      <c r="AP1412" s="5">
        <v>0.375</v>
      </c>
      <c r="AS1412">
        <v>1</v>
      </c>
    </row>
    <row r="1413" spans="1:45" x14ac:dyDescent="0.2">
      <c r="A1413">
        <f t="shared" si="90"/>
        <v>2025</v>
      </c>
      <c r="B1413">
        <f t="shared" si="91"/>
        <v>11</v>
      </c>
      <c r="C1413">
        <f t="shared" si="92"/>
        <v>46</v>
      </c>
      <c r="D1413" s="2">
        <f t="shared" si="93"/>
        <v>45974</v>
      </c>
      <c r="E1413" s="1">
        <v>45974.416666666664</v>
      </c>
      <c r="F1413" t="s">
        <v>4504</v>
      </c>
      <c r="G1413" t="s">
        <v>36</v>
      </c>
      <c r="H1413" t="s">
        <v>111</v>
      </c>
      <c r="I1413" t="s">
        <v>38</v>
      </c>
      <c r="J1413" t="s">
        <v>99</v>
      </c>
      <c r="M1413" t="s">
        <v>40</v>
      </c>
      <c r="N1413" t="s">
        <v>41</v>
      </c>
      <c r="O1413" t="s">
        <v>42</v>
      </c>
      <c r="P1413">
        <v>23</v>
      </c>
      <c r="Q1413">
        <v>0</v>
      </c>
      <c r="R1413">
        <v>0</v>
      </c>
      <c r="S1413">
        <v>0</v>
      </c>
      <c r="T1413" t="s">
        <v>4505</v>
      </c>
      <c r="U1413" t="s">
        <v>44</v>
      </c>
      <c r="W1413" t="s">
        <v>4335</v>
      </c>
      <c r="Y1413">
        <v>0</v>
      </c>
      <c r="AA1413" t="s">
        <v>40</v>
      </c>
      <c r="AB1413" t="s">
        <v>46</v>
      </c>
      <c r="AC1413" t="s">
        <v>47</v>
      </c>
      <c r="AF1413" t="s">
        <v>48</v>
      </c>
      <c r="AJ1413" t="s">
        <v>40</v>
      </c>
      <c r="AK1413" t="s">
        <v>49</v>
      </c>
      <c r="AO1413" s="1">
        <v>45974</v>
      </c>
      <c r="AP1413" s="5">
        <v>0.41666666666666669</v>
      </c>
      <c r="AS1413">
        <v>1</v>
      </c>
    </row>
    <row r="1414" spans="1:45" x14ac:dyDescent="0.2">
      <c r="A1414">
        <f t="shared" si="90"/>
        <v>2025</v>
      </c>
      <c r="B1414">
        <f t="shared" si="91"/>
        <v>11</v>
      </c>
      <c r="C1414">
        <f t="shared" si="92"/>
        <v>46</v>
      </c>
      <c r="D1414" s="2">
        <f t="shared" si="93"/>
        <v>45974</v>
      </c>
      <c r="E1414" s="1">
        <v>45974.416666666664</v>
      </c>
      <c r="F1414" t="s">
        <v>4506</v>
      </c>
      <c r="G1414" t="s">
        <v>36</v>
      </c>
      <c r="H1414" t="s">
        <v>111</v>
      </c>
      <c r="I1414" t="s">
        <v>38</v>
      </c>
      <c r="J1414" t="s">
        <v>99</v>
      </c>
      <c r="M1414" t="s">
        <v>40</v>
      </c>
      <c r="N1414" t="s">
        <v>41</v>
      </c>
      <c r="O1414" t="s">
        <v>42</v>
      </c>
      <c r="P1414">
        <v>23</v>
      </c>
      <c r="Q1414">
        <v>0</v>
      </c>
      <c r="R1414">
        <v>0</v>
      </c>
      <c r="S1414">
        <v>0</v>
      </c>
      <c r="T1414" t="s">
        <v>4507</v>
      </c>
      <c r="U1414" t="s">
        <v>44</v>
      </c>
      <c r="W1414" t="s">
        <v>4335</v>
      </c>
      <c r="Y1414">
        <v>0</v>
      </c>
      <c r="AA1414" t="s">
        <v>40</v>
      </c>
      <c r="AB1414" t="s">
        <v>46</v>
      </c>
      <c r="AC1414" t="s">
        <v>47</v>
      </c>
      <c r="AF1414" t="s">
        <v>48</v>
      </c>
      <c r="AJ1414" t="s">
        <v>40</v>
      </c>
      <c r="AK1414" t="s">
        <v>49</v>
      </c>
      <c r="AO1414" s="1">
        <v>45974</v>
      </c>
      <c r="AP1414" s="5">
        <v>0.41666666666666669</v>
      </c>
      <c r="AS1414">
        <v>1</v>
      </c>
    </row>
    <row r="1415" spans="1:45" x14ac:dyDescent="0.2">
      <c r="A1415">
        <f t="shared" si="90"/>
        <v>2025</v>
      </c>
      <c r="B1415">
        <f t="shared" si="91"/>
        <v>11</v>
      </c>
      <c r="C1415">
        <f t="shared" si="92"/>
        <v>46</v>
      </c>
      <c r="D1415" s="2">
        <f t="shared" si="93"/>
        <v>45974</v>
      </c>
      <c r="E1415" s="1">
        <v>45974.416666666664</v>
      </c>
      <c r="F1415" t="s">
        <v>4508</v>
      </c>
      <c r="G1415" t="s">
        <v>36</v>
      </c>
      <c r="H1415">
        <v>467216</v>
      </c>
      <c r="I1415" t="s">
        <v>51</v>
      </c>
      <c r="J1415" t="s">
        <v>52</v>
      </c>
      <c r="M1415" t="s">
        <v>40</v>
      </c>
      <c r="N1415" t="s">
        <v>41</v>
      </c>
      <c r="O1415" t="s">
        <v>992</v>
      </c>
      <c r="P1415">
        <v>33</v>
      </c>
      <c r="Q1415">
        <v>0</v>
      </c>
      <c r="R1415">
        <v>0</v>
      </c>
      <c r="S1415">
        <v>0</v>
      </c>
      <c r="T1415" t="s">
        <v>54</v>
      </c>
      <c r="U1415" t="s">
        <v>55</v>
      </c>
      <c r="W1415" t="s">
        <v>4509</v>
      </c>
      <c r="Y1415">
        <v>0</v>
      </c>
      <c r="AA1415" t="s">
        <v>40</v>
      </c>
      <c r="AB1415" t="s">
        <v>46</v>
      </c>
      <c r="AC1415" t="s">
        <v>47</v>
      </c>
      <c r="AG1415" t="s">
        <v>4510</v>
      </c>
      <c r="AJ1415" t="s">
        <v>40</v>
      </c>
      <c r="AK1415">
        <v>5019387867</v>
      </c>
      <c r="AO1415" s="1">
        <v>45974</v>
      </c>
      <c r="AP1415" s="5">
        <v>0.41666666666666669</v>
      </c>
      <c r="AS1415">
        <v>1</v>
      </c>
    </row>
    <row r="1416" spans="1:45" x14ac:dyDescent="0.2">
      <c r="A1416">
        <f t="shared" si="90"/>
        <v>2025</v>
      </c>
      <c r="B1416">
        <f t="shared" si="91"/>
        <v>11</v>
      </c>
      <c r="C1416">
        <f t="shared" si="92"/>
        <v>46</v>
      </c>
      <c r="D1416" s="2">
        <f t="shared" si="93"/>
        <v>45974</v>
      </c>
      <c r="E1416" s="1">
        <v>45974.416666666664</v>
      </c>
      <c r="F1416" t="s">
        <v>4511</v>
      </c>
      <c r="G1416" t="s">
        <v>36</v>
      </c>
      <c r="H1416" t="s">
        <v>37</v>
      </c>
      <c r="I1416" t="s">
        <v>38</v>
      </c>
      <c r="J1416" t="s">
        <v>112</v>
      </c>
      <c r="M1416" t="s">
        <v>40</v>
      </c>
      <c r="N1416" t="s">
        <v>41</v>
      </c>
      <c r="O1416" t="s">
        <v>42</v>
      </c>
      <c r="P1416">
        <v>23</v>
      </c>
      <c r="Q1416">
        <v>0</v>
      </c>
      <c r="R1416">
        <v>0</v>
      </c>
      <c r="S1416">
        <v>0</v>
      </c>
      <c r="T1416" t="s">
        <v>4512</v>
      </c>
      <c r="U1416" t="s">
        <v>44</v>
      </c>
      <c r="W1416" t="s">
        <v>4335</v>
      </c>
      <c r="Y1416">
        <v>0</v>
      </c>
      <c r="AA1416" t="s">
        <v>40</v>
      </c>
      <c r="AB1416" t="s">
        <v>46</v>
      </c>
      <c r="AC1416" t="s">
        <v>47</v>
      </c>
      <c r="AF1416" t="s">
        <v>48</v>
      </c>
      <c r="AJ1416" t="s">
        <v>40</v>
      </c>
      <c r="AK1416" t="s">
        <v>49</v>
      </c>
      <c r="AO1416" s="1">
        <v>45974</v>
      </c>
      <c r="AP1416" s="5">
        <v>0.41666666666666669</v>
      </c>
      <c r="AS1416">
        <v>1</v>
      </c>
    </row>
    <row r="1417" spans="1:45" x14ac:dyDescent="0.2">
      <c r="A1417">
        <f t="shared" si="90"/>
        <v>2025</v>
      </c>
      <c r="B1417">
        <f t="shared" si="91"/>
        <v>11</v>
      </c>
      <c r="C1417">
        <f t="shared" si="92"/>
        <v>46</v>
      </c>
      <c r="D1417" s="2">
        <f t="shared" si="93"/>
        <v>45974</v>
      </c>
      <c r="E1417" s="1">
        <v>45974.458333333336</v>
      </c>
      <c r="F1417" t="s">
        <v>4513</v>
      </c>
      <c r="G1417" t="s">
        <v>36</v>
      </c>
      <c r="H1417" t="s">
        <v>4514</v>
      </c>
      <c r="I1417" t="s">
        <v>1776</v>
      </c>
      <c r="J1417" t="s">
        <v>99</v>
      </c>
      <c r="M1417" t="s">
        <v>40</v>
      </c>
      <c r="N1417" t="s">
        <v>41</v>
      </c>
      <c r="O1417" t="s">
        <v>1777</v>
      </c>
      <c r="P1417">
        <v>19</v>
      </c>
      <c r="Q1417">
        <v>0</v>
      </c>
      <c r="R1417">
        <v>0</v>
      </c>
      <c r="S1417">
        <v>0</v>
      </c>
      <c r="T1417" t="s">
        <v>4515</v>
      </c>
      <c r="U1417" t="s">
        <v>44</v>
      </c>
      <c r="W1417" t="s">
        <v>4516</v>
      </c>
      <c r="Y1417">
        <v>0</v>
      </c>
      <c r="AA1417" t="s">
        <v>40</v>
      </c>
      <c r="AB1417" t="s">
        <v>46</v>
      </c>
      <c r="AC1417" t="s">
        <v>47</v>
      </c>
      <c r="AD1417" t="s">
        <v>223</v>
      </c>
      <c r="AE1417" t="s">
        <v>223</v>
      </c>
      <c r="AF1417" t="s">
        <v>1207</v>
      </c>
      <c r="AG1417" t="s">
        <v>223</v>
      </c>
      <c r="AJ1417" t="s">
        <v>40</v>
      </c>
      <c r="AK1417" t="s">
        <v>49</v>
      </c>
      <c r="AL1417" t="s">
        <v>1045</v>
      </c>
      <c r="AM1417" t="s">
        <v>1045</v>
      </c>
      <c r="AO1417" s="1">
        <v>45974</v>
      </c>
      <c r="AP1417" s="5">
        <v>0.45833333333333331</v>
      </c>
      <c r="AS1417">
        <v>1</v>
      </c>
    </row>
    <row r="1418" spans="1:45" x14ac:dyDescent="0.2">
      <c r="A1418">
        <f t="shared" si="90"/>
        <v>2025</v>
      </c>
      <c r="B1418">
        <f t="shared" si="91"/>
        <v>11</v>
      </c>
      <c r="C1418">
        <f t="shared" si="92"/>
        <v>46</v>
      </c>
      <c r="D1418" s="2">
        <f t="shared" si="93"/>
        <v>45974</v>
      </c>
      <c r="E1418" s="1">
        <v>45974.458333333336</v>
      </c>
      <c r="F1418" t="s">
        <v>4517</v>
      </c>
      <c r="G1418" t="s">
        <v>36</v>
      </c>
      <c r="H1418" t="s">
        <v>111</v>
      </c>
      <c r="I1418" t="s">
        <v>38</v>
      </c>
      <c r="J1418" t="s">
        <v>99</v>
      </c>
      <c r="M1418" t="s">
        <v>40</v>
      </c>
      <c r="N1418" t="s">
        <v>41</v>
      </c>
      <c r="O1418" t="s">
        <v>42</v>
      </c>
      <c r="P1418">
        <v>4</v>
      </c>
      <c r="Q1418">
        <v>0</v>
      </c>
      <c r="R1418">
        <v>0</v>
      </c>
      <c r="S1418">
        <v>0</v>
      </c>
      <c r="T1418" t="s">
        <v>4518</v>
      </c>
      <c r="U1418" t="s">
        <v>101</v>
      </c>
      <c r="W1418" t="s">
        <v>4335</v>
      </c>
      <c r="Y1418">
        <v>0</v>
      </c>
      <c r="AA1418" t="s">
        <v>40</v>
      </c>
      <c r="AB1418" t="s">
        <v>46</v>
      </c>
      <c r="AC1418" t="s">
        <v>47</v>
      </c>
      <c r="AF1418" t="s">
        <v>48</v>
      </c>
      <c r="AJ1418" t="s">
        <v>40</v>
      </c>
      <c r="AK1418" t="s">
        <v>49</v>
      </c>
      <c r="AO1418" s="1">
        <v>45974</v>
      </c>
      <c r="AP1418" s="5">
        <v>0.45833333333333331</v>
      </c>
      <c r="AS1418">
        <v>1</v>
      </c>
    </row>
    <row r="1419" spans="1:45" x14ac:dyDescent="0.2">
      <c r="A1419">
        <f t="shared" si="90"/>
        <v>2025</v>
      </c>
      <c r="B1419">
        <f t="shared" si="91"/>
        <v>11</v>
      </c>
      <c r="C1419">
        <f t="shared" si="92"/>
        <v>46</v>
      </c>
      <c r="D1419" s="2">
        <f t="shared" si="93"/>
        <v>45974</v>
      </c>
      <c r="E1419" s="1">
        <v>45974.458333333336</v>
      </c>
      <c r="F1419" t="s">
        <v>4519</v>
      </c>
      <c r="G1419" t="s">
        <v>36</v>
      </c>
      <c r="H1419" t="s">
        <v>37</v>
      </c>
      <c r="I1419" t="s">
        <v>38</v>
      </c>
      <c r="J1419" t="s">
        <v>112</v>
      </c>
      <c r="M1419" t="s">
        <v>40</v>
      </c>
      <c r="N1419" t="s">
        <v>41</v>
      </c>
      <c r="O1419" t="s">
        <v>42</v>
      </c>
      <c r="P1419">
        <v>23</v>
      </c>
      <c r="Q1419">
        <v>0</v>
      </c>
      <c r="R1419">
        <v>0</v>
      </c>
      <c r="S1419">
        <v>0</v>
      </c>
      <c r="T1419" t="s">
        <v>4520</v>
      </c>
      <c r="U1419" t="s">
        <v>44</v>
      </c>
      <c r="W1419" t="s">
        <v>4335</v>
      </c>
      <c r="Y1419">
        <v>0</v>
      </c>
      <c r="AA1419" t="s">
        <v>40</v>
      </c>
      <c r="AB1419" t="s">
        <v>46</v>
      </c>
      <c r="AC1419" t="s">
        <v>47</v>
      </c>
      <c r="AF1419" t="s">
        <v>48</v>
      </c>
      <c r="AJ1419" t="s">
        <v>40</v>
      </c>
      <c r="AK1419" t="s">
        <v>49</v>
      </c>
      <c r="AO1419" s="1">
        <v>45974</v>
      </c>
      <c r="AP1419" s="5">
        <v>0.45833333333333331</v>
      </c>
      <c r="AS1419">
        <v>1</v>
      </c>
    </row>
    <row r="1420" spans="1:45" x14ac:dyDescent="0.2">
      <c r="A1420">
        <f t="shared" si="90"/>
        <v>2025</v>
      </c>
      <c r="B1420">
        <f t="shared" si="91"/>
        <v>11</v>
      </c>
      <c r="C1420">
        <f t="shared" si="92"/>
        <v>46</v>
      </c>
      <c r="D1420" s="2">
        <f t="shared" si="93"/>
        <v>45974</v>
      </c>
      <c r="E1420" s="1">
        <v>45974.458333333336</v>
      </c>
      <c r="F1420" t="s">
        <v>4521</v>
      </c>
      <c r="G1420" t="s">
        <v>36</v>
      </c>
      <c r="H1420" t="s">
        <v>111</v>
      </c>
      <c r="I1420" t="s">
        <v>38</v>
      </c>
      <c r="J1420" t="s">
        <v>99</v>
      </c>
      <c r="M1420" t="s">
        <v>40</v>
      </c>
      <c r="N1420" t="s">
        <v>41</v>
      </c>
      <c r="O1420" t="s">
        <v>42</v>
      </c>
      <c r="P1420">
        <v>23</v>
      </c>
      <c r="Q1420">
        <v>0</v>
      </c>
      <c r="R1420">
        <v>0</v>
      </c>
      <c r="S1420">
        <v>0</v>
      </c>
      <c r="T1420" t="s">
        <v>4522</v>
      </c>
      <c r="U1420" t="s">
        <v>44</v>
      </c>
      <c r="W1420" t="s">
        <v>4335</v>
      </c>
      <c r="Y1420">
        <v>0</v>
      </c>
      <c r="AA1420" t="s">
        <v>40</v>
      </c>
      <c r="AB1420" t="s">
        <v>46</v>
      </c>
      <c r="AC1420" t="s">
        <v>47</v>
      </c>
      <c r="AF1420" t="s">
        <v>48</v>
      </c>
      <c r="AJ1420" t="s">
        <v>40</v>
      </c>
      <c r="AK1420" t="s">
        <v>49</v>
      </c>
      <c r="AO1420" s="1">
        <v>45974</v>
      </c>
      <c r="AP1420" s="5">
        <v>0.45833333333333331</v>
      </c>
      <c r="AS1420">
        <v>1</v>
      </c>
    </row>
    <row r="1421" spans="1:45" x14ac:dyDescent="0.2">
      <c r="A1421">
        <f t="shared" si="90"/>
        <v>2025</v>
      </c>
      <c r="B1421">
        <f t="shared" si="91"/>
        <v>11</v>
      </c>
      <c r="C1421">
        <f t="shared" si="92"/>
        <v>46</v>
      </c>
      <c r="D1421" s="2">
        <f t="shared" si="93"/>
        <v>45974</v>
      </c>
      <c r="E1421" s="1">
        <v>45974.458333333336</v>
      </c>
      <c r="F1421" t="s">
        <v>4523</v>
      </c>
      <c r="G1421" t="s">
        <v>36</v>
      </c>
      <c r="H1421" t="s">
        <v>111</v>
      </c>
      <c r="I1421" t="s">
        <v>38</v>
      </c>
      <c r="J1421" t="s">
        <v>99</v>
      </c>
      <c r="M1421" t="s">
        <v>40</v>
      </c>
      <c r="N1421" t="s">
        <v>41</v>
      </c>
      <c r="O1421" t="s">
        <v>42</v>
      </c>
      <c r="P1421">
        <v>23</v>
      </c>
      <c r="Q1421">
        <v>0</v>
      </c>
      <c r="R1421">
        <v>0</v>
      </c>
      <c r="S1421">
        <v>0</v>
      </c>
      <c r="T1421" t="s">
        <v>4524</v>
      </c>
      <c r="U1421" t="s">
        <v>44</v>
      </c>
      <c r="W1421" t="s">
        <v>4335</v>
      </c>
      <c r="Y1421">
        <v>0</v>
      </c>
      <c r="AA1421" t="s">
        <v>40</v>
      </c>
      <c r="AB1421" t="s">
        <v>46</v>
      </c>
      <c r="AC1421" t="s">
        <v>47</v>
      </c>
      <c r="AF1421" t="s">
        <v>48</v>
      </c>
      <c r="AJ1421" t="s">
        <v>40</v>
      </c>
      <c r="AK1421" t="s">
        <v>49</v>
      </c>
      <c r="AO1421" s="1">
        <v>45974</v>
      </c>
      <c r="AP1421" s="5">
        <v>0.45833333333333331</v>
      </c>
      <c r="AS1421">
        <v>1</v>
      </c>
    </row>
    <row r="1422" spans="1:45" x14ac:dyDescent="0.2">
      <c r="A1422">
        <f t="shared" si="90"/>
        <v>2025</v>
      </c>
      <c r="B1422">
        <f t="shared" si="91"/>
        <v>11</v>
      </c>
      <c r="C1422">
        <f t="shared" si="92"/>
        <v>46</v>
      </c>
      <c r="D1422" s="2">
        <f t="shared" si="93"/>
        <v>45974</v>
      </c>
      <c r="E1422" s="1">
        <v>45974.5</v>
      </c>
      <c r="F1422" t="s">
        <v>4525</v>
      </c>
      <c r="G1422" t="s">
        <v>36</v>
      </c>
      <c r="H1422" t="s">
        <v>4526</v>
      </c>
      <c r="I1422" t="s">
        <v>38</v>
      </c>
      <c r="J1422" t="s">
        <v>60</v>
      </c>
      <c r="M1422" t="s">
        <v>40</v>
      </c>
      <c r="N1422" t="s">
        <v>41</v>
      </c>
      <c r="O1422" t="s">
        <v>42</v>
      </c>
      <c r="P1422">
        <v>20</v>
      </c>
      <c r="Q1422">
        <v>0</v>
      </c>
      <c r="R1422">
        <v>0</v>
      </c>
      <c r="S1422">
        <v>0</v>
      </c>
      <c r="T1422">
        <v>5019334655</v>
      </c>
      <c r="U1422" t="s">
        <v>44</v>
      </c>
      <c r="W1422" t="s">
        <v>4501</v>
      </c>
      <c r="Y1422">
        <v>0</v>
      </c>
      <c r="AA1422" t="s">
        <v>40</v>
      </c>
      <c r="AB1422" t="s">
        <v>46</v>
      </c>
      <c r="AC1422" t="s">
        <v>47</v>
      </c>
      <c r="AF1422" t="s">
        <v>62</v>
      </c>
      <c r="AJ1422" t="s">
        <v>40</v>
      </c>
      <c r="AK1422" t="s">
        <v>49</v>
      </c>
      <c r="AN1422">
        <v>260900831</v>
      </c>
      <c r="AO1422" s="1">
        <v>45974</v>
      </c>
      <c r="AP1422" s="5">
        <v>0.5</v>
      </c>
      <c r="AS1422">
        <v>1</v>
      </c>
    </row>
    <row r="1423" spans="1:45" x14ac:dyDescent="0.2">
      <c r="A1423">
        <f t="shared" si="90"/>
        <v>2025</v>
      </c>
      <c r="B1423">
        <f t="shared" si="91"/>
        <v>11</v>
      </c>
      <c r="C1423">
        <f t="shared" si="92"/>
        <v>46</v>
      </c>
      <c r="D1423" s="2">
        <f t="shared" si="93"/>
        <v>45974</v>
      </c>
      <c r="E1423" s="1">
        <v>45974.5</v>
      </c>
      <c r="F1423" t="s">
        <v>4527</v>
      </c>
      <c r="G1423" t="s">
        <v>36</v>
      </c>
      <c r="H1423" t="s">
        <v>106</v>
      </c>
      <c r="I1423" t="s">
        <v>38</v>
      </c>
      <c r="J1423" t="s">
        <v>107</v>
      </c>
      <c r="M1423" t="s">
        <v>40</v>
      </c>
      <c r="N1423" t="s">
        <v>41</v>
      </c>
      <c r="O1423" t="s">
        <v>42</v>
      </c>
      <c r="P1423">
        <v>33</v>
      </c>
      <c r="Q1423">
        <v>0</v>
      </c>
      <c r="R1423">
        <v>0</v>
      </c>
      <c r="S1423">
        <v>0</v>
      </c>
      <c r="T1423" t="s">
        <v>4528</v>
      </c>
      <c r="U1423" t="s">
        <v>44</v>
      </c>
      <c r="W1423" t="s">
        <v>4516</v>
      </c>
      <c r="Y1423">
        <v>0</v>
      </c>
      <c r="AA1423" t="s">
        <v>40</v>
      </c>
      <c r="AB1423" t="s">
        <v>46</v>
      </c>
      <c r="AC1423" t="s">
        <v>47</v>
      </c>
      <c r="AF1423" t="s">
        <v>2869</v>
      </c>
      <c r="AJ1423" t="s">
        <v>40</v>
      </c>
      <c r="AK1423" t="s">
        <v>49</v>
      </c>
      <c r="AO1423" s="1">
        <v>45974</v>
      </c>
      <c r="AP1423" s="5">
        <v>0.5</v>
      </c>
      <c r="AS1423">
        <v>1</v>
      </c>
    </row>
    <row r="1424" spans="1:45" x14ac:dyDescent="0.2">
      <c r="A1424">
        <f t="shared" si="90"/>
        <v>2025</v>
      </c>
      <c r="B1424">
        <f t="shared" si="91"/>
        <v>11</v>
      </c>
      <c r="C1424">
        <f t="shared" si="92"/>
        <v>46</v>
      </c>
      <c r="D1424" s="2">
        <f t="shared" si="93"/>
        <v>45974</v>
      </c>
      <c r="E1424" s="1">
        <v>45974.5</v>
      </c>
      <c r="F1424" t="s">
        <v>4529</v>
      </c>
      <c r="G1424" t="s">
        <v>36</v>
      </c>
      <c r="H1424" t="s">
        <v>4530</v>
      </c>
      <c r="I1424" t="s">
        <v>78</v>
      </c>
      <c r="J1424" t="s">
        <v>144</v>
      </c>
      <c r="M1424" t="s">
        <v>40</v>
      </c>
      <c r="N1424" t="s">
        <v>41</v>
      </c>
      <c r="O1424" t="s">
        <v>382</v>
      </c>
      <c r="P1424">
        <v>66</v>
      </c>
      <c r="Q1424">
        <v>0</v>
      </c>
      <c r="R1424">
        <v>0</v>
      </c>
      <c r="S1424">
        <v>0</v>
      </c>
      <c r="T1424" t="s">
        <v>54</v>
      </c>
      <c r="U1424" t="s">
        <v>55</v>
      </c>
      <c r="W1424" t="s">
        <v>4531</v>
      </c>
      <c r="Y1424">
        <v>0</v>
      </c>
      <c r="AA1424" t="s">
        <v>40</v>
      </c>
      <c r="AB1424" t="s">
        <v>46</v>
      </c>
      <c r="AC1424" t="s">
        <v>47</v>
      </c>
      <c r="AD1424" t="s">
        <v>81</v>
      </c>
      <c r="AE1424" t="s">
        <v>81</v>
      </c>
      <c r="AG1424" t="s">
        <v>4532</v>
      </c>
      <c r="AJ1424" t="s">
        <v>40</v>
      </c>
      <c r="AK1424" t="s">
        <v>4533</v>
      </c>
      <c r="AO1424" s="1">
        <v>45974</v>
      </c>
      <c r="AP1424" s="5">
        <v>0.5</v>
      </c>
      <c r="AS1424">
        <v>1</v>
      </c>
    </row>
    <row r="1425" spans="1:45" x14ac:dyDescent="0.2">
      <c r="A1425">
        <f t="shared" si="90"/>
        <v>2025</v>
      </c>
      <c r="B1425">
        <f t="shared" si="91"/>
        <v>11</v>
      </c>
      <c r="C1425">
        <f t="shared" si="92"/>
        <v>46</v>
      </c>
      <c r="D1425" s="2">
        <f t="shared" si="93"/>
        <v>45974</v>
      </c>
      <c r="E1425" s="1">
        <v>45974.541666666664</v>
      </c>
      <c r="F1425" t="s">
        <v>4534</v>
      </c>
      <c r="G1425" t="s">
        <v>36</v>
      </c>
      <c r="H1425" t="s">
        <v>4535</v>
      </c>
      <c r="I1425" t="s">
        <v>38</v>
      </c>
      <c r="J1425" t="s">
        <v>60</v>
      </c>
      <c r="M1425" t="s">
        <v>40</v>
      </c>
      <c r="N1425" t="s">
        <v>41</v>
      </c>
      <c r="O1425" t="s">
        <v>42</v>
      </c>
      <c r="P1425">
        <v>20</v>
      </c>
      <c r="Q1425">
        <v>0</v>
      </c>
      <c r="R1425">
        <v>0</v>
      </c>
      <c r="S1425">
        <v>0</v>
      </c>
      <c r="T1425">
        <v>5019333741</v>
      </c>
      <c r="U1425" t="s">
        <v>44</v>
      </c>
      <c r="W1425" t="s">
        <v>4501</v>
      </c>
      <c r="Y1425">
        <v>0</v>
      </c>
      <c r="AA1425" t="s">
        <v>40</v>
      </c>
      <c r="AB1425" t="s">
        <v>46</v>
      </c>
      <c r="AC1425" t="s">
        <v>47</v>
      </c>
      <c r="AF1425" t="s">
        <v>62</v>
      </c>
      <c r="AJ1425" t="s">
        <v>40</v>
      </c>
      <c r="AK1425" t="s">
        <v>49</v>
      </c>
      <c r="AN1425">
        <v>260900831</v>
      </c>
      <c r="AO1425" s="1">
        <v>45974</v>
      </c>
      <c r="AP1425" s="5">
        <v>0.54166666666666663</v>
      </c>
      <c r="AS1425">
        <v>1</v>
      </c>
    </row>
    <row r="1426" spans="1:45" x14ac:dyDescent="0.2">
      <c r="A1426">
        <f t="shared" si="90"/>
        <v>2025</v>
      </c>
      <c r="B1426">
        <f t="shared" si="91"/>
        <v>11</v>
      </c>
      <c r="C1426">
        <f t="shared" si="92"/>
        <v>46</v>
      </c>
      <c r="D1426" s="2">
        <f t="shared" si="93"/>
        <v>45974</v>
      </c>
      <c r="E1426" s="1">
        <v>45974.541666666664</v>
      </c>
      <c r="F1426" t="s">
        <v>4536</v>
      </c>
      <c r="G1426" t="s">
        <v>36</v>
      </c>
      <c r="H1426" t="s">
        <v>4537</v>
      </c>
      <c r="I1426" t="s">
        <v>38</v>
      </c>
      <c r="J1426" t="s">
        <v>140</v>
      </c>
      <c r="M1426" t="s">
        <v>40</v>
      </c>
      <c r="N1426" t="s">
        <v>41</v>
      </c>
      <c r="O1426" t="s">
        <v>42</v>
      </c>
      <c r="P1426">
        <v>1</v>
      </c>
      <c r="Q1426">
        <v>0</v>
      </c>
      <c r="R1426">
        <v>0</v>
      </c>
      <c r="S1426">
        <v>0</v>
      </c>
      <c r="T1426">
        <v>5019330715</v>
      </c>
      <c r="U1426" t="s">
        <v>44</v>
      </c>
      <c r="W1426" t="s">
        <v>4516</v>
      </c>
      <c r="Y1426">
        <v>0</v>
      </c>
      <c r="AA1426" t="s">
        <v>40</v>
      </c>
      <c r="AB1426" t="s">
        <v>46</v>
      </c>
      <c r="AC1426" t="s">
        <v>47</v>
      </c>
      <c r="AF1426" t="s">
        <v>4538</v>
      </c>
      <c r="AJ1426" t="s">
        <v>40</v>
      </c>
      <c r="AK1426" t="s">
        <v>49</v>
      </c>
      <c r="AM1426" t="s">
        <v>4539</v>
      </c>
      <c r="AN1426" t="s">
        <v>4540</v>
      </c>
      <c r="AO1426" s="1">
        <v>45974</v>
      </c>
      <c r="AP1426" s="5">
        <v>0.54166666666666663</v>
      </c>
      <c r="AS1426">
        <v>1</v>
      </c>
    </row>
    <row r="1427" spans="1:45" x14ac:dyDescent="0.2">
      <c r="A1427">
        <f t="shared" si="90"/>
        <v>2025</v>
      </c>
      <c r="B1427">
        <f t="shared" si="91"/>
        <v>11</v>
      </c>
      <c r="C1427">
        <f t="shared" si="92"/>
        <v>46</v>
      </c>
      <c r="D1427" s="2">
        <f t="shared" si="93"/>
        <v>45974</v>
      </c>
      <c r="E1427" s="1">
        <v>45974.541666666664</v>
      </c>
      <c r="F1427" t="s">
        <v>4541</v>
      </c>
      <c r="G1427" t="s">
        <v>36</v>
      </c>
      <c r="H1427" t="s">
        <v>4542</v>
      </c>
      <c r="I1427" t="s">
        <v>38</v>
      </c>
      <c r="J1427" t="s">
        <v>645</v>
      </c>
      <c r="M1427" t="s">
        <v>40</v>
      </c>
      <c r="N1427" t="s">
        <v>41</v>
      </c>
      <c r="O1427" t="s">
        <v>42</v>
      </c>
      <c r="P1427">
        <v>20</v>
      </c>
      <c r="Q1427">
        <v>0</v>
      </c>
      <c r="R1427">
        <v>0</v>
      </c>
      <c r="S1427">
        <v>0</v>
      </c>
      <c r="T1427">
        <v>5019289067</v>
      </c>
      <c r="U1427" t="s">
        <v>44</v>
      </c>
      <c r="W1427" t="s">
        <v>4494</v>
      </c>
      <c r="Y1427">
        <v>0</v>
      </c>
      <c r="AA1427" t="s">
        <v>40</v>
      </c>
      <c r="AB1427" t="s">
        <v>46</v>
      </c>
      <c r="AC1427" t="s">
        <v>47</v>
      </c>
      <c r="AF1427" t="s">
        <v>62</v>
      </c>
      <c r="AJ1427" t="s">
        <v>40</v>
      </c>
      <c r="AK1427" t="s">
        <v>49</v>
      </c>
      <c r="AN1427">
        <v>92463535</v>
      </c>
      <c r="AO1427" s="1">
        <v>45974</v>
      </c>
      <c r="AP1427" s="5">
        <v>0.54166666666666663</v>
      </c>
      <c r="AS1427">
        <v>1</v>
      </c>
    </row>
    <row r="1428" spans="1:45" x14ac:dyDescent="0.2">
      <c r="A1428">
        <f t="shared" si="90"/>
        <v>2025</v>
      </c>
      <c r="B1428">
        <f t="shared" si="91"/>
        <v>11</v>
      </c>
      <c r="C1428">
        <f t="shared" si="92"/>
        <v>46</v>
      </c>
      <c r="D1428" s="2">
        <f t="shared" si="93"/>
        <v>45974</v>
      </c>
      <c r="E1428" s="1">
        <v>45974.541666666664</v>
      </c>
      <c r="F1428" t="s">
        <v>4543</v>
      </c>
      <c r="G1428" t="s">
        <v>36</v>
      </c>
      <c r="H1428">
        <v>470149</v>
      </c>
      <c r="I1428" t="s">
        <v>51</v>
      </c>
      <c r="J1428" t="s">
        <v>154</v>
      </c>
      <c r="M1428" t="s">
        <v>40</v>
      </c>
      <c r="N1428" t="s">
        <v>41</v>
      </c>
      <c r="O1428" t="s">
        <v>53</v>
      </c>
      <c r="P1428">
        <v>33</v>
      </c>
      <c r="Q1428">
        <v>0</v>
      </c>
      <c r="R1428">
        <v>0</v>
      </c>
      <c r="S1428">
        <v>0</v>
      </c>
      <c r="T1428" t="s">
        <v>54</v>
      </c>
      <c r="U1428" t="s">
        <v>55</v>
      </c>
      <c r="W1428" t="s">
        <v>4544</v>
      </c>
      <c r="Y1428">
        <v>0</v>
      </c>
      <c r="AA1428" t="s">
        <v>40</v>
      </c>
      <c r="AB1428" t="s">
        <v>46</v>
      </c>
      <c r="AC1428" t="s">
        <v>47</v>
      </c>
      <c r="AG1428" t="s">
        <v>4545</v>
      </c>
      <c r="AJ1428" t="s">
        <v>40</v>
      </c>
      <c r="AK1428">
        <v>5019393641</v>
      </c>
      <c r="AO1428" s="1">
        <v>45974</v>
      </c>
      <c r="AP1428" s="5">
        <v>0.54166666666666663</v>
      </c>
      <c r="AS1428">
        <v>1</v>
      </c>
    </row>
    <row r="1429" spans="1:45" x14ac:dyDescent="0.2">
      <c r="A1429">
        <f t="shared" si="90"/>
        <v>2025</v>
      </c>
      <c r="B1429">
        <f t="shared" si="91"/>
        <v>11</v>
      </c>
      <c r="C1429">
        <f t="shared" si="92"/>
        <v>46</v>
      </c>
      <c r="D1429" s="2">
        <f t="shared" si="93"/>
        <v>45974</v>
      </c>
      <c r="E1429" s="1">
        <v>45974.583333333336</v>
      </c>
      <c r="F1429" t="s">
        <v>4546</v>
      </c>
      <c r="G1429" t="s">
        <v>36</v>
      </c>
      <c r="H1429" t="s">
        <v>4547</v>
      </c>
      <c r="I1429" t="s">
        <v>38</v>
      </c>
      <c r="J1429" t="s">
        <v>645</v>
      </c>
      <c r="M1429" t="s">
        <v>40</v>
      </c>
      <c r="N1429" t="s">
        <v>41</v>
      </c>
      <c r="O1429" t="s">
        <v>42</v>
      </c>
      <c r="P1429">
        <v>20</v>
      </c>
      <c r="Q1429">
        <v>0</v>
      </c>
      <c r="R1429">
        <v>0</v>
      </c>
      <c r="S1429">
        <v>0</v>
      </c>
      <c r="T1429">
        <v>5019301751</v>
      </c>
      <c r="U1429" t="s">
        <v>44</v>
      </c>
      <c r="W1429" t="s">
        <v>4494</v>
      </c>
      <c r="Y1429">
        <v>0</v>
      </c>
      <c r="AA1429" t="s">
        <v>40</v>
      </c>
      <c r="AB1429" t="s">
        <v>46</v>
      </c>
      <c r="AC1429" t="s">
        <v>47</v>
      </c>
      <c r="AF1429" t="s">
        <v>62</v>
      </c>
      <c r="AJ1429" t="s">
        <v>40</v>
      </c>
      <c r="AK1429" t="s">
        <v>49</v>
      </c>
      <c r="AN1429">
        <v>92463535</v>
      </c>
      <c r="AO1429" s="1">
        <v>45974</v>
      </c>
      <c r="AP1429" s="5">
        <v>0.58333333333333337</v>
      </c>
      <c r="AS1429">
        <v>1</v>
      </c>
    </row>
    <row r="1430" spans="1:45" x14ac:dyDescent="0.2">
      <c r="A1430">
        <f t="shared" si="90"/>
        <v>2025</v>
      </c>
      <c r="B1430">
        <f t="shared" si="91"/>
        <v>11</v>
      </c>
      <c r="C1430">
        <f t="shared" si="92"/>
        <v>46</v>
      </c>
      <c r="D1430" s="2">
        <f t="shared" si="93"/>
        <v>45974</v>
      </c>
      <c r="E1430" s="1">
        <v>45974.583333333336</v>
      </c>
      <c r="F1430" t="s">
        <v>4548</v>
      </c>
      <c r="G1430" t="s">
        <v>36</v>
      </c>
      <c r="H1430" t="s">
        <v>4549</v>
      </c>
      <c r="I1430" t="s">
        <v>38</v>
      </c>
      <c r="J1430" t="s">
        <v>99</v>
      </c>
      <c r="M1430" t="s">
        <v>40</v>
      </c>
      <c r="N1430" t="s">
        <v>41</v>
      </c>
      <c r="O1430" t="s">
        <v>42</v>
      </c>
      <c r="P1430">
        <v>5</v>
      </c>
      <c r="Q1430">
        <v>0</v>
      </c>
      <c r="R1430">
        <v>0</v>
      </c>
      <c r="S1430">
        <v>0</v>
      </c>
      <c r="T1430">
        <v>5019337112</v>
      </c>
      <c r="U1430" t="s">
        <v>44</v>
      </c>
      <c r="W1430" t="s">
        <v>4516</v>
      </c>
      <c r="Y1430">
        <v>0</v>
      </c>
      <c r="AA1430" t="s">
        <v>40</v>
      </c>
      <c r="AB1430" t="s">
        <v>46</v>
      </c>
      <c r="AC1430" t="s">
        <v>47</v>
      </c>
      <c r="AF1430" t="s">
        <v>1207</v>
      </c>
      <c r="AJ1430" t="s">
        <v>40</v>
      </c>
      <c r="AK1430" t="s">
        <v>49</v>
      </c>
      <c r="AO1430" s="1">
        <v>45974</v>
      </c>
      <c r="AP1430" s="5">
        <v>0.58333333333333337</v>
      </c>
      <c r="AS1430">
        <v>1</v>
      </c>
    </row>
    <row r="1431" spans="1:45" x14ac:dyDescent="0.2">
      <c r="A1431">
        <f t="shared" si="90"/>
        <v>2025</v>
      </c>
      <c r="B1431">
        <f t="shared" si="91"/>
        <v>11</v>
      </c>
      <c r="C1431">
        <f t="shared" si="92"/>
        <v>46</v>
      </c>
      <c r="D1431" s="2">
        <f t="shared" si="93"/>
        <v>45974</v>
      </c>
      <c r="E1431" s="1">
        <v>45974.583333333336</v>
      </c>
      <c r="F1431" t="s">
        <v>4550</v>
      </c>
      <c r="G1431" t="s">
        <v>36</v>
      </c>
      <c r="H1431">
        <v>472250</v>
      </c>
      <c r="I1431" t="s">
        <v>51</v>
      </c>
      <c r="J1431" t="s">
        <v>126</v>
      </c>
      <c r="M1431" t="s">
        <v>40</v>
      </c>
      <c r="N1431" t="s">
        <v>41</v>
      </c>
      <c r="O1431" t="s">
        <v>90</v>
      </c>
      <c r="P1431">
        <v>33</v>
      </c>
      <c r="Q1431">
        <v>0</v>
      </c>
      <c r="R1431">
        <v>0</v>
      </c>
      <c r="S1431">
        <v>0</v>
      </c>
      <c r="T1431" t="s">
        <v>54</v>
      </c>
      <c r="U1431" t="s">
        <v>55</v>
      </c>
      <c r="W1431" t="s">
        <v>4551</v>
      </c>
      <c r="X1431" t="s">
        <v>772</v>
      </c>
      <c r="Y1431">
        <v>0</v>
      </c>
      <c r="AA1431" t="s">
        <v>40</v>
      </c>
      <c r="AB1431" t="s">
        <v>46</v>
      </c>
      <c r="AC1431" t="s">
        <v>47</v>
      </c>
      <c r="AG1431" t="s">
        <v>4552</v>
      </c>
      <c r="AJ1431" t="s">
        <v>40</v>
      </c>
      <c r="AK1431">
        <v>5019390736</v>
      </c>
      <c r="AL1431" t="s">
        <v>775</v>
      </c>
      <c r="AM1431" t="s">
        <v>776</v>
      </c>
      <c r="AO1431" s="1">
        <v>45974</v>
      </c>
      <c r="AP1431" s="5">
        <v>0.58333333333333337</v>
      </c>
      <c r="AS1431">
        <v>1</v>
      </c>
    </row>
    <row r="1432" spans="1:45" x14ac:dyDescent="0.2">
      <c r="A1432">
        <f t="shared" si="90"/>
        <v>2025</v>
      </c>
      <c r="B1432">
        <f t="shared" si="91"/>
        <v>11</v>
      </c>
      <c r="C1432">
        <f t="shared" si="92"/>
        <v>46</v>
      </c>
      <c r="D1432" s="2">
        <f t="shared" si="93"/>
        <v>45974</v>
      </c>
      <c r="E1432" s="1">
        <v>45974.583333333336</v>
      </c>
      <c r="F1432" t="s">
        <v>4553</v>
      </c>
      <c r="G1432" t="s">
        <v>36</v>
      </c>
      <c r="H1432" t="s">
        <v>297</v>
      </c>
      <c r="I1432" t="s">
        <v>38</v>
      </c>
      <c r="J1432" t="s">
        <v>112</v>
      </c>
      <c r="M1432" t="s">
        <v>40</v>
      </c>
      <c r="N1432" t="s">
        <v>41</v>
      </c>
      <c r="O1432" t="s">
        <v>42</v>
      </c>
      <c r="P1432">
        <v>10</v>
      </c>
      <c r="Q1432">
        <v>0</v>
      </c>
      <c r="R1432">
        <v>0</v>
      </c>
      <c r="S1432">
        <v>0</v>
      </c>
      <c r="T1432" t="s">
        <v>4554</v>
      </c>
      <c r="U1432" t="s">
        <v>101</v>
      </c>
      <c r="W1432" t="s">
        <v>4335</v>
      </c>
      <c r="Y1432">
        <v>0</v>
      </c>
      <c r="AA1432" t="s">
        <v>40</v>
      </c>
      <c r="AB1432" t="s">
        <v>46</v>
      </c>
      <c r="AC1432" t="s">
        <v>47</v>
      </c>
      <c r="AF1432" t="s">
        <v>48</v>
      </c>
      <c r="AJ1432" t="s">
        <v>40</v>
      </c>
      <c r="AK1432" t="s">
        <v>49</v>
      </c>
      <c r="AO1432" s="1">
        <v>45974</v>
      </c>
      <c r="AP1432" s="5">
        <v>0.58333333333333337</v>
      </c>
      <c r="AS1432">
        <v>1</v>
      </c>
    </row>
    <row r="1433" spans="1:45" x14ac:dyDescent="0.2">
      <c r="A1433">
        <f t="shared" si="90"/>
        <v>2025</v>
      </c>
      <c r="B1433">
        <f t="shared" si="91"/>
        <v>11</v>
      </c>
      <c r="C1433">
        <f t="shared" si="92"/>
        <v>46</v>
      </c>
      <c r="D1433" s="2">
        <f t="shared" si="93"/>
        <v>45974</v>
      </c>
      <c r="E1433" s="1">
        <v>45974.625</v>
      </c>
      <c r="F1433" t="s">
        <v>4555</v>
      </c>
      <c r="G1433" t="s">
        <v>36</v>
      </c>
      <c r="H1433" t="s">
        <v>4556</v>
      </c>
      <c r="I1433" t="s">
        <v>38</v>
      </c>
      <c r="J1433" t="s">
        <v>348</v>
      </c>
      <c r="N1433" t="s">
        <v>41</v>
      </c>
      <c r="O1433" t="s">
        <v>42</v>
      </c>
      <c r="P1433">
        <v>4</v>
      </c>
      <c r="Q1433">
        <v>0</v>
      </c>
      <c r="R1433">
        <v>0</v>
      </c>
      <c r="S1433">
        <v>0</v>
      </c>
      <c r="T1433" t="s">
        <v>4557</v>
      </c>
      <c r="U1433" t="s">
        <v>101</v>
      </c>
      <c r="W1433" t="s">
        <v>4491</v>
      </c>
      <c r="Y1433">
        <v>0</v>
      </c>
      <c r="AA1433" t="s">
        <v>40</v>
      </c>
      <c r="AC1433" t="s">
        <v>47</v>
      </c>
      <c r="AF1433" t="s">
        <v>350</v>
      </c>
      <c r="AJ1433" t="s">
        <v>40</v>
      </c>
      <c r="AK1433" t="s">
        <v>49</v>
      </c>
      <c r="AO1433" s="1">
        <v>45974</v>
      </c>
      <c r="AP1433" s="5">
        <v>0.625</v>
      </c>
      <c r="AS1433">
        <v>1</v>
      </c>
    </row>
    <row r="1434" spans="1:45" x14ac:dyDescent="0.2">
      <c r="A1434">
        <f t="shared" si="90"/>
        <v>2025</v>
      </c>
      <c r="B1434">
        <f t="shared" si="91"/>
        <v>11</v>
      </c>
      <c r="C1434">
        <f t="shared" si="92"/>
        <v>46</v>
      </c>
      <c r="D1434" s="2">
        <f t="shared" si="93"/>
        <v>45974</v>
      </c>
      <c r="E1434" s="1">
        <v>45974.625</v>
      </c>
      <c r="F1434" t="s">
        <v>4558</v>
      </c>
      <c r="G1434" t="s">
        <v>36</v>
      </c>
      <c r="H1434" t="s">
        <v>111</v>
      </c>
      <c r="I1434" t="s">
        <v>38</v>
      </c>
      <c r="J1434" t="s">
        <v>99</v>
      </c>
      <c r="M1434" t="s">
        <v>40</v>
      </c>
      <c r="N1434" t="s">
        <v>41</v>
      </c>
      <c r="O1434" t="s">
        <v>42</v>
      </c>
      <c r="P1434">
        <v>23</v>
      </c>
      <c r="Q1434">
        <v>0</v>
      </c>
      <c r="R1434">
        <v>0</v>
      </c>
      <c r="S1434">
        <v>0</v>
      </c>
      <c r="T1434" t="s">
        <v>4559</v>
      </c>
      <c r="U1434" t="s">
        <v>44</v>
      </c>
      <c r="W1434" t="s">
        <v>4491</v>
      </c>
      <c r="Y1434">
        <v>0</v>
      </c>
      <c r="AA1434" t="s">
        <v>40</v>
      </c>
      <c r="AB1434" t="s">
        <v>46</v>
      </c>
      <c r="AC1434" t="s">
        <v>47</v>
      </c>
      <c r="AF1434" t="s">
        <v>48</v>
      </c>
      <c r="AJ1434" t="s">
        <v>40</v>
      </c>
      <c r="AK1434" t="s">
        <v>49</v>
      </c>
      <c r="AO1434" s="1">
        <v>45974</v>
      </c>
      <c r="AP1434" s="5">
        <v>0.625</v>
      </c>
      <c r="AS1434">
        <v>1</v>
      </c>
    </row>
    <row r="1435" spans="1:45" x14ac:dyDescent="0.2">
      <c r="A1435">
        <f t="shared" si="90"/>
        <v>2025</v>
      </c>
      <c r="B1435">
        <f t="shared" si="91"/>
        <v>11</v>
      </c>
      <c r="C1435">
        <f t="shared" si="92"/>
        <v>46</v>
      </c>
      <c r="D1435" s="2">
        <f t="shared" si="93"/>
        <v>45974</v>
      </c>
      <c r="E1435" s="1">
        <v>45974.625</v>
      </c>
      <c r="F1435" t="s">
        <v>4560</v>
      </c>
      <c r="G1435" t="s">
        <v>36</v>
      </c>
      <c r="H1435" t="s">
        <v>340</v>
      </c>
      <c r="I1435" t="s">
        <v>38</v>
      </c>
      <c r="J1435" t="s">
        <v>341</v>
      </c>
      <c r="M1435" t="s">
        <v>40</v>
      </c>
      <c r="N1435" t="s">
        <v>41</v>
      </c>
      <c r="O1435" t="s">
        <v>42</v>
      </c>
      <c r="P1435">
        <v>20</v>
      </c>
      <c r="Q1435">
        <v>0</v>
      </c>
      <c r="R1435">
        <v>0</v>
      </c>
      <c r="S1435">
        <v>0</v>
      </c>
      <c r="T1435" t="s">
        <v>4561</v>
      </c>
      <c r="U1435" t="s">
        <v>55</v>
      </c>
      <c r="W1435" t="s">
        <v>4516</v>
      </c>
      <c r="Y1435">
        <v>0</v>
      </c>
      <c r="AA1435" t="s">
        <v>40</v>
      </c>
      <c r="AB1435" t="s">
        <v>46</v>
      </c>
      <c r="AC1435" t="s">
        <v>47</v>
      </c>
      <c r="AF1435" t="s">
        <v>342</v>
      </c>
      <c r="AJ1435" t="s">
        <v>40</v>
      </c>
      <c r="AK1435" t="s">
        <v>49</v>
      </c>
      <c r="AO1435" s="1">
        <v>45974</v>
      </c>
      <c r="AP1435" s="5">
        <v>0.625</v>
      </c>
      <c r="AS1435">
        <v>1</v>
      </c>
    </row>
    <row r="1436" spans="1:45" x14ac:dyDescent="0.2">
      <c r="A1436">
        <f t="shared" si="90"/>
        <v>2025</v>
      </c>
      <c r="B1436">
        <f t="shared" si="91"/>
        <v>11</v>
      </c>
      <c r="C1436">
        <f t="shared" si="92"/>
        <v>46</v>
      </c>
      <c r="D1436" s="2">
        <f t="shared" si="93"/>
        <v>45974</v>
      </c>
      <c r="E1436" s="1">
        <v>45974.666666666664</v>
      </c>
      <c r="F1436" t="s">
        <v>4562</v>
      </c>
      <c r="G1436" t="s">
        <v>36</v>
      </c>
      <c r="H1436" t="s">
        <v>111</v>
      </c>
      <c r="I1436" t="s">
        <v>38</v>
      </c>
      <c r="J1436" t="s">
        <v>99</v>
      </c>
      <c r="M1436" t="s">
        <v>40</v>
      </c>
      <c r="N1436" t="s">
        <v>41</v>
      </c>
      <c r="O1436" t="s">
        <v>42</v>
      </c>
      <c r="P1436">
        <v>23</v>
      </c>
      <c r="Q1436">
        <v>0</v>
      </c>
      <c r="R1436">
        <v>0</v>
      </c>
      <c r="S1436">
        <v>0</v>
      </c>
      <c r="T1436" t="s">
        <v>4563</v>
      </c>
      <c r="U1436" t="s">
        <v>44</v>
      </c>
      <c r="W1436" t="s">
        <v>4564</v>
      </c>
      <c r="Y1436">
        <v>0</v>
      </c>
      <c r="AA1436" t="s">
        <v>40</v>
      </c>
      <c r="AB1436" t="s">
        <v>46</v>
      </c>
      <c r="AC1436" t="s">
        <v>47</v>
      </c>
      <c r="AF1436" t="s">
        <v>48</v>
      </c>
      <c r="AJ1436" t="s">
        <v>40</v>
      </c>
      <c r="AK1436" t="s">
        <v>49</v>
      </c>
      <c r="AO1436" s="1">
        <v>45974</v>
      </c>
      <c r="AP1436" s="5">
        <v>0.66666666666666663</v>
      </c>
      <c r="AS1436">
        <v>1</v>
      </c>
    </row>
    <row r="1437" spans="1:45" x14ac:dyDescent="0.2">
      <c r="A1437">
        <f t="shared" si="90"/>
        <v>2025</v>
      </c>
      <c r="B1437">
        <f t="shared" si="91"/>
        <v>11</v>
      </c>
      <c r="C1437">
        <f t="shared" si="92"/>
        <v>46</v>
      </c>
      <c r="D1437" s="2">
        <f t="shared" si="93"/>
        <v>45974</v>
      </c>
      <c r="E1437" s="1">
        <v>45974.666666666664</v>
      </c>
      <c r="F1437" t="s">
        <v>4565</v>
      </c>
      <c r="G1437" t="s">
        <v>36</v>
      </c>
      <c r="H1437" t="s">
        <v>4566</v>
      </c>
      <c r="I1437" t="s">
        <v>78</v>
      </c>
      <c r="J1437" t="s">
        <v>219</v>
      </c>
      <c r="M1437" t="s">
        <v>40</v>
      </c>
      <c r="N1437" t="s">
        <v>41</v>
      </c>
      <c r="O1437" t="s">
        <v>417</v>
      </c>
      <c r="P1437">
        <v>66</v>
      </c>
      <c r="Q1437">
        <v>0</v>
      </c>
      <c r="R1437">
        <v>0</v>
      </c>
      <c r="S1437">
        <v>0</v>
      </c>
      <c r="T1437" t="s">
        <v>54</v>
      </c>
      <c r="U1437" t="s">
        <v>55</v>
      </c>
      <c r="W1437" t="s">
        <v>4567</v>
      </c>
      <c r="X1437" t="s">
        <v>4568</v>
      </c>
      <c r="Y1437">
        <v>0</v>
      </c>
      <c r="AA1437" t="s">
        <v>40</v>
      </c>
      <c r="AB1437" t="s">
        <v>46</v>
      </c>
      <c r="AC1437" t="s">
        <v>47</v>
      </c>
      <c r="AD1437" t="s">
        <v>81</v>
      </c>
      <c r="AE1437" t="s">
        <v>81</v>
      </c>
      <c r="AG1437" t="s">
        <v>4569</v>
      </c>
      <c r="AJ1437" t="s">
        <v>40</v>
      </c>
      <c r="AK1437" t="s">
        <v>4570</v>
      </c>
      <c r="AL1437" t="s">
        <v>4571</v>
      </c>
      <c r="AM1437" t="s">
        <v>4572</v>
      </c>
      <c r="AO1437" s="1">
        <v>45974</v>
      </c>
      <c r="AP1437" s="5">
        <v>0.66666666666666663</v>
      </c>
      <c r="AS1437">
        <v>1</v>
      </c>
    </row>
    <row r="1438" spans="1:45" x14ac:dyDescent="0.2">
      <c r="A1438">
        <f t="shared" si="90"/>
        <v>2025</v>
      </c>
      <c r="B1438">
        <f t="shared" si="91"/>
        <v>11</v>
      </c>
      <c r="C1438">
        <f t="shared" si="92"/>
        <v>46</v>
      </c>
      <c r="D1438" s="2">
        <f t="shared" si="93"/>
        <v>45974</v>
      </c>
      <c r="E1438" s="1">
        <v>45974.708333333336</v>
      </c>
      <c r="F1438" t="s">
        <v>4573</v>
      </c>
      <c r="G1438" t="s">
        <v>36</v>
      </c>
      <c r="H1438" t="s">
        <v>4574</v>
      </c>
      <c r="I1438" t="s">
        <v>78</v>
      </c>
      <c r="J1438" t="s">
        <v>2580</v>
      </c>
      <c r="M1438" t="s">
        <v>40</v>
      </c>
      <c r="N1438" t="s">
        <v>41</v>
      </c>
      <c r="O1438" t="s">
        <v>554</v>
      </c>
      <c r="P1438">
        <v>66</v>
      </c>
      <c r="Q1438">
        <v>0</v>
      </c>
      <c r="R1438">
        <v>0</v>
      </c>
      <c r="S1438">
        <v>0</v>
      </c>
      <c r="T1438" t="s">
        <v>54</v>
      </c>
      <c r="U1438" t="s">
        <v>55</v>
      </c>
      <c r="W1438" t="s">
        <v>4575</v>
      </c>
      <c r="Y1438">
        <v>0</v>
      </c>
      <c r="AA1438" t="s">
        <v>40</v>
      </c>
      <c r="AB1438" t="s">
        <v>46</v>
      </c>
      <c r="AC1438" t="s">
        <v>47</v>
      </c>
      <c r="AD1438" t="s">
        <v>81</v>
      </c>
      <c r="AE1438" t="s">
        <v>81</v>
      </c>
      <c r="AG1438" t="s">
        <v>4576</v>
      </c>
      <c r="AJ1438" t="s">
        <v>40</v>
      </c>
      <c r="AK1438" t="s">
        <v>4577</v>
      </c>
      <c r="AO1438" s="1">
        <v>45974</v>
      </c>
      <c r="AP1438" s="5">
        <v>0.70833333333333337</v>
      </c>
      <c r="AS1438">
        <v>1</v>
      </c>
    </row>
    <row r="1439" spans="1:45" x14ac:dyDescent="0.2">
      <c r="A1439">
        <f t="shared" si="90"/>
        <v>2025</v>
      </c>
      <c r="B1439">
        <f t="shared" si="91"/>
        <v>11</v>
      </c>
      <c r="C1439">
        <f t="shared" si="92"/>
        <v>46</v>
      </c>
      <c r="D1439" s="2">
        <f t="shared" si="93"/>
        <v>45974</v>
      </c>
      <c r="E1439" s="1">
        <v>45974.708333333336</v>
      </c>
      <c r="F1439" t="s">
        <v>4578</v>
      </c>
      <c r="G1439" t="s">
        <v>36</v>
      </c>
      <c r="H1439" t="s">
        <v>4579</v>
      </c>
      <c r="I1439" t="s">
        <v>78</v>
      </c>
      <c r="J1439" t="s">
        <v>154</v>
      </c>
      <c r="M1439" t="s">
        <v>40</v>
      </c>
      <c r="N1439" t="s">
        <v>41</v>
      </c>
      <c r="O1439" t="s">
        <v>4580</v>
      </c>
      <c r="P1439">
        <v>66</v>
      </c>
      <c r="Q1439">
        <v>0</v>
      </c>
      <c r="R1439">
        <v>0</v>
      </c>
      <c r="S1439">
        <v>0</v>
      </c>
      <c r="T1439" t="s">
        <v>54</v>
      </c>
      <c r="U1439" t="s">
        <v>55</v>
      </c>
      <c r="W1439" t="s">
        <v>4335</v>
      </c>
      <c r="Y1439">
        <v>0</v>
      </c>
      <c r="AA1439" t="s">
        <v>40</v>
      </c>
      <c r="AB1439" t="s">
        <v>46</v>
      </c>
      <c r="AC1439" t="s">
        <v>47</v>
      </c>
      <c r="AD1439" t="s">
        <v>81</v>
      </c>
      <c r="AE1439" t="s">
        <v>81</v>
      </c>
      <c r="AG1439" t="s">
        <v>4581</v>
      </c>
      <c r="AJ1439" t="s">
        <v>40</v>
      </c>
      <c r="AK1439" t="s">
        <v>4582</v>
      </c>
      <c r="AO1439" s="1">
        <v>45974</v>
      </c>
      <c r="AP1439" s="5">
        <v>0.70833333333333337</v>
      </c>
      <c r="AS1439">
        <v>1</v>
      </c>
    </row>
    <row r="1440" spans="1:45" x14ac:dyDescent="0.2">
      <c r="A1440">
        <f t="shared" si="90"/>
        <v>2025</v>
      </c>
      <c r="B1440">
        <f t="shared" si="91"/>
        <v>11</v>
      </c>
      <c r="C1440">
        <f t="shared" si="92"/>
        <v>46</v>
      </c>
      <c r="D1440" s="2">
        <f t="shared" si="93"/>
        <v>45974</v>
      </c>
      <c r="E1440" s="1">
        <v>45974.75</v>
      </c>
      <c r="F1440" t="s">
        <v>4583</v>
      </c>
      <c r="G1440" t="s">
        <v>36</v>
      </c>
      <c r="H1440" t="s">
        <v>4584</v>
      </c>
      <c r="I1440" t="s">
        <v>78</v>
      </c>
      <c r="J1440" t="s">
        <v>219</v>
      </c>
      <c r="M1440" t="s">
        <v>40</v>
      </c>
      <c r="N1440" t="s">
        <v>41</v>
      </c>
      <c r="O1440" t="s">
        <v>417</v>
      </c>
      <c r="P1440">
        <v>66</v>
      </c>
      <c r="Q1440">
        <v>0</v>
      </c>
      <c r="R1440">
        <v>0</v>
      </c>
      <c r="S1440">
        <v>0</v>
      </c>
      <c r="T1440" t="s">
        <v>54</v>
      </c>
      <c r="U1440" t="s">
        <v>55</v>
      </c>
      <c r="W1440" t="s">
        <v>4585</v>
      </c>
      <c r="X1440" t="s">
        <v>733</v>
      </c>
      <c r="Y1440">
        <v>0</v>
      </c>
      <c r="AA1440" t="s">
        <v>40</v>
      </c>
      <c r="AB1440" t="s">
        <v>46</v>
      </c>
      <c r="AC1440" t="s">
        <v>47</v>
      </c>
      <c r="AD1440" t="s">
        <v>81</v>
      </c>
      <c r="AE1440" t="s">
        <v>81</v>
      </c>
      <c r="AG1440" t="s">
        <v>4586</v>
      </c>
      <c r="AJ1440" t="s">
        <v>40</v>
      </c>
      <c r="AK1440" t="s">
        <v>4587</v>
      </c>
      <c r="AL1440" t="s">
        <v>4588</v>
      </c>
      <c r="AM1440" t="s">
        <v>4589</v>
      </c>
      <c r="AO1440" s="1">
        <v>45974</v>
      </c>
      <c r="AP1440" s="5">
        <v>0.75</v>
      </c>
      <c r="AS1440">
        <v>1</v>
      </c>
    </row>
    <row r="1441" spans="1:45" x14ac:dyDescent="0.2">
      <c r="A1441">
        <f t="shared" si="90"/>
        <v>2025</v>
      </c>
      <c r="B1441">
        <f t="shared" si="91"/>
        <v>11</v>
      </c>
      <c r="C1441">
        <f t="shared" si="92"/>
        <v>46</v>
      </c>
      <c r="D1441" s="2">
        <f t="shared" si="93"/>
        <v>45974</v>
      </c>
      <c r="E1441" s="1">
        <v>45974.75</v>
      </c>
      <c r="F1441" t="s">
        <v>4590</v>
      </c>
      <c r="G1441" t="s">
        <v>36</v>
      </c>
      <c r="H1441">
        <v>467226</v>
      </c>
      <c r="I1441" t="s">
        <v>51</v>
      </c>
      <c r="J1441" t="s">
        <v>144</v>
      </c>
      <c r="M1441" t="s">
        <v>40</v>
      </c>
      <c r="N1441" t="s">
        <v>41</v>
      </c>
      <c r="O1441" t="s">
        <v>2801</v>
      </c>
      <c r="P1441">
        <v>33</v>
      </c>
      <c r="Q1441">
        <v>0</v>
      </c>
      <c r="R1441">
        <v>0</v>
      </c>
      <c r="S1441">
        <v>0</v>
      </c>
      <c r="T1441" t="s">
        <v>54</v>
      </c>
      <c r="U1441" t="s">
        <v>55</v>
      </c>
      <c r="W1441" t="s">
        <v>4466</v>
      </c>
      <c r="X1441" t="s">
        <v>4591</v>
      </c>
      <c r="Y1441">
        <v>0</v>
      </c>
      <c r="AA1441" t="s">
        <v>40</v>
      </c>
      <c r="AB1441" t="s">
        <v>46</v>
      </c>
      <c r="AC1441" t="s">
        <v>47</v>
      </c>
      <c r="AG1441" t="s">
        <v>4592</v>
      </c>
      <c r="AJ1441" t="s">
        <v>40</v>
      </c>
      <c r="AK1441">
        <v>5019380830</v>
      </c>
      <c r="AL1441" t="s">
        <v>4593</v>
      </c>
      <c r="AM1441" t="s">
        <v>4594</v>
      </c>
      <c r="AO1441" s="1">
        <v>45974</v>
      </c>
      <c r="AP1441" s="5">
        <v>0.75</v>
      </c>
      <c r="AS1441">
        <v>1</v>
      </c>
    </row>
    <row r="1442" spans="1:45" x14ac:dyDescent="0.2">
      <c r="A1442">
        <f t="shared" si="90"/>
        <v>2025</v>
      </c>
      <c r="B1442">
        <f t="shared" si="91"/>
        <v>11</v>
      </c>
      <c r="C1442">
        <f t="shared" si="92"/>
        <v>46</v>
      </c>
      <c r="D1442" s="2">
        <f t="shared" si="93"/>
        <v>45974</v>
      </c>
      <c r="E1442" s="1">
        <v>45974.75</v>
      </c>
      <c r="F1442" t="s">
        <v>4595</v>
      </c>
      <c r="G1442" t="s">
        <v>36</v>
      </c>
      <c r="H1442">
        <v>467235</v>
      </c>
      <c r="I1442" t="s">
        <v>51</v>
      </c>
      <c r="J1442" t="s">
        <v>375</v>
      </c>
      <c r="M1442" t="s">
        <v>40</v>
      </c>
      <c r="N1442" t="s">
        <v>41</v>
      </c>
      <c r="O1442" t="s">
        <v>182</v>
      </c>
      <c r="P1442">
        <v>33</v>
      </c>
      <c r="Q1442">
        <v>0</v>
      </c>
      <c r="R1442">
        <v>0</v>
      </c>
      <c r="S1442">
        <v>0</v>
      </c>
      <c r="T1442" t="s">
        <v>54</v>
      </c>
      <c r="U1442" t="s">
        <v>55</v>
      </c>
      <c r="W1442" t="s">
        <v>4596</v>
      </c>
      <c r="X1442" t="s">
        <v>4597</v>
      </c>
      <c r="Y1442">
        <v>0</v>
      </c>
      <c r="AA1442" t="s">
        <v>40</v>
      </c>
      <c r="AB1442" t="s">
        <v>46</v>
      </c>
      <c r="AC1442" t="s">
        <v>47</v>
      </c>
      <c r="AG1442" t="s">
        <v>4598</v>
      </c>
      <c r="AJ1442" t="s">
        <v>40</v>
      </c>
      <c r="AK1442">
        <v>5019392698</v>
      </c>
      <c r="AL1442" t="s">
        <v>4599</v>
      </c>
      <c r="AM1442" t="s">
        <v>4600</v>
      </c>
      <c r="AO1442" s="1">
        <v>45974</v>
      </c>
      <c r="AP1442" s="5">
        <v>0.75</v>
      </c>
      <c r="AS1442">
        <v>1</v>
      </c>
    </row>
    <row r="1443" spans="1:45" x14ac:dyDescent="0.2">
      <c r="A1443">
        <f t="shared" si="90"/>
        <v>2025</v>
      </c>
      <c r="B1443">
        <f t="shared" si="91"/>
        <v>11</v>
      </c>
      <c r="C1443">
        <f t="shared" si="92"/>
        <v>46</v>
      </c>
      <c r="D1443" s="2">
        <f t="shared" si="93"/>
        <v>45974</v>
      </c>
      <c r="E1443" s="1">
        <v>45974.791666666664</v>
      </c>
      <c r="F1443" t="s">
        <v>4601</v>
      </c>
      <c r="G1443" t="s">
        <v>36</v>
      </c>
      <c r="H1443">
        <v>472249</v>
      </c>
      <c r="I1443" t="s">
        <v>51</v>
      </c>
      <c r="J1443" t="s">
        <v>144</v>
      </c>
      <c r="M1443" t="s">
        <v>40</v>
      </c>
      <c r="N1443" t="s">
        <v>41</v>
      </c>
      <c r="O1443" t="s">
        <v>90</v>
      </c>
      <c r="P1443">
        <v>33</v>
      </c>
      <c r="Q1443">
        <v>0</v>
      </c>
      <c r="R1443">
        <v>0</v>
      </c>
      <c r="S1443">
        <v>0</v>
      </c>
      <c r="T1443" t="s">
        <v>54</v>
      </c>
      <c r="U1443" t="s">
        <v>55</v>
      </c>
      <c r="W1443" t="s">
        <v>4602</v>
      </c>
      <c r="X1443" t="s">
        <v>4603</v>
      </c>
      <c r="Y1443">
        <v>0</v>
      </c>
      <c r="AA1443" t="s">
        <v>40</v>
      </c>
      <c r="AB1443" t="s">
        <v>46</v>
      </c>
      <c r="AC1443" t="s">
        <v>47</v>
      </c>
      <c r="AG1443" t="s">
        <v>4604</v>
      </c>
      <c r="AJ1443" t="s">
        <v>40</v>
      </c>
      <c r="AK1443">
        <v>5019391525</v>
      </c>
      <c r="AL1443" t="s">
        <v>4605</v>
      </c>
      <c r="AM1443" t="s">
        <v>4606</v>
      </c>
      <c r="AO1443" s="1">
        <v>45974</v>
      </c>
      <c r="AP1443" s="5">
        <v>0.79166666666666663</v>
      </c>
      <c r="AS1443">
        <v>1</v>
      </c>
    </row>
    <row r="1444" spans="1:45" x14ac:dyDescent="0.2">
      <c r="A1444">
        <f t="shared" si="90"/>
        <v>2025</v>
      </c>
      <c r="B1444">
        <f t="shared" si="91"/>
        <v>11</v>
      </c>
      <c r="C1444">
        <f t="shared" si="92"/>
        <v>46</v>
      </c>
      <c r="D1444" s="2">
        <f t="shared" si="93"/>
        <v>45974</v>
      </c>
      <c r="E1444" s="1">
        <v>45974.791666666664</v>
      </c>
      <c r="F1444" t="s">
        <v>4607</v>
      </c>
      <c r="G1444" t="s">
        <v>36</v>
      </c>
      <c r="H1444">
        <v>467224</v>
      </c>
      <c r="I1444" t="s">
        <v>51</v>
      </c>
      <c r="J1444" t="s">
        <v>188</v>
      </c>
      <c r="M1444" t="s">
        <v>40</v>
      </c>
      <c r="N1444" t="s">
        <v>41</v>
      </c>
      <c r="O1444" t="s">
        <v>172</v>
      </c>
      <c r="P1444">
        <v>33</v>
      </c>
      <c r="Q1444">
        <v>0</v>
      </c>
      <c r="R1444">
        <v>0</v>
      </c>
      <c r="S1444">
        <v>0</v>
      </c>
      <c r="T1444" t="s">
        <v>54</v>
      </c>
      <c r="U1444" t="s">
        <v>55</v>
      </c>
      <c r="W1444" t="s">
        <v>4608</v>
      </c>
      <c r="Y1444">
        <v>0</v>
      </c>
      <c r="AA1444" t="s">
        <v>40</v>
      </c>
      <c r="AB1444" t="s">
        <v>46</v>
      </c>
      <c r="AC1444" t="s">
        <v>47</v>
      </c>
      <c r="AG1444" t="s">
        <v>4609</v>
      </c>
      <c r="AJ1444" t="s">
        <v>40</v>
      </c>
      <c r="AK1444">
        <v>5019359079</v>
      </c>
      <c r="AO1444" s="1">
        <v>45974</v>
      </c>
      <c r="AP1444" s="5">
        <v>0.79166666666666663</v>
      </c>
      <c r="AS1444">
        <v>1</v>
      </c>
    </row>
    <row r="1445" spans="1:45" x14ac:dyDescent="0.2">
      <c r="A1445">
        <f t="shared" si="90"/>
        <v>2025</v>
      </c>
      <c r="B1445">
        <f t="shared" si="91"/>
        <v>11</v>
      </c>
      <c r="C1445">
        <f t="shared" si="92"/>
        <v>46</v>
      </c>
      <c r="D1445" s="2">
        <f t="shared" si="93"/>
        <v>45974</v>
      </c>
      <c r="E1445" s="1">
        <v>45974.791666666664</v>
      </c>
      <c r="F1445" t="s">
        <v>4610</v>
      </c>
      <c r="G1445" t="s">
        <v>36</v>
      </c>
      <c r="H1445" t="s">
        <v>4611</v>
      </c>
      <c r="I1445" t="s">
        <v>78</v>
      </c>
      <c r="J1445" t="s">
        <v>163</v>
      </c>
      <c r="M1445" t="s">
        <v>40</v>
      </c>
      <c r="N1445" t="s">
        <v>41</v>
      </c>
      <c r="O1445" t="s">
        <v>356</v>
      </c>
      <c r="P1445">
        <v>66</v>
      </c>
      <c r="Q1445">
        <v>0</v>
      </c>
      <c r="R1445">
        <v>0</v>
      </c>
      <c r="S1445">
        <v>0</v>
      </c>
      <c r="T1445" t="s">
        <v>54</v>
      </c>
      <c r="U1445" t="s">
        <v>55</v>
      </c>
      <c r="W1445" t="s">
        <v>4596</v>
      </c>
      <c r="Y1445">
        <v>0</v>
      </c>
      <c r="AA1445" t="s">
        <v>40</v>
      </c>
      <c r="AB1445" t="s">
        <v>46</v>
      </c>
      <c r="AC1445" t="s">
        <v>47</v>
      </c>
      <c r="AD1445" t="s">
        <v>81</v>
      </c>
      <c r="AE1445" t="s">
        <v>81</v>
      </c>
      <c r="AG1445" t="s">
        <v>4612</v>
      </c>
      <c r="AJ1445" t="s">
        <v>40</v>
      </c>
      <c r="AK1445" t="s">
        <v>4613</v>
      </c>
      <c r="AO1445" s="1">
        <v>45974</v>
      </c>
      <c r="AP1445" s="5">
        <v>0.79166666666666663</v>
      </c>
      <c r="AS1445">
        <v>1</v>
      </c>
    </row>
    <row r="1446" spans="1:45" x14ac:dyDescent="0.2">
      <c r="A1446">
        <f t="shared" si="90"/>
        <v>2025</v>
      </c>
      <c r="B1446">
        <f t="shared" si="91"/>
        <v>11</v>
      </c>
      <c r="C1446">
        <f t="shared" si="92"/>
        <v>46</v>
      </c>
      <c r="D1446" s="2">
        <f t="shared" si="93"/>
        <v>45974</v>
      </c>
      <c r="E1446" s="1">
        <v>45974.833333333336</v>
      </c>
      <c r="F1446" t="s">
        <v>4614</v>
      </c>
      <c r="G1446" t="s">
        <v>36</v>
      </c>
      <c r="H1446">
        <v>467211</v>
      </c>
      <c r="I1446" t="s">
        <v>51</v>
      </c>
      <c r="J1446" t="s">
        <v>194</v>
      </c>
      <c r="M1446" t="s">
        <v>40</v>
      </c>
      <c r="N1446" t="s">
        <v>41</v>
      </c>
      <c r="O1446" t="s">
        <v>189</v>
      </c>
      <c r="P1446">
        <v>33</v>
      </c>
      <c r="Q1446">
        <v>0</v>
      </c>
      <c r="R1446">
        <v>0</v>
      </c>
      <c r="S1446">
        <v>0</v>
      </c>
      <c r="T1446" t="s">
        <v>54</v>
      </c>
      <c r="U1446" t="s">
        <v>55</v>
      </c>
      <c r="W1446" t="s">
        <v>4615</v>
      </c>
      <c r="Y1446">
        <v>0</v>
      </c>
      <c r="AA1446" t="s">
        <v>40</v>
      </c>
      <c r="AB1446" t="s">
        <v>46</v>
      </c>
      <c r="AC1446" t="s">
        <v>47</v>
      </c>
      <c r="AG1446" t="s">
        <v>4616</v>
      </c>
      <c r="AJ1446" t="s">
        <v>40</v>
      </c>
      <c r="AK1446">
        <v>5019393261</v>
      </c>
      <c r="AO1446" s="1">
        <v>45974</v>
      </c>
      <c r="AP1446" s="5">
        <v>0.83333333333333337</v>
      </c>
      <c r="AS1446">
        <v>1</v>
      </c>
    </row>
    <row r="1447" spans="1:45" x14ac:dyDescent="0.2">
      <c r="A1447">
        <f t="shared" si="90"/>
        <v>2025</v>
      </c>
      <c r="B1447">
        <f t="shared" si="91"/>
        <v>11</v>
      </c>
      <c r="C1447">
        <f t="shared" si="92"/>
        <v>46</v>
      </c>
      <c r="D1447" s="2">
        <f t="shared" si="93"/>
        <v>45975</v>
      </c>
      <c r="E1447" s="1">
        <v>45975.25</v>
      </c>
      <c r="F1447" t="s">
        <v>4617</v>
      </c>
      <c r="G1447" t="s">
        <v>36</v>
      </c>
      <c r="H1447">
        <v>470159</v>
      </c>
      <c r="I1447" t="s">
        <v>51</v>
      </c>
      <c r="J1447" t="s">
        <v>52</v>
      </c>
      <c r="M1447" t="s">
        <v>40</v>
      </c>
      <c r="N1447" t="s">
        <v>41</v>
      </c>
      <c r="O1447" t="s">
        <v>53</v>
      </c>
      <c r="P1447">
        <v>33</v>
      </c>
      <c r="Q1447">
        <v>0</v>
      </c>
      <c r="R1447">
        <v>0</v>
      </c>
      <c r="S1447">
        <v>0</v>
      </c>
      <c r="T1447" t="s">
        <v>54</v>
      </c>
      <c r="U1447" t="s">
        <v>55</v>
      </c>
      <c r="W1447" t="s">
        <v>3909</v>
      </c>
      <c r="Y1447">
        <v>0</v>
      </c>
      <c r="AA1447" t="s">
        <v>40</v>
      </c>
      <c r="AB1447" t="s">
        <v>46</v>
      </c>
      <c r="AC1447" t="s">
        <v>47</v>
      </c>
      <c r="AG1447" t="s">
        <v>4618</v>
      </c>
      <c r="AJ1447" t="s">
        <v>40</v>
      </c>
      <c r="AK1447">
        <v>5019398558</v>
      </c>
      <c r="AO1447" s="1">
        <v>45975</v>
      </c>
      <c r="AP1447" s="5">
        <v>0.25</v>
      </c>
      <c r="AS1447">
        <v>1</v>
      </c>
    </row>
    <row r="1448" spans="1:45" x14ac:dyDescent="0.2">
      <c r="A1448">
        <f t="shared" si="90"/>
        <v>2025</v>
      </c>
      <c r="B1448">
        <f t="shared" si="91"/>
        <v>11</v>
      </c>
      <c r="C1448">
        <f t="shared" si="92"/>
        <v>46</v>
      </c>
      <c r="D1448" s="2">
        <f t="shared" si="93"/>
        <v>45975</v>
      </c>
      <c r="E1448" s="1">
        <v>45975.25</v>
      </c>
      <c r="F1448" t="s">
        <v>4619</v>
      </c>
      <c r="G1448" t="s">
        <v>36</v>
      </c>
      <c r="H1448" t="s">
        <v>4620</v>
      </c>
      <c r="I1448" t="s">
        <v>38</v>
      </c>
      <c r="J1448" t="s">
        <v>60</v>
      </c>
      <c r="M1448" t="s">
        <v>40</v>
      </c>
      <c r="N1448" t="s">
        <v>41</v>
      </c>
      <c r="O1448" t="s">
        <v>42</v>
      </c>
      <c r="P1448">
        <v>20</v>
      </c>
      <c r="Q1448">
        <v>0</v>
      </c>
      <c r="R1448">
        <v>0</v>
      </c>
      <c r="S1448">
        <v>0</v>
      </c>
      <c r="T1448">
        <v>5019335289</v>
      </c>
      <c r="U1448" t="s">
        <v>44</v>
      </c>
      <c r="W1448" t="s">
        <v>4621</v>
      </c>
      <c r="Y1448">
        <v>0</v>
      </c>
      <c r="AA1448" t="s">
        <v>40</v>
      </c>
      <c r="AB1448" t="s">
        <v>46</v>
      </c>
      <c r="AC1448" t="s">
        <v>47</v>
      </c>
      <c r="AF1448" t="s">
        <v>62</v>
      </c>
      <c r="AJ1448" t="s">
        <v>40</v>
      </c>
      <c r="AK1448" t="s">
        <v>49</v>
      </c>
      <c r="AN1448">
        <v>261200097</v>
      </c>
      <c r="AO1448" s="1">
        <v>45975</v>
      </c>
      <c r="AP1448" s="5">
        <v>0.25</v>
      </c>
      <c r="AS1448">
        <v>1</v>
      </c>
    </row>
    <row r="1449" spans="1:45" x14ac:dyDescent="0.2">
      <c r="A1449">
        <f t="shared" si="90"/>
        <v>2025</v>
      </c>
      <c r="B1449">
        <f t="shared" si="91"/>
        <v>11</v>
      </c>
      <c r="C1449">
        <f t="shared" si="92"/>
        <v>46</v>
      </c>
      <c r="D1449" s="2">
        <f t="shared" si="93"/>
        <v>45975</v>
      </c>
      <c r="E1449" s="1">
        <v>45975.291666666664</v>
      </c>
      <c r="F1449" t="s">
        <v>4622</v>
      </c>
      <c r="G1449" t="s">
        <v>36</v>
      </c>
      <c r="H1449" t="s">
        <v>253</v>
      </c>
      <c r="I1449" t="s">
        <v>38</v>
      </c>
      <c r="J1449" t="s">
        <v>254</v>
      </c>
      <c r="M1449" t="s">
        <v>40</v>
      </c>
      <c r="N1449" t="s">
        <v>41</v>
      </c>
      <c r="O1449" t="s">
        <v>42</v>
      </c>
      <c r="P1449">
        <v>1</v>
      </c>
      <c r="Q1449">
        <v>0</v>
      </c>
      <c r="R1449">
        <v>0</v>
      </c>
      <c r="S1449">
        <v>0</v>
      </c>
      <c r="T1449">
        <v>5019407749</v>
      </c>
      <c r="U1449" t="s">
        <v>101</v>
      </c>
      <c r="W1449" t="s">
        <v>4623</v>
      </c>
      <c r="Y1449">
        <v>0</v>
      </c>
      <c r="AA1449" t="s">
        <v>40</v>
      </c>
      <c r="AB1449" t="s">
        <v>46</v>
      </c>
      <c r="AC1449" t="s">
        <v>47</v>
      </c>
      <c r="AF1449" t="s">
        <v>48</v>
      </c>
      <c r="AJ1449" t="s">
        <v>40</v>
      </c>
      <c r="AK1449" t="s">
        <v>49</v>
      </c>
      <c r="AO1449" s="1">
        <v>45975</v>
      </c>
      <c r="AP1449" s="5">
        <v>0.29166666666666669</v>
      </c>
      <c r="AS1449">
        <v>1</v>
      </c>
    </row>
    <row r="1450" spans="1:45" x14ac:dyDescent="0.2">
      <c r="A1450">
        <f t="shared" si="90"/>
        <v>2025</v>
      </c>
      <c r="B1450">
        <f t="shared" si="91"/>
        <v>11</v>
      </c>
      <c r="C1450">
        <f t="shared" si="92"/>
        <v>46</v>
      </c>
      <c r="D1450" s="2">
        <f t="shared" si="93"/>
        <v>45975</v>
      </c>
      <c r="E1450" s="1">
        <v>45975.291666666664</v>
      </c>
      <c r="F1450" t="s">
        <v>4624</v>
      </c>
      <c r="G1450" t="s">
        <v>36</v>
      </c>
      <c r="H1450" t="s">
        <v>4625</v>
      </c>
      <c r="I1450" t="s">
        <v>38</v>
      </c>
      <c r="J1450" t="s">
        <v>60</v>
      </c>
      <c r="M1450" t="s">
        <v>40</v>
      </c>
      <c r="N1450" t="s">
        <v>41</v>
      </c>
      <c r="O1450" t="s">
        <v>42</v>
      </c>
      <c r="P1450">
        <v>20</v>
      </c>
      <c r="Q1450">
        <v>0</v>
      </c>
      <c r="R1450">
        <v>0</v>
      </c>
      <c r="S1450">
        <v>0</v>
      </c>
      <c r="T1450">
        <v>5019337189</v>
      </c>
      <c r="U1450" t="s">
        <v>44</v>
      </c>
      <c r="W1450" t="s">
        <v>4621</v>
      </c>
      <c r="Y1450">
        <v>0</v>
      </c>
      <c r="AA1450" t="s">
        <v>40</v>
      </c>
      <c r="AB1450" t="s">
        <v>46</v>
      </c>
      <c r="AC1450" t="s">
        <v>47</v>
      </c>
      <c r="AF1450" t="s">
        <v>62</v>
      </c>
      <c r="AJ1450" t="s">
        <v>40</v>
      </c>
      <c r="AK1450" t="s">
        <v>49</v>
      </c>
      <c r="AN1450">
        <v>261200097</v>
      </c>
      <c r="AO1450" s="1">
        <v>45975</v>
      </c>
      <c r="AP1450" s="5">
        <v>0.29166666666666669</v>
      </c>
      <c r="AS1450">
        <v>1</v>
      </c>
    </row>
    <row r="1451" spans="1:45" x14ac:dyDescent="0.2">
      <c r="A1451">
        <f t="shared" si="90"/>
        <v>2025</v>
      </c>
      <c r="B1451">
        <f t="shared" si="91"/>
        <v>11</v>
      </c>
      <c r="C1451">
        <f t="shared" si="92"/>
        <v>46</v>
      </c>
      <c r="D1451" s="2">
        <f t="shared" si="93"/>
        <v>45975</v>
      </c>
      <c r="E1451" s="1">
        <v>45975.291666666664</v>
      </c>
      <c r="F1451" t="s">
        <v>4626</v>
      </c>
      <c r="G1451" t="s">
        <v>36</v>
      </c>
      <c r="H1451" t="s">
        <v>4627</v>
      </c>
      <c r="I1451" t="s">
        <v>38</v>
      </c>
      <c r="J1451" t="s">
        <v>99</v>
      </c>
      <c r="L1451" t="s">
        <v>4170</v>
      </c>
      <c r="M1451" t="s">
        <v>40</v>
      </c>
      <c r="N1451" t="s">
        <v>41</v>
      </c>
      <c r="O1451" t="s">
        <v>42</v>
      </c>
      <c r="P1451">
        <v>1</v>
      </c>
      <c r="Q1451">
        <v>0</v>
      </c>
      <c r="R1451">
        <v>0</v>
      </c>
      <c r="S1451">
        <v>0</v>
      </c>
      <c r="T1451" t="s">
        <v>4628</v>
      </c>
      <c r="U1451" t="s">
        <v>233</v>
      </c>
      <c r="W1451" t="s">
        <v>4629</v>
      </c>
      <c r="Y1451">
        <v>0</v>
      </c>
      <c r="AA1451" t="s">
        <v>40</v>
      </c>
      <c r="AB1451" t="s">
        <v>46</v>
      </c>
      <c r="AC1451" t="s">
        <v>47</v>
      </c>
      <c r="AF1451" t="s">
        <v>677</v>
      </c>
      <c r="AJ1451" t="s">
        <v>40</v>
      </c>
      <c r="AK1451" t="s">
        <v>49</v>
      </c>
      <c r="AO1451" s="1">
        <v>45975</v>
      </c>
      <c r="AP1451" s="5">
        <v>0.29166666666666669</v>
      </c>
      <c r="AS1451">
        <v>1</v>
      </c>
    </row>
    <row r="1452" spans="1:45" x14ac:dyDescent="0.2">
      <c r="A1452">
        <f t="shared" si="90"/>
        <v>2025</v>
      </c>
      <c r="B1452">
        <f t="shared" si="91"/>
        <v>11</v>
      </c>
      <c r="C1452">
        <f t="shared" si="92"/>
        <v>46</v>
      </c>
      <c r="D1452" s="2">
        <f t="shared" si="93"/>
        <v>45975</v>
      </c>
      <c r="E1452" s="1">
        <v>45975.333333333336</v>
      </c>
      <c r="F1452" t="s">
        <v>4630</v>
      </c>
      <c r="G1452" t="s">
        <v>36</v>
      </c>
      <c r="H1452" t="s">
        <v>4631</v>
      </c>
      <c r="I1452" t="s">
        <v>38</v>
      </c>
      <c r="J1452" t="s">
        <v>60</v>
      </c>
      <c r="M1452" t="s">
        <v>40</v>
      </c>
      <c r="N1452" t="s">
        <v>41</v>
      </c>
      <c r="O1452" t="s">
        <v>42</v>
      </c>
      <c r="P1452">
        <v>20</v>
      </c>
      <c r="Q1452">
        <v>0</v>
      </c>
      <c r="R1452">
        <v>0</v>
      </c>
      <c r="S1452">
        <v>0</v>
      </c>
      <c r="T1452" t="s">
        <v>4632</v>
      </c>
      <c r="U1452" t="s">
        <v>44</v>
      </c>
      <c r="W1452" t="s">
        <v>4621</v>
      </c>
      <c r="Y1452">
        <v>0</v>
      </c>
      <c r="AA1452" t="s">
        <v>40</v>
      </c>
      <c r="AB1452" t="s">
        <v>46</v>
      </c>
      <c r="AC1452" t="s">
        <v>47</v>
      </c>
      <c r="AF1452" t="s">
        <v>62</v>
      </c>
      <c r="AJ1452" t="s">
        <v>40</v>
      </c>
      <c r="AK1452" t="s">
        <v>49</v>
      </c>
      <c r="AN1452">
        <v>261200097</v>
      </c>
      <c r="AO1452" s="1">
        <v>45975</v>
      </c>
      <c r="AP1452" s="5">
        <v>0.33333333333333331</v>
      </c>
      <c r="AS1452">
        <v>1</v>
      </c>
    </row>
    <row r="1453" spans="1:45" x14ac:dyDescent="0.2">
      <c r="A1453">
        <f t="shared" si="90"/>
        <v>2025</v>
      </c>
      <c r="B1453">
        <f t="shared" si="91"/>
        <v>11</v>
      </c>
      <c r="C1453">
        <f t="shared" si="92"/>
        <v>46</v>
      </c>
      <c r="D1453" s="2">
        <f t="shared" si="93"/>
        <v>45975</v>
      </c>
      <c r="E1453" s="1">
        <v>45975.333333333336</v>
      </c>
      <c r="F1453" t="s">
        <v>4633</v>
      </c>
      <c r="G1453" t="s">
        <v>36</v>
      </c>
      <c r="H1453" t="s">
        <v>4634</v>
      </c>
      <c r="I1453" t="s">
        <v>38</v>
      </c>
      <c r="J1453" t="s">
        <v>60</v>
      </c>
      <c r="M1453" t="s">
        <v>40</v>
      </c>
      <c r="N1453" t="s">
        <v>41</v>
      </c>
      <c r="O1453" t="s">
        <v>42</v>
      </c>
      <c r="P1453">
        <v>20</v>
      </c>
      <c r="Q1453">
        <v>0</v>
      </c>
      <c r="R1453">
        <v>0</v>
      </c>
      <c r="S1453">
        <v>0</v>
      </c>
      <c r="T1453">
        <v>5019353560</v>
      </c>
      <c r="U1453" t="s">
        <v>44</v>
      </c>
      <c r="W1453" t="s">
        <v>4635</v>
      </c>
      <c r="Y1453">
        <v>0</v>
      </c>
      <c r="AA1453" t="s">
        <v>40</v>
      </c>
      <c r="AB1453" t="s">
        <v>46</v>
      </c>
      <c r="AC1453" t="s">
        <v>47</v>
      </c>
      <c r="AF1453" t="s">
        <v>133</v>
      </c>
      <c r="AJ1453" t="s">
        <v>40</v>
      </c>
      <c r="AK1453" t="s">
        <v>49</v>
      </c>
      <c r="AN1453">
        <v>259556399</v>
      </c>
      <c r="AO1453" s="1">
        <v>45975</v>
      </c>
      <c r="AP1453" s="5">
        <v>0.33333333333333331</v>
      </c>
      <c r="AS1453">
        <v>1</v>
      </c>
    </row>
    <row r="1454" spans="1:45" x14ac:dyDescent="0.2">
      <c r="A1454">
        <f t="shared" si="90"/>
        <v>2025</v>
      </c>
      <c r="B1454">
        <f t="shared" si="91"/>
        <v>11</v>
      </c>
      <c r="C1454">
        <f t="shared" si="92"/>
        <v>46</v>
      </c>
      <c r="D1454" s="2">
        <f t="shared" si="93"/>
        <v>45975</v>
      </c>
      <c r="E1454" s="1">
        <v>45975.333333333336</v>
      </c>
      <c r="F1454" t="s">
        <v>4636</v>
      </c>
      <c r="G1454" t="s">
        <v>36</v>
      </c>
      <c r="H1454">
        <v>467220</v>
      </c>
      <c r="I1454" t="s">
        <v>51</v>
      </c>
      <c r="J1454" t="s">
        <v>52</v>
      </c>
      <c r="M1454" t="s">
        <v>40</v>
      </c>
      <c r="N1454" t="s">
        <v>41</v>
      </c>
      <c r="O1454" t="s">
        <v>433</v>
      </c>
      <c r="P1454">
        <v>33</v>
      </c>
      <c r="Q1454">
        <v>0</v>
      </c>
      <c r="R1454">
        <v>0</v>
      </c>
      <c r="S1454">
        <v>0</v>
      </c>
      <c r="T1454" t="s">
        <v>54</v>
      </c>
      <c r="U1454" t="s">
        <v>55</v>
      </c>
      <c r="W1454" t="s">
        <v>4637</v>
      </c>
      <c r="Y1454">
        <v>0</v>
      </c>
      <c r="AA1454" t="s">
        <v>40</v>
      </c>
      <c r="AB1454" t="s">
        <v>46</v>
      </c>
      <c r="AC1454" t="s">
        <v>47</v>
      </c>
      <c r="AG1454" t="s">
        <v>4638</v>
      </c>
      <c r="AJ1454" t="s">
        <v>40</v>
      </c>
      <c r="AK1454">
        <v>5019399976</v>
      </c>
      <c r="AO1454" s="1">
        <v>45975</v>
      </c>
      <c r="AP1454" s="5">
        <v>0.33333333333333331</v>
      </c>
      <c r="AS1454">
        <v>1</v>
      </c>
    </row>
    <row r="1455" spans="1:45" x14ac:dyDescent="0.2">
      <c r="A1455">
        <f t="shared" si="90"/>
        <v>2025</v>
      </c>
      <c r="B1455">
        <f t="shared" si="91"/>
        <v>11</v>
      </c>
      <c r="C1455">
        <f t="shared" si="92"/>
        <v>46</v>
      </c>
      <c r="D1455" s="2">
        <f t="shared" si="93"/>
        <v>45975</v>
      </c>
      <c r="E1455" s="1">
        <v>45975.375</v>
      </c>
      <c r="F1455" t="s">
        <v>4639</v>
      </c>
      <c r="G1455" t="s">
        <v>36</v>
      </c>
      <c r="H1455" t="s">
        <v>239</v>
      </c>
      <c r="I1455" t="s">
        <v>38</v>
      </c>
      <c r="J1455" t="s">
        <v>240</v>
      </c>
      <c r="M1455" t="s">
        <v>40</v>
      </c>
      <c r="N1455" t="s">
        <v>41</v>
      </c>
      <c r="O1455" t="s">
        <v>42</v>
      </c>
      <c r="P1455">
        <v>30</v>
      </c>
      <c r="Q1455">
        <v>0</v>
      </c>
      <c r="R1455">
        <v>0</v>
      </c>
      <c r="S1455">
        <v>0</v>
      </c>
      <c r="T1455" t="s">
        <v>4640</v>
      </c>
      <c r="U1455" t="s">
        <v>44</v>
      </c>
      <c r="W1455" t="s">
        <v>4641</v>
      </c>
      <c r="Y1455">
        <v>0</v>
      </c>
      <c r="AA1455" t="s">
        <v>40</v>
      </c>
      <c r="AB1455" t="s">
        <v>46</v>
      </c>
      <c r="AC1455" t="s">
        <v>47</v>
      </c>
      <c r="AF1455" t="s">
        <v>242</v>
      </c>
      <c r="AJ1455" t="s">
        <v>40</v>
      </c>
      <c r="AK1455" t="s">
        <v>49</v>
      </c>
      <c r="AO1455" s="1">
        <v>45975</v>
      </c>
      <c r="AP1455" s="5">
        <v>0.375</v>
      </c>
      <c r="AS1455">
        <v>1</v>
      </c>
    </row>
    <row r="1456" spans="1:45" x14ac:dyDescent="0.2">
      <c r="A1456">
        <f t="shared" si="90"/>
        <v>2025</v>
      </c>
      <c r="B1456">
        <f t="shared" si="91"/>
        <v>11</v>
      </c>
      <c r="C1456">
        <f t="shared" si="92"/>
        <v>46</v>
      </c>
      <c r="D1456" s="2">
        <f t="shared" si="93"/>
        <v>45975</v>
      </c>
      <c r="E1456" s="1">
        <v>45975.375</v>
      </c>
      <c r="F1456" t="s">
        <v>4642</v>
      </c>
      <c r="G1456" t="s">
        <v>36</v>
      </c>
      <c r="H1456">
        <v>467240</v>
      </c>
      <c r="I1456" t="s">
        <v>51</v>
      </c>
      <c r="J1456" t="s">
        <v>52</v>
      </c>
      <c r="M1456" t="s">
        <v>40</v>
      </c>
      <c r="N1456" t="s">
        <v>41</v>
      </c>
      <c r="O1456" t="s">
        <v>433</v>
      </c>
      <c r="P1456">
        <v>33</v>
      </c>
      <c r="Q1456">
        <v>0</v>
      </c>
      <c r="R1456">
        <v>0</v>
      </c>
      <c r="S1456">
        <v>0</v>
      </c>
      <c r="T1456" t="s">
        <v>54</v>
      </c>
      <c r="U1456" t="s">
        <v>55</v>
      </c>
      <c r="W1456" t="s">
        <v>4643</v>
      </c>
      <c r="Y1456">
        <v>0</v>
      </c>
      <c r="AA1456" t="s">
        <v>40</v>
      </c>
      <c r="AB1456" t="s">
        <v>46</v>
      </c>
      <c r="AC1456" t="s">
        <v>47</v>
      </c>
      <c r="AG1456" t="s">
        <v>4644</v>
      </c>
      <c r="AJ1456" t="s">
        <v>40</v>
      </c>
      <c r="AK1456">
        <v>5019405096</v>
      </c>
      <c r="AO1456" s="1">
        <v>45975</v>
      </c>
      <c r="AP1456" s="5">
        <v>0.375</v>
      </c>
      <c r="AS1456">
        <v>1</v>
      </c>
    </row>
    <row r="1457" spans="1:45" x14ac:dyDescent="0.2">
      <c r="A1457">
        <f t="shared" si="90"/>
        <v>2025</v>
      </c>
      <c r="B1457">
        <f t="shared" si="91"/>
        <v>11</v>
      </c>
      <c r="C1457">
        <f t="shared" si="92"/>
        <v>46</v>
      </c>
      <c r="D1457" s="2">
        <f t="shared" si="93"/>
        <v>45975</v>
      </c>
      <c r="E1457" s="1">
        <v>45975.416666666664</v>
      </c>
      <c r="F1457" t="s">
        <v>4645</v>
      </c>
      <c r="G1457" t="s">
        <v>36</v>
      </c>
      <c r="H1457" t="s">
        <v>4646</v>
      </c>
      <c r="I1457" t="s">
        <v>38</v>
      </c>
      <c r="J1457" t="s">
        <v>254</v>
      </c>
      <c r="M1457" t="s">
        <v>40</v>
      </c>
      <c r="N1457" t="s">
        <v>41</v>
      </c>
      <c r="O1457" t="s">
        <v>42</v>
      </c>
      <c r="P1457">
        <v>4</v>
      </c>
      <c r="Q1457">
        <v>0</v>
      </c>
      <c r="R1457">
        <v>0</v>
      </c>
      <c r="S1457">
        <v>0</v>
      </c>
      <c r="T1457" t="s">
        <v>4647</v>
      </c>
      <c r="U1457" t="s">
        <v>294</v>
      </c>
      <c r="W1457" t="s">
        <v>4648</v>
      </c>
      <c r="Y1457">
        <v>0</v>
      </c>
      <c r="AA1457" t="s">
        <v>40</v>
      </c>
      <c r="AB1457" t="s">
        <v>46</v>
      </c>
      <c r="AC1457" t="s">
        <v>47</v>
      </c>
      <c r="AF1457" t="s">
        <v>295</v>
      </c>
      <c r="AJ1457" t="s">
        <v>40</v>
      </c>
      <c r="AK1457" t="s">
        <v>49</v>
      </c>
      <c r="AO1457" s="1">
        <v>45975</v>
      </c>
      <c r="AP1457" s="5">
        <v>0.41666666666666669</v>
      </c>
      <c r="AS1457">
        <v>1</v>
      </c>
    </row>
    <row r="1458" spans="1:45" x14ac:dyDescent="0.2">
      <c r="A1458">
        <f t="shared" si="90"/>
        <v>2025</v>
      </c>
      <c r="B1458">
        <f t="shared" si="91"/>
        <v>11</v>
      </c>
      <c r="C1458">
        <f t="shared" si="92"/>
        <v>46</v>
      </c>
      <c r="D1458" s="2">
        <f t="shared" si="93"/>
        <v>45975</v>
      </c>
      <c r="E1458" s="1">
        <v>45975.416666666664</v>
      </c>
      <c r="F1458" t="s">
        <v>4649</v>
      </c>
      <c r="G1458" t="s">
        <v>36</v>
      </c>
      <c r="H1458" t="s">
        <v>111</v>
      </c>
      <c r="I1458" t="s">
        <v>38</v>
      </c>
      <c r="J1458" t="s">
        <v>99</v>
      </c>
      <c r="M1458" t="s">
        <v>40</v>
      </c>
      <c r="N1458" t="s">
        <v>41</v>
      </c>
      <c r="O1458" t="s">
        <v>42</v>
      </c>
      <c r="P1458">
        <v>23</v>
      </c>
      <c r="Q1458">
        <v>0</v>
      </c>
      <c r="R1458">
        <v>0</v>
      </c>
      <c r="S1458">
        <v>0</v>
      </c>
      <c r="T1458" t="s">
        <v>4650</v>
      </c>
      <c r="U1458" t="s">
        <v>44</v>
      </c>
      <c r="W1458" t="s">
        <v>4651</v>
      </c>
      <c r="Y1458">
        <v>0</v>
      </c>
      <c r="AA1458" t="s">
        <v>40</v>
      </c>
      <c r="AB1458" t="s">
        <v>46</v>
      </c>
      <c r="AC1458" t="s">
        <v>47</v>
      </c>
      <c r="AF1458" t="s">
        <v>48</v>
      </c>
      <c r="AJ1458" t="s">
        <v>40</v>
      </c>
      <c r="AK1458" t="s">
        <v>49</v>
      </c>
      <c r="AO1458" s="1">
        <v>45975</v>
      </c>
      <c r="AP1458" s="5">
        <v>0.41666666666666669</v>
      </c>
      <c r="AS1458">
        <v>1</v>
      </c>
    </row>
    <row r="1459" spans="1:45" x14ac:dyDescent="0.2">
      <c r="A1459">
        <f t="shared" si="90"/>
        <v>2025</v>
      </c>
      <c r="B1459">
        <f t="shared" si="91"/>
        <v>11</v>
      </c>
      <c r="C1459">
        <f t="shared" si="92"/>
        <v>46</v>
      </c>
      <c r="D1459" s="2">
        <f t="shared" si="93"/>
        <v>45975</v>
      </c>
      <c r="E1459" s="1">
        <v>45975.416666666664</v>
      </c>
      <c r="F1459" t="s">
        <v>4652</v>
      </c>
      <c r="G1459" t="s">
        <v>36</v>
      </c>
      <c r="H1459" t="s">
        <v>111</v>
      </c>
      <c r="I1459" t="s">
        <v>38</v>
      </c>
      <c r="J1459" t="s">
        <v>99</v>
      </c>
      <c r="M1459" t="s">
        <v>40</v>
      </c>
      <c r="N1459" t="s">
        <v>41</v>
      </c>
      <c r="O1459" t="s">
        <v>42</v>
      </c>
      <c r="P1459">
        <v>23</v>
      </c>
      <c r="Q1459">
        <v>0</v>
      </c>
      <c r="R1459">
        <v>0</v>
      </c>
      <c r="S1459">
        <v>0</v>
      </c>
      <c r="T1459" t="s">
        <v>4653</v>
      </c>
      <c r="U1459" t="s">
        <v>44</v>
      </c>
      <c r="W1459" t="s">
        <v>4651</v>
      </c>
      <c r="Y1459">
        <v>0</v>
      </c>
      <c r="AA1459" t="s">
        <v>40</v>
      </c>
      <c r="AB1459" t="s">
        <v>46</v>
      </c>
      <c r="AC1459" t="s">
        <v>47</v>
      </c>
      <c r="AF1459" t="s">
        <v>48</v>
      </c>
      <c r="AJ1459" t="s">
        <v>40</v>
      </c>
      <c r="AK1459" t="s">
        <v>49</v>
      </c>
      <c r="AO1459" s="1">
        <v>45975</v>
      </c>
      <c r="AP1459" s="5">
        <v>0.41666666666666669</v>
      </c>
      <c r="AS1459">
        <v>1</v>
      </c>
    </row>
    <row r="1460" spans="1:45" x14ac:dyDescent="0.2">
      <c r="A1460">
        <f t="shared" si="90"/>
        <v>2025</v>
      </c>
      <c r="B1460">
        <f t="shared" si="91"/>
        <v>11</v>
      </c>
      <c r="C1460">
        <f t="shared" si="92"/>
        <v>46</v>
      </c>
      <c r="D1460" s="2">
        <f t="shared" si="93"/>
        <v>45975</v>
      </c>
      <c r="E1460" s="1">
        <v>45975.416666666664</v>
      </c>
      <c r="F1460" t="s">
        <v>4654</v>
      </c>
      <c r="G1460" t="s">
        <v>36</v>
      </c>
      <c r="H1460">
        <v>470153</v>
      </c>
      <c r="I1460" t="s">
        <v>51</v>
      </c>
      <c r="J1460" t="s">
        <v>52</v>
      </c>
      <c r="M1460" t="s">
        <v>40</v>
      </c>
      <c r="N1460" t="s">
        <v>41</v>
      </c>
      <c r="O1460" t="s">
        <v>53</v>
      </c>
      <c r="P1460">
        <v>33</v>
      </c>
      <c r="Q1460">
        <v>0</v>
      </c>
      <c r="R1460">
        <v>0</v>
      </c>
      <c r="S1460">
        <v>0</v>
      </c>
      <c r="T1460" t="s">
        <v>54</v>
      </c>
      <c r="U1460" t="s">
        <v>55</v>
      </c>
      <c r="W1460" t="s">
        <v>4486</v>
      </c>
      <c r="Y1460">
        <v>0</v>
      </c>
      <c r="AA1460" t="s">
        <v>40</v>
      </c>
      <c r="AB1460" t="s">
        <v>46</v>
      </c>
      <c r="AC1460" t="s">
        <v>47</v>
      </c>
      <c r="AG1460" t="s">
        <v>4655</v>
      </c>
      <c r="AJ1460" t="s">
        <v>40</v>
      </c>
      <c r="AK1460">
        <v>5019398559</v>
      </c>
      <c r="AO1460" s="1">
        <v>45975</v>
      </c>
      <c r="AP1460" s="5">
        <v>0.41666666666666669</v>
      </c>
      <c r="AS1460">
        <v>1</v>
      </c>
    </row>
    <row r="1461" spans="1:45" x14ac:dyDescent="0.2">
      <c r="A1461">
        <f t="shared" si="90"/>
        <v>2025</v>
      </c>
      <c r="B1461">
        <f t="shared" si="91"/>
        <v>11</v>
      </c>
      <c r="C1461">
        <f t="shared" si="92"/>
        <v>46</v>
      </c>
      <c r="D1461" s="2">
        <f t="shared" si="93"/>
        <v>45975</v>
      </c>
      <c r="E1461" s="1">
        <v>45975.458333333336</v>
      </c>
      <c r="F1461" t="s">
        <v>4656</v>
      </c>
      <c r="G1461" t="s">
        <v>36</v>
      </c>
      <c r="H1461">
        <v>467217</v>
      </c>
      <c r="I1461" t="s">
        <v>51</v>
      </c>
      <c r="J1461" t="s">
        <v>1059</v>
      </c>
      <c r="M1461" t="s">
        <v>40</v>
      </c>
      <c r="N1461" t="s">
        <v>41</v>
      </c>
      <c r="O1461" t="s">
        <v>127</v>
      </c>
      <c r="P1461">
        <v>33</v>
      </c>
      <c r="Q1461">
        <v>0</v>
      </c>
      <c r="R1461">
        <v>0</v>
      </c>
      <c r="S1461">
        <v>0</v>
      </c>
      <c r="T1461" t="s">
        <v>91</v>
      </c>
      <c r="U1461" t="s">
        <v>55</v>
      </c>
      <c r="W1461" t="s">
        <v>4657</v>
      </c>
      <c r="Y1461">
        <v>0</v>
      </c>
      <c r="AA1461" t="s">
        <v>40</v>
      </c>
      <c r="AB1461" t="s">
        <v>46</v>
      </c>
      <c r="AC1461" t="s">
        <v>47</v>
      </c>
      <c r="AG1461" t="s">
        <v>4658</v>
      </c>
      <c r="AJ1461" t="s">
        <v>40</v>
      </c>
      <c r="AK1461">
        <v>5019399185</v>
      </c>
      <c r="AO1461" s="1">
        <v>45975</v>
      </c>
      <c r="AP1461" s="5">
        <v>0.45833333333333331</v>
      </c>
      <c r="AS1461">
        <v>1</v>
      </c>
    </row>
    <row r="1462" spans="1:45" x14ac:dyDescent="0.2">
      <c r="A1462">
        <f t="shared" si="90"/>
        <v>2025</v>
      </c>
      <c r="B1462">
        <f t="shared" si="91"/>
        <v>11</v>
      </c>
      <c r="C1462">
        <f t="shared" si="92"/>
        <v>46</v>
      </c>
      <c r="D1462" s="2">
        <f t="shared" si="93"/>
        <v>45975</v>
      </c>
      <c r="E1462" s="1">
        <v>45975.458333333336</v>
      </c>
      <c r="F1462" t="s">
        <v>4659</v>
      </c>
      <c r="G1462" t="s">
        <v>36</v>
      </c>
      <c r="H1462">
        <v>470165</v>
      </c>
      <c r="I1462" t="s">
        <v>51</v>
      </c>
      <c r="J1462" t="s">
        <v>52</v>
      </c>
      <c r="M1462" t="s">
        <v>40</v>
      </c>
      <c r="N1462" t="s">
        <v>41</v>
      </c>
      <c r="O1462" t="s">
        <v>53</v>
      </c>
      <c r="P1462">
        <v>33</v>
      </c>
      <c r="Q1462">
        <v>0</v>
      </c>
      <c r="R1462">
        <v>0</v>
      </c>
      <c r="S1462">
        <v>0</v>
      </c>
      <c r="T1462" t="s">
        <v>54</v>
      </c>
      <c r="U1462" t="s">
        <v>55</v>
      </c>
      <c r="W1462" t="s">
        <v>4486</v>
      </c>
      <c r="Y1462">
        <v>0</v>
      </c>
      <c r="AA1462" t="s">
        <v>40</v>
      </c>
      <c r="AB1462" t="s">
        <v>46</v>
      </c>
      <c r="AC1462" t="s">
        <v>47</v>
      </c>
      <c r="AG1462" t="s">
        <v>4660</v>
      </c>
      <c r="AJ1462" t="s">
        <v>40</v>
      </c>
      <c r="AK1462">
        <v>5019402779</v>
      </c>
      <c r="AO1462" s="1">
        <v>45975</v>
      </c>
      <c r="AP1462" s="5">
        <v>0.45833333333333331</v>
      </c>
      <c r="AS1462">
        <v>1</v>
      </c>
    </row>
    <row r="1463" spans="1:45" x14ac:dyDescent="0.2">
      <c r="A1463">
        <f t="shared" si="90"/>
        <v>2025</v>
      </c>
      <c r="B1463">
        <f t="shared" si="91"/>
        <v>11</v>
      </c>
      <c r="C1463">
        <f t="shared" si="92"/>
        <v>46</v>
      </c>
      <c r="D1463" s="2">
        <f t="shared" si="93"/>
        <v>45975</v>
      </c>
      <c r="E1463" s="1">
        <v>45975.458333333336</v>
      </c>
      <c r="F1463" t="s">
        <v>4661</v>
      </c>
      <c r="G1463" t="s">
        <v>36</v>
      </c>
      <c r="H1463" t="s">
        <v>4662</v>
      </c>
      <c r="I1463" t="s">
        <v>38</v>
      </c>
      <c r="J1463" t="s">
        <v>99</v>
      </c>
      <c r="M1463" t="s">
        <v>40</v>
      </c>
      <c r="N1463" t="s">
        <v>41</v>
      </c>
      <c r="O1463" t="s">
        <v>42</v>
      </c>
      <c r="P1463">
        <v>22</v>
      </c>
      <c r="Q1463">
        <v>0</v>
      </c>
      <c r="R1463">
        <v>0</v>
      </c>
      <c r="S1463">
        <v>0</v>
      </c>
      <c r="T1463" t="s">
        <v>4663</v>
      </c>
      <c r="U1463" t="s">
        <v>44</v>
      </c>
      <c r="W1463" t="s">
        <v>4664</v>
      </c>
      <c r="Y1463">
        <v>0</v>
      </c>
      <c r="AA1463" t="s">
        <v>40</v>
      </c>
      <c r="AB1463" t="s">
        <v>46</v>
      </c>
      <c r="AC1463" t="s">
        <v>47</v>
      </c>
      <c r="AF1463" t="s">
        <v>48</v>
      </c>
      <c r="AJ1463" t="s">
        <v>40</v>
      </c>
      <c r="AK1463" t="s">
        <v>49</v>
      </c>
      <c r="AO1463" s="1">
        <v>45975</v>
      </c>
      <c r="AP1463" s="5">
        <v>0.45833333333333331</v>
      </c>
      <c r="AS1463">
        <v>1</v>
      </c>
    </row>
    <row r="1464" spans="1:45" x14ac:dyDescent="0.2">
      <c r="A1464">
        <f t="shared" si="90"/>
        <v>2025</v>
      </c>
      <c r="B1464">
        <f t="shared" si="91"/>
        <v>11</v>
      </c>
      <c r="C1464">
        <f t="shared" si="92"/>
        <v>46</v>
      </c>
      <c r="D1464" s="2">
        <f t="shared" si="93"/>
        <v>45975</v>
      </c>
      <c r="E1464" s="1">
        <v>45975.458333333336</v>
      </c>
      <c r="F1464" t="s">
        <v>4665</v>
      </c>
      <c r="G1464" t="s">
        <v>36</v>
      </c>
      <c r="H1464" t="s">
        <v>1167</v>
      </c>
      <c r="I1464" t="s">
        <v>38</v>
      </c>
      <c r="J1464" t="s">
        <v>1168</v>
      </c>
      <c r="M1464" t="s">
        <v>40</v>
      </c>
      <c r="N1464" t="s">
        <v>41</v>
      </c>
      <c r="O1464" t="s">
        <v>42</v>
      </c>
      <c r="P1464">
        <v>4</v>
      </c>
      <c r="Q1464">
        <v>0</v>
      </c>
      <c r="R1464">
        <v>0</v>
      </c>
      <c r="S1464">
        <v>0</v>
      </c>
      <c r="T1464">
        <v>5019333750</v>
      </c>
      <c r="U1464" t="s">
        <v>101</v>
      </c>
      <c r="W1464" t="s">
        <v>4641</v>
      </c>
      <c r="Y1464">
        <v>0</v>
      </c>
      <c r="AA1464" t="s">
        <v>40</v>
      </c>
      <c r="AB1464" t="s">
        <v>46</v>
      </c>
      <c r="AC1464" t="s">
        <v>47</v>
      </c>
      <c r="AF1464" t="s">
        <v>2882</v>
      </c>
      <c r="AJ1464" t="s">
        <v>40</v>
      </c>
      <c r="AK1464" t="s">
        <v>49</v>
      </c>
      <c r="AO1464" s="1">
        <v>45975</v>
      </c>
      <c r="AP1464" s="5">
        <v>0.45833333333333331</v>
      </c>
      <c r="AS1464">
        <v>1</v>
      </c>
    </row>
    <row r="1465" spans="1:45" x14ac:dyDescent="0.2">
      <c r="A1465">
        <f t="shared" si="90"/>
        <v>2025</v>
      </c>
      <c r="B1465">
        <f t="shared" si="91"/>
        <v>11</v>
      </c>
      <c r="C1465">
        <f t="shared" si="92"/>
        <v>46</v>
      </c>
      <c r="D1465" s="2">
        <f t="shared" si="93"/>
        <v>45975</v>
      </c>
      <c r="E1465" s="1">
        <v>45975.458333333336</v>
      </c>
      <c r="F1465" t="s">
        <v>4666</v>
      </c>
      <c r="G1465" t="s">
        <v>36</v>
      </c>
      <c r="H1465" t="s">
        <v>111</v>
      </c>
      <c r="I1465" t="s">
        <v>38</v>
      </c>
      <c r="J1465" t="s">
        <v>99</v>
      </c>
      <c r="M1465" t="s">
        <v>40</v>
      </c>
      <c r="N1465" t="s">
        <v>41</v>
      </c>
      <c r="O1465" t="s">
        <v>42</v>
      </c>
      <c r="P1465">
        <v>23</v>
      </c>
      <c r="Q1465">
        <v>0</v>
      </c>
      <c r="R1465">
        <v>0</v>
      </c>
      <c r="S1465">
        <v>0</v>
      </c>
      <c r="T1465" t="s">
        <v>4667</v>
      </c>
      <c r="U1465" t="s">
        <v>44</v>
      </c>
      <c r="W1465" t="s">
        <v>4651</v>
      </c>
      <c r="Y1465">
        <v>0</v>
      </c>
      <c r="AA1465" t="s">
        <v>40</v>
      </c>
      <c r="AB1465" t="s">
        <v>46</v>
      </c>
      <c r="AC1465" t="s">
        <v>47</v>
      </c>
      <c r="AF1465" t="s">
        <v>48</v>
      </c>
      <c r="AJ1465" t="s">
        <v>40</v>
      </c>
      <c r="AK1465" t="s">
        <v>49</v>
      </c>
      <c r="AO1465" s="1">
        <v>45975</v>
      </c>
      <c r="AP1465" s="5">
        <v>0.45833333333333331</v>
      </c>
      <c r="AS1465">
        <v>1</v>
      </c>
    </row>
    <row r="1466" spans="1:45" x14ac:dyDescent="0.2">
      <c r="A1466">
        <f t="shared" si="90"/>
        <v>2025</v>
      </c>
      <c r="B1466">
        <f t="shared" si="91"/>
        <v>11</v>
      </c>
      <c r="C1466">
        <f t="shared" si="92"/>
        <v>46</v>
      </c>
      <c r="D1466" s="2">
        <f t="shared" si="93"/>
        <v>45975</v>
      </c>
      <c r="E1466" s="1">
        <v>45975.458333333336</v>
      </c>
      <c r="F1466" t="s">
        <v>4668</v>
      </c>
      <c r="G1466" t="s">
        <v>36</v>
      </c>
      <c r="H1466" t="s">
        <v>4669</v>
      </c>
      <c r="I1466" t="s">
        <v>38</v>
      </c>
      <c r="J1466" t="s">
        <v>1316</v>
      </c>
      <c r="M1466" t="s">
        <v>40</v>
      </c>
      <c r="N1466" t="s">
        <v>41</v>
      </c>
      <c r="O1466" t="s">
        <v>42</v>
      </c>
      <c r="P1466">
        <v>22</v>
      </c>
      <c r="Q1466">
        <v>0</v>
      </c>
      <c r="R1466">
        <v>0</v>
      </c>
      <c r="S1466">
        <v>0</v>
      </c>
      <c r="T1466" t="s">
        <v>4670</v>
      </c>
      <c r="U1466" t="s">
        <v>392</v>
      </c>
      <c r="W1466" t="s">
        <v>4648</v>
      </c>
      <c r="Y1466">
        <v>0</v>
      </c>
      <c r="AA1466" t="s">
        <v>40</v>
      </c>
      <c r="AB1466" t="s">
        <v>46</v>
      </c>
      <c r="AC1466" t="s">
        <v>47</v>
      </c>
      <c r="AF1466" t="s">
        <v>295</v>
      </c>
      <c r="AJ1466" t="s">
        <v>40</v>
      </c>
      <c r="AK1466" t="s">
        <v>49</v>
      </c>
      <c r="AO1466" s="1">
        <v>45975</v>
      </c>
      <c r="AP1466" s="5">
        <v>0.45833333333333331</v>
      </c>
      <c r="AS1466">
        <v>1</v>
      </c>
    </row>
    <row r="1467" spans="1:45" x14ac:dyDescent="0.2">
      <c r="A1467">
        <f t="shared" si="90"/>
        <v>2025</v>
      </c>
      <c r="B1467">
        <f t="shared" si="91"/>
        <v>11</v>
      </c>
      <c r="C1467">
        <f t="shared" si="92"/>
        <v>46</v>
      </c>
      <c r="D1467" s="2">
        <f t="shared" si="93"/>
        <v>45975</v>
      </c>
      <c r="E1467" s="1">
        <v>45975.5</v>
      </c>
      <c r="F1467" t="s">
        <v>4671</v>
      </c>
      <c r="G1467" t="s">
        <v>36</v>
      </c>
      <c r="H1467" t="s">
        <v>320</v>
      </c>
      <c r="I1467" t="s">
        <v>38</v>
      </c>
      <c r="J1467" t="s">
        <v>321</v>
      </c>
      <c r="M1467" t="s">
        <v>40</v>
      </c>
      <c r="N1467" t="s">
        <v>41</v>
      </c>
      <c r="O1467" t="s">
        <v>42</v>
      </c>
      <c r="P1467">
        <v>33</v>
      </c>
      <c r="Q1467">
        <v>0</v>
      </c>
      <c r="R1467">
        <v>0</v>
      </c>
      <c r="S1467">
        <v>0</v>
      </c>
      <c r="T1467">
        <v>5019373011</v>
      </c>
      <c r="U1467" t="s">
        <v>44</v>
      </c>
      <c r="W1467" t="s">
        <v>4641</v>
      </c>
      <c r="Y1467">
        <v>0</v>
      </c>
      <c r="AA1467" t="s">
        <v>40</v>
      </c>
      <c r="AB1467" t="s">
        <v>46</v>
      </c>
      <c r="AC1467" t="s">
        <v>47</v>
      </c>
      <c r="AF1467" t="s">
        <v>322</v>
      </c>
      <c r="AJ1467" t="s">
        <v>40</v>
      </c>
      <c r="AK1467" t="s">
        <v>49</v>
      </c>
      <c r="AO1467" s="1">
        <v>45975</v>
      </c>
      <c r="AP1467" s="5">
        <v>0.5</v>
      </c>
      <c r="AS1467">
        <v>1</v>
      </c>
    </row>
    <row r="1468" spans="1:45" x14ac:dyDescent="0.2">
      <c r="A1468">
        <f t="shared" si="90"/>
        <v>2025</v>
      </c>
      <c r="B1468">
        <f t="shared" si="91"/>
        <v>11</v>
      </c>
      <c r="C1468">
        <f t="shared" si="92"/>
        <v>46</v>
      </c>
      <c r="D1468" s="2">
        <f t="shared" si="93"/>
        <v>45975</v>
      </c>
      <c r="E1468" s="1">
        <v>45975.5</v>
      </c>
      <c r="F1468" t="s">
        <v>4672</v>
      </c>
      <c r="G1468" t="s">
        <v>36</v>
      </c>
      <c r="H1468" t="s">
        <v>111</v>
      </c>
      <c r="I1468" t="s">
        <v>38</v>
      </c>
      <c r="J1468" t="s">
        <v>99</v>
      </c>
      <c r="N1468" t="s">
        <v>41</v>
      </c>
      <c r="O1468" t="s">
        <v>42</v>
      </c>
      <c r="P1468">
        <v>21</v>
      </c>
      <c r="Q1468">
        <v>0</v>
      </c>
      <c r="R1468">
        <v>0</v>
      </c>
      <c r="S1468">
        <v>0</v>
      </c>
      <c r="T1468" t="s">
        <v>4673</v>
      </c>
      <c r="U1468" t="s">
        <v>44</v>
      </c>
      <c r="W1468" t="s">
        <v>4651</v>
      </c>
      <c r="Y1468">
        <v>0</v>
      </c>
      <c r="AA1468" t="s">
        <v>40</v>
      </c>
      <c r="AC1468" t="s">
        <v>47</v>
      </c>
      <c r="AF1468" t="s">
        <v>48</v>
      </c>
      <c r="AJ1468" t="s">
        <v>40</v>
      </c>
      <c r="AK1468" t="s">
        <v>49</v>
      </c>
      <c r="AO1468" s="1">
        <v>45975</v>
      </c>
      <c r="AP1468" s="5">
        <v>0.5</v>
      </c>
      <c r="AS1468">
        <v>1</v>
      </c>
    </row>
    <row r="1469" spans="1:45" x14ac:dyDescent="0.2">
      <c r="A1469">
        <f t="shared" si="90"/>
        <v>2025</v>
      </c>
      <c r="B1469">
        <f t="shared" si="91"/>
        <v>11</v>
      </c>
      <c r="C1469">
        <f t="shared" si="92"/>
        <v>46</v>
      </c>
      <c r="D1469" s="2">
        <f t="shared" si="93"/>
        <v>45975</v>
      </c>
      <c r="E1469" s="1">
        <v>45975.5</v>
      </c>
      <c r="F1469" t="s">
        <v>4674</v>
      </c>
      <c r="G1469" t="s">
        <v>36</v>
      </c>
      <c r="H1469">
        <v>470141</v>
      </c>
      <c r="I1469" t="s">
        <v>51</v>
      </c>
      <c r="J1469" t="s">
        <v>144</v>
      </c>
      <c r="M1469" t="s">
        <v>40</v>
      </c>
      <c r="N1469" t="s">
        <v>41</v>
      </c>
      <c r="O1469" t="s">
        <v>53</v>
      </c>
      <c r="P1469">
        <v>33</v>
      </c>
      <c r="Q1469">
        <v>0</v>
      </c>
      <c r="R1469">
        <v>0</v>
      </c>
      <c r="S1469">
        <v>0</v>
      </c>
      <c r="T1469" t="s">
        <v>54</v>
      </c>
      <c r="U1469" t="s">
        <v>55</v>
      </c>
      <c r="W1469" t="s">
        <v>4596</v>
      </c>
      <c r="X1469" t="s">
        <v>4675</v>
      </c>
      <c r="Y1469">
        <v>0</v>
      </c>
      <c r="AA1469" t="s">
        <v>40</v>
      </c>
      <c r="AB1469" t="s">
        <v>46</v>
      </c>
      <c r="AC1469" t="s">
        <v>47</v>
      </c>
      <c r="AG1469" t="s">
        <v>4676</v>
      </c>
      <c r="AJ1469" t="s">
        <v>40</v>
      </c>
      <c r="AK1469">
        <v>5019404576</v>
      </c>
      <c r="AL1469" t="s">
        <v>4677</v>
      </c>
      <c r="AM1469" t="s">
        <v>4678</v>
      </c>
      <c r="AO1469" s="1">
        <v>45975</v>
      </c>
      <c r="AP1469" s="5">
        <v>0.5</v>
      </c>
      <c r="AS1469">
        <v>1</v>
      </c>
    </row>
    <row r="1470" spans="1:45" x14ac:dyDescent="0.2">
      <c r="A1470">
        <f t="shared" si="90"/>
        <v>2025</v>
      </c>
      <c r="B1470">
        <f t="shared" si="91"/>
        <v>11</v>
      </c>
      <c r="C1470">
        <f t="shared" si="92"/>
        <v>46</v>
      </c>
      <c r="D1470" s="2">
        <f t="shared" si="93"/>
        <v>45975</v>
      </c>
      <c r="E1470" s="1">
        <v>45975.5</v>
      </c>
      <c r="F1470" t="s">
        <v>4679</v>
      </c>
      <c r="G1470" t="s">
        <v>36</v>
      </c>
      <c r="H1470">
        <v>470167</v>
      </c>
      <c r="I1470" t="s">
        <v>51</v>
      </c>
      <c r="J1470" t="s">
        <v>52</v>
      </c>
      <c r="M1470" t="s">
        <v>40</v>
      </c>
      <c r="N1470" t="s">
        <v>41</v>
      </c>
      <c r="O1470" t="s">
        <v>53</v>
      </c>
      <c r="P1470">
        <v>33</v>
      </c>
      <c r="Q1470">
        <v>0</v>
      </c>
      <c r="R1470">
        <v>0</v>
      </c>
      <c r="S1470">
        <v>0</v>
      </c>
      <c r="T1470" t="s">
        <v>54</v>
      </c>
      <c r="U1470" t="s">
        <v>55</v>
      </c>
      <c r="W1470" t="s">
        <v>4486</v>
      </c>
      <c r="Y1470">
        <v>0</v>
      </c>
      <c r="AA1470" t="s">
        <v>40</v>
      </c>
      <c r="AB1470" t="s">
        <v>46</v>
      </c>
      <c r="AC1470" t="s">
        <v>47</v>
      </c>
      <c r="AG1470" t="s">
        <v>4680</v>
      </c>
      <c r="AJ1470" t="s">
        <v>40</v>
      </c>
      <c r="AK1470">
        <v>5019400075</v>
      </c>
      <c r="AO1470" s="1">
        <v>45975</v>
      </c>
      <c r="AP1470" s="5">
        <v>0.5</v>
      </c>
      <c r="AS1470">
        <v>1</v>
      </c>
    </row>
    <row r="1471" spans="1:45" x14ac:dyDescent="0.2">
      <c r="A1471">
        <f t="shared" si="90"/>
        <v>2025</v>
      </c>
      <c r="B1471">
        <f t="shared" si="91"/>
        <v>11</v>
      </c>
      <c r="C1471">
        <f t="shared" si="92"/>
        <v>46</v>
      </c>
      <c r="D1471" s="2">
        <f t="shared" si="93"/>
        <v>45975</v>
      </c>
      <c r="E1471" s="1">
        <v>45975.541666666664</v>
      </c>
      <c r="F1471" t="s">
        <v>4681</v>
      </c>
      <c r="G1471" t="s">
        <v>36</v>
      </c>
      <c r="H1471">
        <v>467241</v>
      </c>
      <c r="I1471" t="s">
        <v>51</v>
      </c>
      <c r="J1471" t="s">
        <v>154</v>
      </c>
      <c r="M1471" t="s">
        <v>40</v>
      </c>
      <c r="N1471" t="s">
        <v>41</v>
      </c>
      <c r="O1471" t="s">
        <v>155</v>
      </c>
      <c r="P1471">
        <v>33</v>
      </c>
      <c r="Q1471">
        <v>0</v>
      </c>
      <c r="R1471">
        <v>0</v>
      </c>
      <c r="S1471">
        <v>0</v>
      </c>
      <c r="T1471" t="s">
        <v>54</v>
      </c>
      <c r="U1471" t="s">
        <v>55</v>
      </c>
      <c r="W1471" t="s">
        <v>4682</v>
      </c>
      <c r="Y1471">
        <v>0</v>
      </c>
      <c r="AA1471" t="s">
        <v>40</v>
      </c>
      <c r="AB1471" t="s">
        <v>46</v>
      </c>
      <c r="AC1471" t="s">
        <v>47</v>
      </c>
      <c r="AG1471" t="s">
        <v>4683</v>
      </c>
      <c r="AJ1471" t="s">
        <v>40</v>
      </c>
      <c r="AK1471">
        <v>5019402582</v>
      </c>
      <c r="AO1471" s="1">
        <v>45975</v>
      </c>
      <c r="AP1471" s="5">
        <v>0.54166666666666663</v>
      </c>
      <c r="AS1471">
        <v>1</v>
      </c>
    </row>
    <row r="1472" spans="1:45" x14ac:dyDescent="0.2">
      <c r="A1472">
        <f t="shared" si="90"/>
        <v>2025</v>
      </c>
      <c r="B1472">
        <f t="shared" si="91"/>
        <v>11</v>
      </c>
      <c r="C1472">
        <f t="shared" si="92"/>
        <v>46</v>
      </c>
      <c r="D1472" s="2">
        <f t="shared" si="93"/>
        <v>45975</v>
      </c>
      <c r="E1472" s="1">
        <v>45975.541666666664</v>
      </c>
      <c r="F1472" t="s">
        <v>4684</v>
      </c>
      <c r="G1472" t="s">
        <v>36</v>
      </c>
      <c r="H1472" t="s">
        <v>1223</v>
      </c>
      <c r="I1472" t="s">
        <v>38</v>
      </c>
      <c r="J1472" t="s">
        <v>4685</v>
      </c>
      <c r="M1472" t="s">
        <v>40</v>
      </c>
      <c r="N1472" t="s">
        <v>41</v>
      </c>
      <c r="O1472" t="s">
        <v>42</v>
      </c>
      <c r="P1472">
        <v>1</v>
      </c>
      <c r="Q1472">
        <v>0</v>
      </c>
      <c r="R1472">
        <v>0</v>
      </c>
      <c r="S1472">
        <v>0</v>
      </c>
      <c r="T1472">
        <v>5019337218</v>
      </c>
      <c r="U1472" t="s">
        <v>44</v>
      </c>
      <c r="W1472" t="s">
        <v>4641</v>
      </c>
      <c r="Y1472">
        <v>0</v>
      </c>
      <c r="AA1472" t="s">
        <v>40</v>
      </c>
      <c r="AB1472" t="s">
        <v>46</v>
      </c>
      <c r="AC1472" t="s">
        <v>47</v>
      </c>
      <c r="AF1472" t="s">
        <v>4686</v>
      </c>
      <c r="AJ1472" t="s">
        <v>40</v>
      </c>
      <c r="AK1472" t="s">
        <v>49</v>
      </c>
      <c r="AO1472" s="1">
        <v>45975</v>
      </c>
      <c r="AP1472" s="5">
        <v>0.54166666666666663</v>
      </c>
      <c r="AS1472">
        <v>1</v>
      </c>
    </row>
    <row r="1473" spans="1:45" x14ac:dyDescent="0.2">
      <c r="A1473">
        <f t="shared" si="90"/>
        <v>2025</v>
      </c>
      <c r="B1473">
        <f t="shared" si="91"/>
        <v>11</v>
      </c>
      <c r="C1473">
        <f t="shared" si="92"/>
        <v>46</v>
      </c>
      <c r="D1473" s="2">
        <f t="shared" si="93"/>
        <v>45975</v>
      </c>
      <c r="E1473" s="1">
        <v>45975.541666666664</v>
      </c>
      <c r="F1473" t="s">
        <v>4687</v>
      </c>
      <c r="G1473" t="s">
        <v>36</v>
      </c>
      <c r="H1473" t="s">
        <v>320</v>
      </c>
      <c r="I1473" t="s">
        <v>38</v>
      </c>
      <c r="J1473" t="s">
        <v>321</v>
      </c>
      <c r="M1473" t="s">
        <v>40</v>
      </c>
      <c r="N1473" t="s">
        <v>41</v>
      </c>
      <c r="O1473" t="s">
        <v>42</v>
      </c>
      <c r="P1473">
        <v>33</v>
      </c>
      <c r="Q1473">
        <v>0</v>
      </c>
      <c r="R1473">
        <v>0</v>
      </c>
      <c r="S1473">
        <v>0</v>
      </c>
      <c r="T1473">
        <v>5019384738</v>
      </c>
      <c r="U1473" t="s">
        <v>44</v>
      </c>
      <c r="W1473" t="s">
        <v>4641</v>
      </c>
      <c r="Y1473">
        <v>0</v>
      </c>
      <c r="AA1473" t="s">
        <v>40</v>
      </c>
      <c r="AB1473" t="s">
        <v>46</v>
      </c>
      <c r="AC1473" t="s">
        <v>47</v>
      </c>
      <c r="AF1473" t="s">
        <v>322</v>
      </c>
      <c r="AJ1473" t="s">
        <v>40</v>
      </c>
      <c r="AK1473" t="s">
        <v>49</v>
      </c>
      <c r="AO1473" s="1">
        <v>45975</v>
      </c>
      <c r="AP1473" s="5">
        <v>0.54166666666666663</v>
      </c>
      <c r="AS1473">
        <v>1</v>
      </c>
    </row>
    <row r="1474" spans="1:45" x14ac:dyDescent="0.2">
      <c r="A1474">
        <f t="shared" ref="A1474:A1491" si="94">YEAR(D1474)</f>
        <v>2025</v>
      </c>
      <c r="B1474">
        <f t="shared" ref="B1474:B1491" si="95">MONTH(D1474)</f>
        <v>11</v>
      </c>
      <c r="C1474">
        <f t="shared" ref="C1474:C1491" si="96">WEEKNUM(D1474)</f>
        <v>46</v>
      </c>
      <c r="D1474" s="2">
        <f t="shared" ref="D1474:D1491" si="97">INT(E1474)</f>
        <v>45975</v>
      </c>
      <c r="E1474" s="1">
        <v>45975.541666666664</v>
      </c>
      <c r="F1474" t="s">
        <v>4688</v>
      </c>
      <c r="G1474" t="s">
        <v>36</v>
      </c>
      <c r="H1474" t="s">
        <v>111</v>
      </c>
      <c r="I1474" t="s">
        <v>38</v>
      </c>
      <c r="J1474" t="s">
        <v>99</v>
      </c>
      <c r="M1474" t="s">
        <v>40</v>
      </c>
      <c r="N1474" t="s">
        <v>41</v>
      </c>
      <c r="O1474" t="s">
        <v>42</v>
      </c>
      <c r="P1474">
        <v>23</v>
      </c>
      <c r="Q1474">
        <v>0</v>
      </c>
      <c r="R1474">
        <v>0</v>
      </c>
      <c r="S1474">
        <v>0</v>
      </c>
      <c r="T1474" t="s">
        <v>4689</v>
      </c>
      <c r="U1474" t="s">
        <v>44</v>
      </c>
      <c r="W1474" t="s">
        <v>4690</v>
      </c>
      <c r="Y1474">
        <v>0</v>
      </c>
      <c r="AA1474" t="s">
        <v>40</v>
      </c>
      <c r="AB1474" t="s">
        <v>46</v>
      </c>
      <c r="AC1474" t="s">
        <v>47</v>
      </c>
      <c r="AF1474" t="s">
        <v>48</v>
      </c>
      <c r="AJ1474" t="s">
        <v>40</v>
      </c>
      <c r="AK1474" t="s">
        <v>49</v>
      </c>
      <c r="AO1474" s="1">
        <v>45975</v>
      </c>
      <c r="AP1474" s="5">
        <v>0.54166666666666663</v>
      </c>
      <c r="AS1474">
        <v>1</v>
      </c>
    </row>
    <row r="1475" spans="1:45" x14ac:dyDescent="0.2">
      <c r="A1475">
        <f t="shared" si="94"/>
        <v>2025</v>
      </c>
      <c r="B1475">
        <f t="shared" si="95"/>
        <v>11</v>
      </c>
      <c r="C1475">
        <f t="shared" si="96"/>
        <v>46</v>
      </c>
      <c r="D1475" s="2">
        <f t="shared" si="97"/>
        <v>45975</v>
      </c>
      <c r="E1475" s="1">
        <v>45975.583333333336</v>
      </c>
      <c r="F1475" t="s">
        <v>4691</v>
      </c>
      <c r="G1475" t="s">
        <v>36</v>
      </c>
      <c r="H1475" t="s">
        <v>239</v>
      </c>
      <c r="I1475" t="s">
        <v>38</v>
      </c>
      <c r="J1475" t="s">
        <v>240</v>
      </c>
      <c r="M1475" t="s">
        <v>40</v>
      </c>
      <c r="N1475" t="s">
        <v>41</v>
      </c>
      <c r="O1475" t="s">
        <v>42</v>
      </c>
      <c r="P1475">
        <v>30</v>
      </c>
      <c r="Q1475">
        <v>0</v>
      </c>
      <c r="R1475">
        <v>0</v>
      </c>
      <c r="S1475">
        <v>0</v>
      </c>
      <c r="T1475" t="s">
        <v>4692</v>
      </c>
      <c r="U1475" t="s">
        <v>44</v>
      </c>
      <c r="W1475" t="s">
        <v>4641</v>
      </c>
      <c r="Y1475">
        <v>0</v>
      </c>
      <c r="AA1475" t="s">
        <v>40</v>
      </c>
      <c r="AB1475" t="s">
        <v>46</v>
      </c>
      <c r="AC1475" t="s">
        <v>47</v>
      </c>
      <c r="AF1475" t="s">
        <v>242</v>
      </c>
      <c r="AJ1475" t="s">
        <v>40</v>
      </c>
      <c r="AK1475" t="s">
        <v>49</v>
      </c>
      <c r="AO1475" s="1">
        <v>45975</v>
      </c>
      <c r="AP1475" s="5">
        <v>0.58333333333333337</v>
      </c>
      <c r="AS1475">
        <v>1</v>
      </c>
    </row>
    <row r="1476" spans="1:45" x14ac:dyDescent="0.2">
      <c r="A1476">
        <f t="shared" si="94"/>
        <v>2025</v>
      </c>
      <c r="B1476">
        <f t="shared" si="95"/>
        <v>11</v>
      </c>
      <c r="C1476">
        <f t="shared" si="96"/>
        <v>46</v>
      </c>
      <c r="D1476" s="2">
        <f t="shared" si="97"/>
        <v>45975</v>
      </c>
      <c r="E1476" s="1">
        <v>45975.583333333336</v>
      </c>
      <c r="F1476" t="s">
        <v>4693</v>
      </c>
      <c r="G1476" t="s">
        <v>36</v>
      </c>
      <c r="H1476" t="s">
        <v>111</v>
      </c>
      <c r="I1476" t="s">
        <v>38</v>
      </c>
      <c r="J1476" t="s">
        <v>99</v>
      </c>
      <c r="M1476" t="s">
        <v>40</v>
      </c>
      <c r="N1476" t="s">
        <v>41</v>
      </c>
      <c r="O1476" t="s">
        <v>42</v>
      </c>
      <c r="P1476">
        <v>23</v>
      </c>
      <c r="Q1476">
        <v>0</v>
      </c>
      <c r="R1476">
        <v>0</v>
      </c>
      <c r="S1476">
        <v>0</v>
      </c>
      <c r="T1476" t="s">
        <v>4694</v>
      </c>
      <c r="U1476" t="s">
        <v>101</v>
      </c>
      <c r="W1476" t="s">
        <v>4664</v>
      </c>
      <c r="Y1476">
        <v>0</v>
      </c>
      <c r="AA1476" t="s">
        <v>40</v>
      </c>
      <c r="AB1476" t="s">
        <v>46</v>
      </c>
      <c r="AC1476" t="s">
        <v>47</v>
      </c>
      <c r="AF1476" t="s">
        <v>48</v>
      </c>
      <c r="AJ1476" t="s">
        <v>40</v>
      </c>
      <c r="AK1476" t="s">
        <v>49</v>
      </c>
      <c r="AO1476" s="1">
        <v>45975</v>
      </c>
      <c r="AP1476" s="5">
        <v>0.58333333333333337</v>
      </c>
      <c r="AS1476">
        <v>1</v>
      </c>
    </row>
    <row r="1477" spans="1:45" x14ac:dyDescent="0.2">
      <c r="A1477">
        <f t="shared" si="94"/>
        <v>2025</v>
      </c>
      <c r="B1477">
        <f t="shared" si="95"/>
        <v>11</v>
      </c>
      <c r="C1477">
        <f t="shared" si="96"/>
        <v>46</v>
      </c>
      <c r="D1477" s="2">
        <f t="shared" si="97"/>
        <v>45975</v>
      </c>
      <c r="E1477" s="1">
        <v>45975.583333333336</v>
      </c>
      <c r="F1477" t="s">
        <v>4695</v>
      </c>
      <c r="G1477" t="s">
        <v>36</v>
      </c>
      <c r="H1477" t="s">
        <v>320</v>
      </c>
      <c r="I1477" t="s">
        <v>38</v>
      </c>
      <c r="J1477" t="s">
        <v>321</v>
      </c>
      <c r="M1477" t="s">
        <v>40</v>
      </c>
      <c r="N1477" t="s">
        <v>41</v>
      </c>
      <c r="O1477" t="s">
        <v>42</v>
      </c>
      <c r="P1477">
        <v>33</v>
      </c>
      <c r="Q1477">
        <v>0</v>
      </c>
      <c r="R1477">
        <v>0</v>
      </c>
      <c r="S1477">
        <v>0</v>
      </c>
      <c r="T1477">
        <v>5019378943</v>
      </c>
      <c r="U1477" t="s">
        <v>44</v>
      </c>
      <c r="W1477" t="s">
        <v>4641</v>
      </c>
      <c r="Y1477">
        <v>0</v>
      </c>
      <c r="AA1477" t="s">
        <v>40</v>
      </c>
      <c r="AB1477" t="s">
        <v>46</v>
      </c>
      <c r="AC1477" t="s">
        <v>47</v>
      </c>
      <c r="AF1477" t="s">
        <v>322</v>
      </c>
      <c r="AJ1477" t="s">
        <v>40</v>
      </c>
      <c r="AK1477" t="s">
        <v>49</v>
      </c>
      <c r="AO1477" s="1">
        <v>45975</v>
      </c>
      <c r="AP1477" s="5">
        <v>0.58333333333333337</v>
      </c>
      <c r="AS1477">
        <v>1</v>
      </c>
    </row>
    <row r="1478" spans="1:45" x14ac:dyDescent="0.2">
      <c r="A1478">
        <f t="shared" si="94"/>
        <v>2025</v>
      </c>
      <c r="B1478">
        <f t="shared" si="95"/>
        <v>11</v>
      </c>
      <c r="C1478">
        <f t="shared" si="96"/>
        <v>46</v>
      </c>
      <c r="D1478" s="2">
        <f t="shared" si="97"/>
        <v>45975</v>
      </c>
      <c r="E1478" s="1">
        <v>45975.625</v>
      </c>
      <c r="F1478" t="s">
        <v>4696</v>
      </c>
      <c r="G1478" t="s">
        <v>36</v>
      </c>
      <c r="H1478">
        <v>467210</v>
      </c>
      <c r="I1478" t="s">
        <v>51</v>
      </c>
      <c r="J1478" t="s">
        <v>1059</v>
      </c>
      <c r="M1478" t="s">
        <v>40</v>
      </c>
      <c r="N1478" t="s">
        <v>41</v>
      </c>
      <c r="O1478" t="s">
        <v>127</v>
      </c>
      <c r="P1478">
        <v>33</v>
      </c>
      <c r="Q1478">
        <v>0</v>
      </c>
      <c r="R1478">
        <v>0</v>
      </c>
      <c r="S1478">
        <v>0</v>
      </c>
      <c r="T1478" t="s">
        <v>54</v>
      </c>
      <c r="U1478" t="s">
        <v>55</v>
      </c>
      <c r="W1478" t="s">
        <v>4697</v>
      </c>
      <c r="Y1478">
        <v>0</v>
      </c>
      <c r="AA1478" t="s">
        <v>40</v>
      </c>
      <c r="AB1478" t="s">
        <v>46</v>
      </c>
      <c r="AC1478" t="s">
        <v>47</v>
      </c>
      <c r="AG1478" t="s">
        <v>4698</v>
      </c>
      <c r="AJ1478" t="s">
        <v>40</v>
      </c>
      <c r="AK1478">
        <v>5019404495</v>
      </c>
      <c r="AO1478" s="1">
        <v>45975</v>
      </c>
      <c r="AP1478" s="5">
        <v>0.625</v>
      </c>
      <c r="AS1478">
        <v>1</v>
      </c>
    </row>
    <row r="1479" spans="1:45" x14ac:dyDescent="0.2">
      <c r="A1479">
        <f t="shared" si="94"/>
        <v>2025</v>
      </c>
      <c r="B1479">
        <f t="shared" si="95"/>
        <v>11</v>
      </c>
      <c r="C1479">
        <f t="shared" si="96"/>
        <v>46</v>
      </c>
      <c r="D1479" s="2">
        <f t="shared" si="97"/>
        <v>45975</v>
      </c>
      <c r="E1479" s="1">
        <v>45975.625</v>
      </c>
      <c r="F1479" t="s">
        <v>4699</v>
      </c>
      <c r="G1479" t="s">
        <v>36</v>
      </c>
      <c r="H1479" t="s">
        <v>111</v>
      </c>
      <c r="I1479" t="s">
        <v>38</v>
      </c>
      <c r="J1479" t="s">
        <v>99</v>
      </c>
      <c r="M1479" t="s">
        <v>40</v>
      </c>
      <c r="N1479" t="s">
        <v>41</v>
      </c>
      <c r="O1479" t="s">
        <v>42</v>
      </c>
      <c r="P1479">
        <v>9</v>
      </c>
      <c r="Q1479">
        <v>0</v>
      </c>
      <c r="R1479">
        <v>0</v>
      </c>
      <c r="S1479">
        <v>0</v>
      </c>
      <c r="T1479" t="s">
        <v>4700</v>
      </c>
      <c r="U1479" t="s">
        <v>101</v>
      </c>
      <c r="W1479" t="s">
        <v>4651</v>
      </c>
      <c r="Y1479">
        <v>0</v>
      </c>
      <c r="AA1479" t="s">
        <v>40</v>
      </c>
      <c r="AB1479" t="s">
        <v>46</v>
      </c>
      <c r="AC1479" t="s">
        <v>47</v>
      </c>
      <c r="AF1479" t="s">
        <v>48</v>
      </c>
      <c r="AJ1479" t="s">
        <v>40</v>
      </c>
      <c r="AK1479" t="s">
        <v>49</v>
      </c>
      <c r="AO1479" s="1">
        <v>45975</v>
      </c>
      <c r="AP1479" s="5">
        <v>0.625</v>
      </c>
      <c r="AS1479">
        <v>1</v>
      </c>
    </row>
    <row r="1480" spans="1:45" x14ac:dyDescent="0.2">
      <c r="A1480">
        <f t="shared" si="94"/>
        <v>2025</v>
      </c>
      <c r="B1480">
        <f t="shared" si="95"/>
        <v>11</v>
      </c>
      <c r="C1480">
        <f t="shared" si="96"/>
        <v>46</v>
      </c>
      <c r="D1480" s="2">
        <f t="shared" si="97"/>
        <v>45975</v>
      </c>
      <c r="E1480" s="1">
        <v>45975.666666666664</v>
      </c>
      <c r="F1480" t="s">
        <v>4701</v>
      </c>
      <c r="G1480" t="s">
        <v>36</v>
      </c>
      <c r="H1480" t="s">
        <v>111</v>
      </c>
      <c r="I1480" t="s">
        <v>38</v>
      </c>
      <c r="J1480" t="s">
        <v>99</v>
      </c>
      <c r="M1480" t="s">
        <v>40</v>
      </c>
      <c r="N1480" t="s">
        <v>41</v>
      </c>
      <c r="O1480" t="s">
        <v>42</v>
      </c>
      <c r="P1480">
        <v>23</v>
      </c>
      <c r="Q1480">
        <v>0</v>
      </c>
      <c r="R1480">
        <v>0</v>
      </c>
      <c r="S1480">
        <v>0</v>
      </c>
      <c r="T1480" t="s">
        <v>4702</v>
      </c>
      <c r="U1480" t="s">
        <v>44</v>
      </c>
      <c r="W1480" t="s">
        <v>4703</v>
      </c>
      <c r="Y1480">
        <v>0</v>
      </c>
      <c r="AA1480" t="s">
        <v>40</v>
      </c>
      <c r="AB1480" t="s">
        <v>46</v>
      </c>
      <c r="AC1480" t="s">
        <v>47</v>
      </c>
      <c r="AF1480" t="s">
        <v>48</v>
      </c>
      <c r="AJ1480" t="s">
        <v>40</v>
      </c>
      <c r="AK1480" t="s">
        <v>49</v>
      </c>
      <c r="AO1480" s="1">
        <v>45975</v>
      </c>
      <c r="AP1480" s="5">
        <v>0.66666666666666663</v>
      </c>
      <c r="AS1480">
        <v>1</v>
      </c>
    </row>
    <row r="1481" spans="1:45" x14ac:dyDescent="0.2">
      <c r="A1481">
        <f t="shared" si="94"/>
        <v>2025</v>
      </c>
      <c r="B1481">
        <f t="shared" si="95"/>
        <v>11</v>
      </c>
      <c r="C1481">
        <f t="shared" si="96"/>
        <v>46</v>
      </c>
      <c r="D1481" s="2">
        <f t="shared" si="97"/>
        <v>45975</v>
      </c>
      <c r="E1481" s="1">
        <v>45975.666666666664</v>
      </c>
      <c r="F1481" t="s">
        <v>4704</v>
      </c>
      <c r="G1481" t="s">
        <v>36</v>
      </c>
      <c r="H1481" t="s">
        <v>4705</v>
      </c>
      <c r="I1481" t="s">
        <v>78</v>
      </c>
      <c r="J1481" t="s">
        <v>163</v>
      </c>
      <c r="M1481" t="s">
        <v>40</v>
      </c>
      <c r="N1481" t="s">
        <v>41</v>
      </c>
      <c r="O1481" t="s">
        <v>356</v>
      </c>
      <c r="P1481">
        <v>66</v>
      </c>
      <c r="Q1481">
        <v>0</v>
      </c>
      <c r="R1481">
        <v>0</v>
      </c>
      <c r="S1481">
        <v>0</v>
      </c>
      <c r="T1481" t="s">
        <v>54</v>
      </c>
      <c r="U1481" t="s">
        <v>55</v>
      </c>
      <c r="W1481" t="s">
        <v>4544</v>
      </c>
      <c r="Y1481">
        <v>0</v>
      </c>
      <c r="AA1481" t="s">
        <v>40</v>
      </c>
      <c r="AB1481" t="s">
        <v>46</v>
      </c>
      <c r="AC1481" t="s">
        <v>47</v>
      </c>
      <c r="AD1481" t="s">
        <v>81</v>
      </c>
      <c r="AE1481" t="s">
        <v>81</v>
      </c>
      <c r="AG1481" t="s">
        <v>4706</v>
      </c>
      <c r="AJ1481" t="s">
        <v>40</v>
      </c>
      <c r="AK1481" t="s">
        <v>4707</v>
      </c>
      <c r="AO1481" s="1">
        <v>45975</v>
      </c>
      <c r="AP1481" s="5">
        <v>0.66666666666666663</v>
      </c>
      <c r="AS1481">
        <v>1</v>
      </c>
    </row>
    <row r="1482" spans="1:45" x14ac:dyDescent="0.2">
      <c r="A1482">
        <f t="shared" si="94"/>
        <v>2025</v>
      </c>
      <c r="B1482">
        <f t="shared" si="95"/>
        <v>11</v>
      </c>
      <c r="C1482">
        <f t="shared" si="96"/>
        <v>46</v>
      </c>
      <c r="D1482" s="2">
        <f t="shared" si="97"/>
        <v>45975</v>
      </c>
      <c r="E1482" s="1">
        <v>45975.666666666664</v>
      </c>
      <c r="F1482" t="s">
        <v>4708</v>
      </c>
      <c r="G1482" t="s">
        <v>36</v>
      </c>
      <c r="H1482" t="s">
        <v>2379</v>
      </c>
      <c r="I1482" t="s">
        <v>38</v>
      </c>
      <c r="J1482" t="s">
        <v>2380</v>
      </c>
      <c r="M1482" t="s">
        <v>40</v>
      </c>
      <c r="N1482" t="s">
        <v>41</v>
      </c>
      <c r="O1482" t="s">
        <v>42</v>
      </c>
      <c r="P1482">
        <v>33</v>
      </c>
      <c r="Q1482">
        <v>0</v>
      </c>
      <c r="R1482">
        <v>0</v>
      </c>
      <c r="S1482">
        <v>0</v>
      </c>
      <c r="T1482">
        <v>90010911</v>
      </c>
      <c r="U1482" t="s">
        <v>44</v>
      </c>
      <c r="W1482" t="s">
        <v>4641</v>
      </c>
      <c r="Y1482">
        <v>0</v>
      </c>
      <c r="AA1482" t="s">
        <v>40</v>
      </c>
      <c r="AB1482" t="s">
        <v>46</v>
      </c>
      <c r="AC1482" t="s">
        <v>47</v>
      </c>
      <c r="AF1482" t="s">
        <v>2381</v>
      </c>
      <c r="AJ1482" t="s">
        <v>40</v>
      </c>
      <c r="AK1482" t="s">
        <v>49</v>
      </c>
      <c r="AO1482" s="1">
        <v>45975</v>
      </c>
      <c r="AP1482" s="5">
        <v>0.66666666666666663</v>
      </c>
      <c r="AS1482">
        <v>1</v>
      </c>
    </row>
    <row r="1483" spans="1:45" x14ac:dyDescent="0.2">
      <c r="A1483">
        <f t="shared" si="94"/>
        <v>2025</v>
      </c>
      <c r="B1483">
        <f t="shared" si="95"/>
        <v>11</v>
      </c>
      <c r="C1483">
        <f t="shared" si="96"/>
        <v>46</v>
      </c>
      <c r="D1483" s="2">
        <f t="shared" si="97"/>
        <v>45975</v>
      </c>
      <c r="E1483" s="1">
        <v>45975.666666666664</v>
      </c>
      <c r="F1483" t="s">
        <v>4709</v>
      </c>
      <c r="G1483" t="s">
        <v>36</v>
      </c>
      <c r="H1483">
        <v>467230</v>
      </c>
      <c r="I1483" t="s">
        <v>51</v>
      </c>
      <c r="J1483" t="s">
        <v>154</v>
      </c>
      <c r="M1483" t="s">
        <v>40</v>
      </c>
      <c r="N1483" t="s">
        <v>41</v>
      </c>
      <c r="O1483" t="s">
        <v>155</v>
      </c>
      <c r="P1483">
        <v>33</v>
      </c>
      <c r="Q1483">
        <v>0</v>
      </c>
      <c r="R1483">
        <v>0</v>
      </c>
      <c r="S1483">
        <v>0</v>
      </c>
      <c r="T1483" t="s">
        <v>54</v>
      </c>
      <c r="U1483" t="s">
        <v>55</v>
      </c>
      <c r="W1483" t="s">
        <v>4682</v>
      </c>
      <c r="Y1483">
        <v>0</v>
      </c>
      <c r="AA1483" t="s">
        <v>40</v>
      </c>
      <c r="AB1483" t="s">
        <v>46</v>
      </c>
      <c r="AC1483" t="s">
        <v>47</v>
      </c>
      <c r="AG1483" t="s">
        <v>4710</v>
      </c>
      <c r="AJ1483" t="s">
        <v>40</v>
      </c>
      <c r="AK1483">
        <v>5019402583</v>
      </c>
      <c r="AO1483" s="1">
        <v>45975</v>
      </c>
      <c r="AP1483" s="5">
        <v>0.66666666666666663</v>
      </c>
      <c r="AS1483">
        <v>1</v>
      </c>
    </row>
    <row r="1484" spans="1:45" x14ac:dyDescent="0.2">
      <c r="A1484">
        <f t="shared" si="94"/>
        <v>2025</v>
      </c>
      <c r="B1484">
        <f t="shared" si="95"/>
        <v>11</v>
      </c>
      <c r="C1484">
        <f t="shared" si="96"/>
        <v>46</v>
      </c>
      <c r="D1484" s="2">
        <f t="shared" si="97"/>
        <v>45975</v>
      </c>
      <c r="E1484" s="1">
        <v>45975.708333333336</v>
      </c>
      <c r="F1484" t="s">
        <v>4711</v>
      </c>
      <c r="G1484" t="s">
        <v>36</v>
      </c>
      <c r="H1484">
        <v>467231</v>
      </c>
      <c r="I1484" t="s">
        <v>51</v>
      </c>
      <c r="J1484" t="s">
        <v>1059</v>
      </c>
      <c r="M1484" t="s">
        <v>40</v>
      </c>
      <c r="N1484" t="s">
        <v>41</v>
      </c>
      <c r="O1484" t="s">
        <v>1060</v>
      </c>
      <c r="P1484">
        <v>33</v>
      </c>
      <c r="Q1484">
        <v>0</v>
      </c>
      <c r="R1484">
        <v>0</v>
      </c>
      <c r="S1484">
        <v>0</v>
      </c>
      <c r="T1484" t="s">
        <v>54</v>
      </c>
      <c r="U1484" t="s">
        <v>55</v>
      </c>
      <c r="W1484" t="s">
        <v>4602</v>
      </c>
      <c r="Y1484">
        <v>0</v>
      </c>
      <c r="AA1484" t="s">
        <v>40</v>
      </c>
      <c r="AB1484" t="s">
        <v>46</v>
      </c>
      <c r="AC1484" t="s">
        <v>47</v>
      </c>
      <c r="AG1484" t="s">
        <v>4712</v>
      </c>
      <c r="AJ1484" t="s">
        <v>40</v>
      </c>
      <c r="AK1484">
        <v>5019394830</v>
      </c>
      <c r="AO1484" s="1">
        <v>45975</v>
      </c>
      <c r="AP1484" s="5">
        <v>0.70833333333333337</v>
      </c>
      <c r="AS1484">
        <v>1</v>
      </c>
    </row>
    <row r="1485" spans="1:45" x14ac:dyDescent="0.2">
      <c r="A1485">
        <f t="shared" si="94"/>
        <v>2025</v>
      </c>
      <c r="B1485">
        <f t="shared" si="95"/>
        <v>11</v>
      </c>
      <c r="C1485">
        <f t="shared" si="96"/>
        <v>46</v>
      </c>
      <c r="D1485" s="2">
        <f t="shared" si="97"/>
        <v>45975</v>
      </c>
      <c r="E1485" s="1">
        <v>45975.708333333336</v>
      </c>
      <c r="F1485" t="s">
        <v>4713</v>
      </c>
      <c r="G1485" t="s">
        <v>36</v>
      </c>
      <c r="H1485">
        <v>467212</v>
      </c>
      <c r="I1485" t="s">
        <v>51</v>
      </c>
      <c r="J1485" t="s">
        <v>2580</v>
      </c>
      <c r="M1485" t="s">
        <v>40</v>
      </c>
      <c r="N1485" t="s">
        <v>41</v>
      </c>
      <c r="O1485" t="s">
        <v>182</v>
      </c>
      <c r="P1485">
        <v>33</v>
      </c>
      <c r="Q1485">
        <v>0</v>
      </c>
      <c r="R1485">
        <v>0</v>
      </c>
      <c r="S1485">
        <v>0</v>
      </c>
      <c r="T1485" t="s">
        <v>54</v>
      </c>
      <c r="U1485" t="s">
        <v>55</v>
      </c>
      <c r="W1485" t="s">
        <v>4714</v>
      </c>
      <c r="Y1485">
        <v>0</v>
      </c>
      <c r="AA1485" t="s">
        <v>40</v>
      </c>
      <c r="AB1485" t="s">
        <v>46</v>
      </c>
      <c r="AC1485" t="s">
        <v>47</v>
      </c>
      <c r="AG1485" t="s">
        <v>4715</v>
      </c>
      <c r="AJ1485" t="s">
        <v>40</v>
      </c>
      <c r="AK1485">
        <v>5019410425</v>
      </c>
      <c r="AO1485" s="1">
        <v>45975</v>
      </c>
      <c r="AP1485" s="5">
        <v>0.70833333333333337</v>
      </c>
      <c r="AS1485">
        <v>1</v>
      </c>
    </row>
    <row r="1486" spans="1:45" x14ac:dyDescent="0.2">
      <c r="A1486">
        <f t="shared" si="94"/>
        <v>2025</v>
      </c>
      <c r="B1486">
        <f t="shared" si="95"/>
        <v>11</v>
      </c>
      <c r="C1486">
        <f t="shared" si="96"/>
        <v>46</v>
      </c>
      <c r="D1486" s="2">
        <f t="shared" si="97"/>
        <v>45975</v>
      </c>
      <c r="E1486" s="1">
        <v>45975.708333333336</v>
      </c>
      <c r="F1486" t="s">
        <v>4716</v>
      </c>
      <c r="G1486" t="s">
        <v>36</v>
      </c>
      <c r="H1486" t="s">
        <v>111</v>
      </c>
      <c r="I1486" t="s">
        <v>38</v>
      </c>
      <c r="J1486" t="s">
        <v>99</v>
      </c>
      <c r="M1486" t="s">
        <v>40</v>
      </c>
      <c r="N1486" t="s">
        <v>41</v>
      </c>
      <c r="O1486" t="s">
        <v>42</v>
      </c>
      <c r="P1486">
        <v>23</v>
      </c>
      <c r="Q1486">
        <v>0</v>
      </c>
      <c r="R1486">
        <v>0</v>
      </c>
      <c r="S1486">
        <v>0</v>
      </c>
      <c r="T1486" t="s">
        <v>4717</v>
      </c>
      <c r="U1486" t="s">
        <v>44</v>
      </c>
      <c r="W1486" t="s">
        <v>4718</v>
      </c>
      <c r="Y1486">
        <v>0</v>
      </c>
      <c r="AA1486" t="s">
        <v>40</v>
      </c>
      <c r="AB1486" t="s">
        <v>46</v>
      </c>
      <c r="AC1486" t="s">
        <v>47</v>
      </c>
      <c r="AF1486" t="s">
        <v>48</v>
      </c>
      <c r="AJ1486" t="s">
        <v>40</v>
      </c>
      <c r="AK1486" t="s">
        <v>49</v>
      </c>
      <c r="AO1486" s="1">
        <v>45975</v>
      </c>
      <c r="AP1486" s="5">
        <v>0.70833333333333337</v>
      </c>
      <c r="AS1486">
        <v>1</v>
      </c>
    </row>
    <row r="1487" spans="1:45" x14ac:dyDescent="0.2">
      <c r="A1487">
        <f t="shared" si="94"/>
        <v>2025</v>
      </c>
      <c r="B1487">
        <f t="shared" si="95"/>
        <v>11</v>
      </c>
      <c r="C1487">
        <f t="shared" si="96"/>
        <v>46</v>
      </c>
      <c r="D1487" s="2">
        <f t="shared" si="97"/>
        <v>45975</v>
      </c>
      <c r="E1487" s="1">
        <v>45975.75</v>
      </c>
      <c r="F1487" t="s">
        <v>4719</v>
      </c>
      <c r="G1487" t="s">
        <v>36</v>
      </c>
      <c r="H1487" t="s">
        <v>4720</v>
      </c>
      <c r="I1487" t="s">
        <v>218</v>
      </c>
      <c r="J1487" t="s">
        <v>144</v>
      </c>
      <c r="M1487" t="s">
        <v>40</v>
      </c>
      <c r="N1487" t="s">
        <v>41</v>
      </c>
      <c r="O1487" t="s">
        <v>220</v>
      </c>
      <c r="P1487">
        <v>99</v>
      </c>
      <c r="Q1487">
        <v>0</v>
      </c>
      <c r="R1487">
        <v>0</v>
      </c>
      <c r="S1487">
        <v>0</v>
      </c>
      <c r="T1487" t="s">
        <v>54</v>
      </c>
      <c r="U1487" t="s">
        <v>55</v>
      </c>
      <c r="W1487" t="s">
        <v>4714</v>
      </c>
      <c r="Y1487">
        <v>0</v>
      </c>
      <c r="AA1487" t="s">
        <v>40</v>
      </c>
      <c r="AB1487" t="s">
        <v>46</v>
      </c>
      <c r="AC1487" t="s">
        <v>47</v>
      </c>
      <c r="AD1487" t="s">
        <v>223</v>
      </c>
      <c r="AE1487" t="s">
        <v>223</v>
      </c>
      <c r="AG1487" t="s">
        <v>4721</v>
      </c>
      <c r="AJ1487" t="s">
        <v>40</v>
      </c>
      <c r="AK1487" t="s">
        <v>4722</v>
      </c>
      <c r="AO1487" s="1">
        <v>45975</v>
      </c>
      <c r="AP1487" s="5">
        <v>0.75</v>
      </c>
      <c r="AS1487">
        <v>1</v>
      </c>
    </row>
    <row r="1488" spans="1:45" x14ac:dyDescent="0.2">
      <c r="A1488">
        <f t="shared" si="94"/>
        <v>2025</v>
      </c>
      <c r="B1488">
        <f t="shared" si="95"/>
        <v>11</v>
      </c>
      <c r="C1488">
        <f t="shared" si="96"/>
        <v>46</v>
      </c>
      <c r="D1488" s="2">
        <f t="shared" si="97"/>
        <v>45975</v>
      </c>
      <c r="E1488" s="1">
        <v>45975.75</v>
      </c>
      <c r="F1488" t="s">
        <v>4723</v>
      </c>
      <c r="G1488" t="s">
        <v>36</v>
      </c>
      <c r="H1488">
        <v>467197</v>
      </c>
      <c r="I1488" t="s">
        <v>51</v>
      </c>
      <c r="J1488" t="s">
        <v>144</v>
      </c>
      <c r="M1488" t="s">
        <v>40</v>
      </c>
      <c r="N1488" t="s">
        <v>41</v>
      </c>
      <c r="O1488" t="s">
        <v>172</v>
      </c>
      <c r="P1488">
        <v>33</v>
      </c>
      <c r="Q1488">
        <v>0</v>
      </c>
      <c r="R1488">
        <v>0</v>
      </c>
      <c r="S1488">
        <v>0</v>
      </c>
      <c r="T1488" t="s">
        <v>54</v>
      </c>
      <c r="U1488" t="s">
        <v>55</v>
      </c>
      <c r="W1488" t="s">
        <v>4724</v>
      </c>
      <c r="X1488" t="s">
        <v>4725</v>
      </c>
      <c r="Y1488">
        <v>0</v>
      </c>
      <c r="AA1488" t="s">
        <v>40</v>
      </c>
      <c r="AB1488" t="s">
        <v>46</v>
      </c>
      <c r="AC1488" t="s">
        <v>47</v>
      </c>
      <c r="AG1488" t="s">
        <v>4726</v>
      </c>
      <c r="AJ1488" t="s">
        <v>40</v>
      </c>
      <c r="AK1488">
        <v>5019367457</v>
      </c>
      <c r="AL1488" t="s">
        <v>4727</v>
      </c>
      <c r="AM1488" t="s">
        <v>4728</v>
      </c>
      <c r="AO1488" s="1">
        <v>45975</v>
      </c>
      <c r="AP1488" s="5">
        <v>0.75</v>
      </c>
      <c r="AS1488">
        <v>1</v>
      </c>
    </row>
    <row r="1489" spans="1:45" x14ac:dyDescent="0.2">
      <c r="A1489">
        <f t="shared" si="94"/>
        <v>2025</v>
      </c>
      <c r="B1489">
        <f t="shared" si="95"/>
        <v>11</v>
      </c>
      <c r="C1489">
        <f t="shared" si="96"/>
        <v>46</v>
      </c>
      <c r="D1489" s="2">
        <f t="shared" si="97"/>
        <v>45975</v>
      </c>
      <c r="E1489" s="1">
        <v>45975.791666666664</v>
      </c>
      <c r="F1489" t="s">
        <v>4729</v>
      </c>
      <c r="G1489" t="s">
        <v>36</v>
      </c>
      <c r="H1489" t="s">
        <v>4730</v>
      </c>
      <c r="I1489" t="s">
        <v>78</v>
      </c>
      <c r="J1489" t="s">
        <v>188</v>
      </c>
      <c r="M1489" t="s">
        <v>40</v>
      </c>
      <c r="N1489" t="s">
        <v>41</v>
      </c>
      <c r="O1489" t="s">
        <v>1630</v>
      </c>
      <c r="P1489">
        <v>66</v>
      </c>
      <c r="Q1489">
        <v>0</v>
      </c>
      <c r="R1489">
        <v>0</v>
      </c>
      <c r="S1489">
        <v>0</v>
      </c>
      <c r="T1489" t="s">
        <v>54</v>
      </c>
      <c r="U1489" t="s">
        <v>55</v>
      </c>
      <c r="W1489" t="s">
        <v>4731</v>
      </c>
      <c r="Y1489">
        <v>0</v>
      </c>
      <c r="AA1489" t="s">
        <v>40</v>
      </c>
      <c r="AB1489" t="s">
        <v>46</v>
      </c>
      <c r="AC1489" t="s">
        <v>47</v>
      </c>
      <c r="AD1489" t="s">
        <v>81</v>
      </c>
      <c r="AE1489" t="s">
        <v>81</v>
      </c>
      <c r="AG1489" t="s">
        <v>4732</v>
      </c>
      <c r="AJ1489" t="s">
        <v>40</v>
      </c>
      <c r="AK1489" t="s">
        <v>4733</v>
      </c>
      <c r="AO1489" s="1">
        <v>45975</v>
      </c>
      <c r="AP1489" s="5">
        <v>0.79166666666666663</v>
      </c>
      <c r="AS1489">
        <v>1</v>
      </c>
    </row>
    <row r="1490" spans="1:45" x14ac:dyDescent="0.2">
      <c r="A1490">
        <f t="shared" si="94"/>
        <v>2025</v>
      </c>
      <c r="B1490">
        <f t="shared" si="95"/>
        <v>11</v>
      </c>
      <c r="C1490">
        <f t="shared" si="96"/>
        <v>46</v>
      </c>
      <c r="D1490" s="2">
        <f t="shared" si="97"/>
        <v>45975</v>
      </c>
      <c r="E1490" s="1">
        <v>45975.791666666664</v>
      </c>
      <c r="F1490" t="s">
        <v>4734</v>
      </c>
      <c r="G1490" t="s">
        <v>36</v>
      </c>
      <c r="H1490">
        <v>467213</v>
      </c>
      <c r="I1490" t="s">
        <v>51</v>
      </c>
      <c r="J1490" t="s">
        <v>144</v>
      </c>
      <c r="M1490" t="s">
        <v>40</v>
      </c>
      <c r="N1490" t="s">
        <v>41</v>
      </c>
      <c r="O1490" t="s">
        <v>90</v>
      </c>
      <c r="P1490">
        <v>33</v>
      </c>
      <c r="Q1490">
        <v>0</v>
      </c>
      <c r="R1490">
        <v>0</v>
      </c>
      <c r="S1490">
        <v>0</v>
      </c>
      <c r="T1490" t="s">
        <v>54</v>
      </c>
      <c r="U1490" t="s">
        <v>55</v>
      </c>
      <c r="W1490" t="s">
        <v>4143</v>
      </c>
      <c r="X1490" t="s">
        <v>2650</v>
      </c>
      <c r="Y1490">
        <v>0</v>
      </c>
      <c r="AA1490" t="s">
        <v>40</v>
      </c>
      <c r="AB1490" t="s">
        <v>46</v>
      </c>
      <c r="AC1490" t="s">
        <v>47</v>
      </c>
      <c r="AG1490" t="s">
        <v>4735</v>
      </c>
      <c r="AJ1490" t="s">
        <v>40</v>
      </c>
      <c r="AK1490">
        <v>5019407245</v>
      </c>
      <c r="AL1490" t="s">
        <v>4736</v>
      </c>
      <c r="AM1490" t="s">
        <v>4737</v>
      </c>
      <c r="AO1490" s="1">
        <v>45975</v>
      </c>
      <c r="AP1490" s="5">
        <v>0.79166666666666663</v>
      </c>
      <c r="AS1490">
        <v>1</v>
      </c>
    </row>
    <row r="1491" spans="1:45" x14ac:dyDescent="0.2">
      <c r="A1491">
        <f t="shared" si="94"/>
        <v>2025</v>
      </c>
      <c r="B1491">
        <f t="shared" si="95"/>
        <v>11</v>
      </c>
      <c r="C1491">
        <f t="shared" si="96"/>
        <v>46</v>
      </c>
      <c r="D1491" s="2">
        <f t="shared" si="97"/>
        <v>45975</v>
      </c>
      <c r="E1491" s="1">
        <v>45975.791666666664</v>
      </c>
      <c r="F1491" t="s">
        <v>4738</v>
      </c>
      <c r="G1491" t="s">
        <v>36</v>
      </c>
      <c r="H1491">
        <v>472097</v>
      </c>
      <c r="I1491" t="s">
        <v>51</v>
      </c>
      <c r="J1491" t="s">
        <v>188</v>
      </c>
      <c r="M1491" t="s">
        <v>40</v>
      </c>
      <c r="N1491" t="s">
        <v>41</v>
      </c>
      <c r="O1491" t="s">
        <v>172</v>
      </c>
      <c r="P1491">
        <v>33</v>
      </c>
      <c r="Q1491">
        <v>0</v>
      </c>
      <c r="R1491">
        <v>0</v>
      </c>
      <c r="S1491">
        <v>0</v>
      </c>
      <c r="T1491" t="s">
        <v>54</v>
      </c>
      <c r="U1491" t="s">
        <v>55</v>
      </c>
      <c r="W1491" t="s">
        <v>4739</v>
      </c>
      <c r="X1491" t="s">
        <v>4740</v>
      </c>
      <c r="Y1491">
        <v>0</v>
      </c>
      <c r="AA1491" t="s">
        <v>40</v>
      </c>
      <c r="AB1491" t="s">
        <v>46</v>
      </c>
      <c r="AC1491" t="s">
        <v>47</v>
      </c>
      <c r="AG1491" t="s">
        <v>4741</v>
      </c>
      <c r="AJ1491" t="s">
        <v>40</v>
      </c>
      <c r="AK1491">
        <v>5019399227</v>
      </c>
      <c r="AL1491" t="s">
        <v>4742</v>
      </c>
      <c r="AM1491" t="s">
        <v>4743</v>
      </c>
      <c r="AO1491" s="1">
        <v>45975</v>
      </c>
      <c r="AP1491" s="5">
        <v>0.79166666666666663</v>
      </c>
      <c r="AS1491">
        <v>1</v>
      </c>
    </row>
    <row r="1492" spans="1:45" x14ac:dyDescent="0.2">
      <c r="A1492">
        <f>YEAR(D1492)</f>
        <v>2025</v>
      </c>
      <c r="B1492">
        <f>MONTH(D1492)</f>
        <v>11</v>
      </c>
      <c r="C1492">
        <f>WEEKNUM(D1492)</f>
        <v>46</v>
      </c>
      <c r="D1492" s="2">
        <f>INT(E1492)</f>
        <v>45975</v>
      </c>
      <c r="E1492" s="1">
        <v>45975.916666666664</v>
      </c>
      <c r="F1492" t="s">
        <v>4744</v>
      </c>
      <c r="G1492" t="s">
        <v>36</v>
      </c>
      <c r="H1492" t="s">
        <v>253</v>
      </c>
      <c r="I1492" t="s">
        <v>38</v>
      </c>
      <c r="J1492" t="s">
        <v>254</v>
      </c>
      <c r="M1492" t="s">
        <v>40</v>
      </c>
      <c r="N1492" t="s">
        <v>41</v>
      </c>
      <c r="O1492" t="s">
        <v>42</v>
      </c>
      <c r="P1492">
        <v>1</v>
      </c>
      <c r="Q1492">
        <v>0</v>
      </c>
      <c r="R1492">
        <v>0</v>
      </c>
      <c r="S1492">
        <v>0</v>
      </c>
      <c r="T1492">
        <v>5019419794</v>
      </c>
      <c r="U1492" t="s">
        <v>101</v>
      </c>
      <c r="W1492" t="s">
        <v>4623</v>
      </c>
      <c r="Y1492">
        <v>0</v>
      </c>
      <c r="AA1492" t="s">
        <v>40</v>
      </c>
      <c r="AB1492" t="s">
        <v>46</v>
      </c>
      <c r="AC1492" t="s">
        <v>47</v>
      </c>
      <c r="AF1492" t="s">
        <v>48</v>
      </c>
      <c r="AJ1492" t="s">
        <v>40</v>
      </c>
      <c r="AK1492" t="s">
        <v>49</v>
      </c>
      <c r="AO1492" s="1">
        <v>45975</v>
      </c>
      <c r="AP1492" s="5">
        <v>0.91666666666666663</v>
      </c>
      <c r="AS1492">
        <v>1</v>
      </c>
    </row>
  </sheetData>
  <autoFilter ref="A1:AQ1492" xr:uid="{75CD688B-1C3D-47DA-BF13-BC30DD331A53}"/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7F75-C168-468D-B62A-15FFC813FAC3}">
  <dimension ref="A1:L36"/>
  <sheetViews>
    <sheetView workbookViewId="0">
      <selection activeCell="L26" sqref="L26:L30"/>
    </sheetView>
  </sheetViews>
  <sheetFormatPr defaultRowHeight="14.25" x14ac:dyDescent="0.2"/>
  <cols>
    <col min="1" max="1" width="19" bestFit="1" customWidth="1"/>
    <col min="2" max="2" width="16.875" bestFit="1" customWidth="1"/>
    <col min="3" max="3" width="8.25" bestFit="1" customWidth="1"/>
    <col min="4" max="4" width="10.5" bestFit="1" customWidth="1"/>
    <col min="5" max="11" width="17.875" bestFit="1" customWidth="1"/>
    <col min="12" max="12" width="11.25" bestFit="1" customWidth="1"/>
    <col min="13" max="13" width="7.25" bestFit="1" customWidth="1"/>
  </cols>
  <sheetData>
    <row r="1" spans="1:12" x14ac:dyDescent="0.2">
      <c r="A1" s="3" t="s">
        <v>4751</v>
      </c>
      <c r="E1" s="3" t="s">
        <v>15</v>
      </c>
    </row>
    <row r="2" spans="1:12" x14ac:dyDescent="0.2">
      <c r="A2" s="3" t="s">
        <v>4745</v>
      </c>
      <c r="B2" s="3" t="s">
        <v>4746</v>
      </c>
      <c r="C2" s="3" t="s">
        <v>4747</v>
      </c>
      <c r="D2" s="3" t="s">
        <v>4748</v>
      </c>
      <c r="E2" t="s">
        <v>55</v>
      </c>
      <c r="F2" t="s">
        <v>44</v>
      </c>
      <c r="G2" t="s">
        <v>101</v>
      </c>
      <c r="H2" t="s">
        <v>233</v>
      </c>
      <c r="I2" t="s">
        <v>392</v>
      </c>
      <c r="J2" t="s">
        <v>294</v>
      </c>
      <c r="K2" t="s">
        <v>4749</v>
      </c>
      <c r="L2" t="s">
        <v>4750</v>
      </c>
    </row>
    <row r="3" spans="1:12" x14ac:dyDescent="0.2">
      <c r="A3">
        <v>2025</v>
      </c>
      <c r="B3">
        <v>10</v>
      </c>
      <c r="C3">
        <v>40</v>
      </c>
      <c r="D3" s="2">
        <v>45931</v>
      </c>
      <c r="E3">
        <v>22</v>
      </c>
      <c r="F3">
        <v>19</v>
      </c>
      <c r="G3">
        <v>2</v>
      </c>
      <c r="L3">
        <v>43</v>
      </c>
    </row>
    <row r="4" spans="1:12" x14ac:dyDescent="0.2">
      <c r="A4">
        <v>2025</v>
      </c>
      <c r="B4">
        <v>10</v>
      </c>
      <c r="C4">
        <v>40</v>
      </c>
      <c r="D4" s="2">
        <v>45932</v>
      </c>
      <c r="E4">
        <v>24</v>
      </c>
      <c r="F4">
        <v>22</v>
      </c>
      <c r="G4">
        <v>4</v>
      </c>
      <c r="H4">
        <v>2</v>
      </c>
      <c r="I4">
        <v>1</v>
      </c>
      <c r="J4">
        <v>1</v>
      </c>
      <c r="L4">
        <v>54</v>
      </c>
    </row>
    <row r="5" spans="1:12" x14ac:dyDescent="0.2">
      <c r="A5">
        <v>2025</v>
      </c>
      <c r="B5">
        <v>10</v>
      </c>
      <c r="C5">
        <v>40</v>
      </c>
      <c r="D5" s="2">
        <v>45933</v>
      </c>
      <c r="E5">
        <v>24</v>
      </c>
      <c r="F5">
        <v>20</v>
      </c>
      <c r="G5">
        <v>1</v>
      </c>
      <c r="I5">
        <v>5</v>
      </c>
      <c r="L5">
        <v>50</v>
      </c>
    </row>
    <row r="6" spans="1:12" x14ac:dyDescent="0.2">
      <c r="A6">
        <v>2025</v>
      </c>
      <c r="B6">
        <v>10</v>
      </c>
      <c r="C6">
        <v>41</v>
      </c>
      <c r="D6" s="2">
        <v>45936</v>
      </c>
      <c r="E6">
        <v>25</v>
      </c>
      <c r="F6">
        <v>20</v>
      </c>
      <c r="G6">
        <v>3</v>
      </c>
      <c r="H6">
        <v>2</v>
      </c>
      <c r="I6">
        <v>6</v>
      </c>
      <c r="L6">
        <v>56</v>
      </c>
    </row>
    <row r="7" spans="1:12" x14ac:dyDescent="0.2">
      <c r="A7">
        <v>2025</v>
      </c>
      <c r="B7">
        <v>10</v>
      </c>
      <c r="C7">
        <v>41</v>
      </c>
      <c r="D7" s="2">
        <v>45937</v>
      </c>
      <c r="E7">
        <v>29</v>
      </c>
      <c r="F7">
        <v>15</v>
      </c>
      <c r="G7">
        <v>3</v>
      </c>
      <c r="H7">
        <v>3</v>
      </c>
      <c r="I7">
        <v>4</v>
      </c>
      <c r="L7">
        <v>54</v>
      </c>
    </row>
    <row r="8" spans="1:12" x14ac:dyDescent="0.2">
      <c r="A8">
        <v>2025</v>
      </c>
      <c r="B8">
        <v>10</v>
      </c>
      <c r="C8">
        <v>41</v>
      </c>
      <c r="D8" s="2">
        <v>45938</v>
      </c>
      <c r="E8">
        <v>24</v>
      </c>
      <c r="F8">
        <v>17</v>
      </c>
      <c r="G8">
        <v>2</v>
      </c>
      <c r="I8">
        <v>2</v>
      </c>
      <c r="L8">
        <v>45</v>
      </c>
    </row>
    <row r="9" spans="1:12" x14ac:dyDescent="0.2">
      <c r="A9">
        <v>2025</v>
      </c>
      <c r="B9">
        <v>10</v>
      </c>
      <c r="C9">
        <v>41</v>
      </c>
      <c r="D9" s="2">
        <v>45939</v>
      </c>
      <c r="E9">
        <v>26</v>
      </c>
      <c r="F9">
        <v>15</v>
      </c>
      <c r="G9">
        <v>4</v>
      </c>
      <c r="H9">
        <v>1</v>
      </c>
      <c r="L9">
        <v>46</v>
      </c>
    </row>
    <row r="10" spans="1:12" x14ac:dyDescent="0.2">
      <c r="A10">
        <v>2025</v>
      </c>
      <c r="B10">
        <v>10</v>
      </c>
      <c r="C10">
        <v>41</v>
      </c>
      <c r="D10" s="2">
        <v>45940</v>
      </c>
      <c r="E10">
        <v>23</v>
      </c>
      <c r="F10">
        <v>19</v>
      </c>
      <c r="G10">
        <v>3</v>
      </c>
      <c r="H10">
        <v>1</v>
      </c>
      <c r="I10">
        <v>1</v>
      </c>
      <c r="L10">
        <v>47</v>
      </c>
    </row>
    <row r="11" spans="1:12" x14ac:dyDescent="0.2">
      <c r="A11">
        <v>2025</v>
      </c>
      <c r="B11">
        <v>10</v>
      </c>
      <c r="C11">
        <v>42</v>
      </c>
      <c r="D11" s="2">
        <v>45943</v>
      </c>
      <c r="E11">
        <v>28</v>
      </c>
      <c r="F11">
        <v>8</v>
      </c>
      <c r="G11">
        <v>1</v>
      </c>
      <c r="H11">
        <v>2</v>
      </c>
      <c r="L11">
        <v>39</v>
      </c>
    </row>
    <row r="12" spans="1:12" x14ac:dyDescent="0.2">
      <c r="A12">
        <v>2025</v>
      </c>
      <c r="B12">
        <v>10</v>
      </c>
      <c r="C12">
        <v>42</v>
      </c>
      <c r="D12" s="2">
        <v>45944</v>
      </c>
      <c r="E12">
        <v>24</v>
      </c>
      <c r="F12">
        <v>11</v>
      </c>
      <c r="G12">
        <v>1</v>
      </c>
      <c r="I12">
        <v>1</v>
      </c>
      <c r="L12">
        <v>37</v>
      </c>
    </row>
    <row r="13" spans="1:12" x14ac:dyDescent="0.2">
      <c r="A13">
        <v>2025</v>
      </c>
      <c r="B13">
        <v>10</v>
      </c>
      <c r="C13">
        <v>42</v>
      </c>
      <c r="D13" s="2">
        <v>45945</v>
      </c>
      <c r="E13">
        <v>25</v>
      </c>
      <c r="F13">
        <v>21</v>
      </c>
      <c r="G13">
        <v>2</v>
      </c>
      <c r="L13">
        <v>48</v>
      </c>
    </row>
    <row r="14" spans="1:12" x14ac:dyDescent="0.2">
      <c r="A14">
        <v>2025</v>
      </c>
      <c r="B14">
        <v>10</v>
      </c>
      <c r="C14">
        <v>42</v>
      </c>
      <c r="D14" s="2">
        <v>45946</v>
      </c>
      <c r="E14">
        <v>23</v>
      </c>
      <c r="F14">
        <v>18</v>
      </c>
      <c r="G14">
        <v>3</v>
      </c>
      <c r="I14">
        <v>2</v>
      </c>
      <c r="L14">
        <v>46</v>
      </c>
    </row>
    <row r="15" spans="1:12" x14ac:dyDescent="0.2">
      <c r="A15">
        <v>2025</v>
      </c>
      <c r="B15">
        <v>10</v>
      </c>
      <c r="C15">
        <v>42</v>
      </c>
      <c r="D15" s="2">
        <v>45947</v>
      </c>
      <c r="E15">
        <v>23</v>
      </c>
      <c r="F15">
        <v>15</v>
      </c>
      <c r="G15">
        <v>5</v>
      </c>
      <c r="H15">
        <v>1</v>
      </c>
      <c r="L15">
        <v>44</v>
      </c>
    </row>
    <row r="16" spans="1:12" x14ac:dyDescent="0.2">
      <c r="A16">
        <v>2025</v>
      </c>
      <c r="B16">
        <v>10</v>
      </c>
      <c r="C16">
        <v>43</v>
      </c>
      <c r="D16" s="2">
        <v>45950</v>
      </c>
      <c r="E16">
        <v>23</v>
      </c>
      <c r="F16">
        <v>5</v>
      </c>
      <c r="L16">
        <v>28</v>
      </c>
    </row>
    <row r="17" spans="1:12" x14ac:dyDescent="0.2">
      <c r="A17">
        <v>2025</v>
      </c>
      <c r="B17">
        <v>10</v>
      </c>
      <c r="C17">
        <v>43</v>
      </c>
      <c r="D17" s="2">
        <v>45951</v>
      </c>
      <c r="E17">
        <v>25</v>
      </c>
      <c r="F17">
        <v>14</v>
      </c>
      <c r="G17">
        <v>4</v>
      </c>
      <c r="H17">
        <v>1</v>
      </c>
      <c r="L17">
        <v>44</v>
      </c>
    </row>
    <row r="18" spans="1:12" x14ac:dyDescent="0.2">
      <c r="A18">
        <v>2025</v>
      </c>
      <c r="B18">
        <v>10</v>
      </c>
      <c r="C18">
        <v>43</v>
      </c>
      <c r="D18" s="2">
        <v>45952</v>
      </c>
      <c r="E18">
        <v>24</v>
      </c>
      <c r="F18">
        <v>17</v>
      </c>
      <c r="G18">
        <v>3</v>
      </c>
      <c r="I18">
        <v>1</v>
      </c>
      <c r="L18">
        <v>45</v>
      </c>
    </row>
    <row r="19" spans="1:12" x14ac:dyDescent="0.2">
      <c r="A19">
        <v>2025</v>
      </c>
      <c r="B19">
        <v>10</v>
      </c>
      <c r="C19">
        <v>43</v>
      </c>
      <c r="D19" s="2">
        <v>45953</v>
      </c>
      <c r="E19">
        <v>22</v>
      </c>
      <c r="F19">
        <v>18</v>
      </c>
      <c r="G19">
        <v>4</v>
      </c>
      <c r="H19">
        <v>1</v>
      </c>
      <c r="I19">
        <v>5</v>
      </c>
      <c r="L19">
        <v>50</v>
      </c>
    </row>
    <row r="20" spans="1:12" x14ac:dyDescent="0.2">
      <c r="A20">
        <v>2025</v>
      </c>
      <c r="B20">
        <v>10</v>
      </c>
      <c r="C20">
        <v>43</v>
      </c>
      <c r="D20" s="2">
        <v>45954</v>
      </c>
      <c r="E20">
        <v>23</v>
      </c>
      <c r="F20">
        <v>19</v>
      </c>
      <c r="G20">
        <v>2</v>
      </c>
      <c r="H20">
        <v>1</v>
      </c>
      <c r="J20">
        <v>1</v>
      </c>
      <c r="L20">
        <v>46</v>
      </c>
    </row>
    <row r="21" spans="1:12" x14ac:dyDescent="0.2">
      <c r="A21">
        <v>2025</v>
      </c>
      <c r="B21">
        <v>10</v>
      </c>
      <c r="C21">
        <v>44</v>
      </c>
      <c r="D21" s="2">
        <v>45957</v>
      </c>
      <c r="E21">
        <v>23</v>
      </c>
      <c r="F21">
        <v>10</v>
      </c>
      <c r="G21">
        <v>2</v>
      </c>
      <c r="H21">
        <v>1</v>
      </c>
      <c r="L21">
        <v>36</v>
      </c>
    </row>
    <row r="22" spans="1:12" x14ac:dyDescent="0.2">
      <c r="A22">
        <v>2025</v>
      </c>
      <c r="B22">
        <v>10</v>
      </c>
      <c r="C22">
        <v>44</v>
      </c>
      <c r="D22" s="2">
        <v>45958</v>
      </c>
      <c r="E22">
        <v>20</v>
      </c>
      <c r="F22">
        <v>20</v>
      </c>
      <c r="G22">
        <v>4</v>
      </c>
      <c r="H22">
        <v>1</v>
      </c>
      <c r="L22">
        <v>45</v>
      </c>
    </row>
    <row r="23" spans="1:12" x14ac:dyDescent="0.2">
      <c r="A23">
        <v>2025</v>
      </c>
      <c r="B23">
        <v>10</v>
      </c>
      <c r="C23">
        <v>44</v>
      </c>
      <c r="D23" s="2">
        <v>45959</v>
      </c>
      <c r="E23">
        <v>22</v>
      </c>
      <c r="F23">
        <v>22</v>
      </c>
      <c r="G23">
        <v>4</v>
      </c>
      <c r="H23">
        <v>2</v>
      </c>
      <c r="L23">
        <v>50</v>
      </c>
    </row>
    <row r="24" spans="1:12" x14ac:dyDescent="0.2">
      <c r="A24">
        <v>2025</v>
      </c>
      <c r="B24">
        <v>10</v>
      </c>
      <c r="C24">
        <v>44</v>
      </c>
      <c r="D24" s="2">
        <v>45960</v>
      </c>
      <c r="E24">
        <v>23</v>
      </c>
      <c r="F24">
        <v>19</v>
      </c>
      <c r="G24">
        <v>4</v>
      </c>
      <c r="H24">
        <v>1</v>
      </c>
      <c r="L24">
        <v>47</v>
      </c>
    </row>
    <row r="25" spans="1:12" x14ac:dyDescent="0.2">
      <c r="A25">
        <v>2025</v>
      </c>
      <c r="B25">
        <v>10</v>
      </c>
      <c r="C25">
        <v>44</v>
      </c>
      <c r="D25" s="2">
        <v>45961</v>
      </c>
      <c r="E25">
        <v>23</v>
      </c>
      <c r="F25">
        <v>19</v>
      </c>
      <c r="G25">
        <v>5</v>
      </c>
      <c r="I25">
        <v>2</v>
      </c>
      <c r="L25">
        <v>49</v>
      </c>
    </row>
    <row r="26" spans="1:12" x14ac:dyDescent="0.2">
      <c r="A26">
        <v>2025</v>
      </c>
      <c r="B26">
        <v>11</v>
      </c>
      <c r="C26">
        <v>45</v>
      </c>
      <c r="D26" s="2">
        <v>45964</v>
      </c>
      <c r="E26">
        <v>20</v>
      </c>
      <c r="F26">
        <v>17</v>
      </c>
      <c r="G26">
        <v>2</v>
      </c>
      <c r="H26">
        <v>1</v>
      </c>
      <c r="I26">
        <v>1</v>
      </c>
      <c r="L26">
        <v>41</v>
      </c>
    </row>
    <row r="27" spans="1:12" x14ac:dyDescent="0.2">
      <c r="A27">
        <v>2025</v>
      </c>
      <c r="B27">
        <v>11</v>
      </c>
      <c r="C27">
        <v>45</v>
      </c>
      <c r="D27" s="2">
        <v>45965</v>
      </c>
      <c r="E27">
        <v>22</v>
      </c>
      <c r="F27">
        <v>17</v>
      </c>
      <c r="G27">
        <v>2</v>
      </c>
      <c r="H27">
        <v>1</v>
      </c>
      <c r="I27">
        <v>4</v>
      </c>
      <c r="L27">
        <v>46</v>
      </c>
    </row>
    <row r="28" spans="1:12" x14ac:dyDescent="0.2">
      <c r="A28">
        <v>2025</v>
      </c>
      <c r="B28">
        <v>11</v>
      </c>
      <c r="C28">
        <v>45</v>
      </c>
      <c r="D28" s="2">
        <v>45966</v>
      </c>
      <c r="E28">
        <v>26</v>
      </c>
      <c r="F28">
        <v>15</v>
      </c>
      <c r="G28">
        <v>3</v>
      </c>
      <c r="H28">
        <v>1</v>
      </c>
      <c r="I28">
        <v>5</v>
      </c>
      <c r="L28">
        <v>50</v>
      </c>
    </row>
    <row r="29" spans="1:12" x14ac:dyDescent="0.2">
      <c r="A29">
        <v>2025</v>
      </c>
      <c r="B29">
        <v>11</v>
      </c>
      <c r="C29">
        <v>45</v>
      </c>
      <c r="D29" s="2">
        <v>45967</v>
      </c>
      <c r="E29">
        <v>22</v>
      </c>
      <c r="F29">
        <v>18</v>
      </c>
      <c r="G29">
        <v>4</v>
      </c>
      <c r="H29">
        <v>1</v>
      </c>
      <c r="I29">
        <v>3</v>
      </c>
      <c r="J29">
        <v>1</v>
      </c>
      <c r="L29">
        <v>49</v>
      </c>
    </row>
    <row r="30" spans="1:12" x14ac:dyDescent="0.2">
      <c r="A30">
        <v>2025</v>
      </c>
      <c r="B30">
        <v>11</v>
      </c>
      <c r="C30">
        <v>45</v>
      </c>
      <c r="D30" s="2">
        <v>45968</v>
      </c>
      <c r="E30">
        <v>21</v>
      </c>
      <c r="F30">
        <v>17</v>
      </c>
      <c r="G30">
        <v>3</v>
      </c>
      <c r="H30">
        <v>1</v>
      </c>
      <c r="J30">
        <v>1</v>
      </c>
      <c r="L30">
        <v>43</v>
      </c>
    </row>
    <row r="31" spans="1:12" x14ac:dyDescent="0.2">
      <c r="A31">
        <v>2025</v>
      </c>
      <c r="B31">
        <v>11</v>
      </c>
      <c r="C31">
        <v>46</v>
      </c>
      <c r="D31" s="2">
        <v>45971</v>
      </c>
      <c r="E31">
        <v>17</v>
      </c>
      <c r="F31">
        <v>20</v>
      </c>
      <c r="G31">
        <v>1</v>
      </c>
      <c r="L31">
        <v>38</v>
      </c>
    </row>
    <row r="32" spans="1:12" x14ac:dyDescent="0.2">
      <c r="A32">
        <v>2025</v>
      </c>
      <c r="B32">
        <v>11</v>
      </c>
      <c r="C32">
        <v>46</v>
      </c>
      <c r="D32" s="2">
        <v>45972</v>
      </c>
      <c r="E32">
        <v>20</v>
      </c>
      <c r="F32">
        <v>19</v>
      </c>
      <c r="G32">
        <v>4</v>
      </c>
      <c r="J32">
        <v>1</v>
      </c>
      <c r="L32">
        <v>44</v>
      </c>
    </row>
    <row r="33" spans="1:12" x14ac:dyDescent="0.2">
      <c r="A33">
        <v>2025</v>
      </c>
      <c r="B33">
        <v>11</v>
      </c>
      <c r="C33">
        <v>46</v>
      </c>
      <c r="D33" s="2">
        <v>45973</v>
      </c>
      <c r="E33">
        <v>16</v>
      </c>
      <c r="F33">
        <v>24</v>
      </c>
      <c r="G33">
        <v>2</v>
      </c>
      <c r="L33">
        <v>42</v>
      </c>
    </row>
    <row r="34" spans="1:12" x14ac:dyDescent="0.2">
      <c r="A34">
        <v>2025</v>
      </c>
      <c r="B34">
        <v>11</v>
      </c>
      <c r="C34">
        <v>46</v>
      </c>
      <c r="D34" s="2">
        <v>45974</v>
      </c>
      <c r="E34">
        <v>18</v>
      </c>
      <c r="F34">
        <v>21</v>
      </c>
      <c r="G34">
        <v>4</v>
      </c>
      <c r="L34">
        <v>43</v>
      </c>
    </row>
    <row r="35" spans="1:12" x14ac:dyDescent="0.2">
      <c r="A35">
        <v>2025</v>
      </c>
      <c r="B35">
        <v>11</v>
      </c>
      <c r="C35">
        <v>46</v>
      </c>
      <c r="D35" s="2">
        <v>45975</v>
      </c>
      <c r="E35">
        <v>19</v>
      </c>
      <c r="F35">
        <v>19</v>
      </c>
      <c r="G35">
        <v>5</v>
      </c>
      <c r="H35">
        <v>1</v>
      </c>
      <c r="I35">
        <v>1</v>
      </c>
      <c r="J35">
        <v>1</v>
      </c>
      <c r="L35">
        <v>46</v>
      </c>
    </row>
    <row r="36" spans="1:12" x14ac:dyDescent="0.2">
      <c r="A36" t="s">
        <v>4749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FFB4-EEC0-41E0-9161-502941DCC4AF}">
  <dimension ref="A1:J7"/>
  <sheetViews>
    <sheetView workbookViewId="0">
      <selection activeCell="E8" sqref="E8"/>
    </sheetView>
  </sheetViews>
  <sheetFormatPr defaultRowHeight="14.25" x14ac:dyDescent="0.2"/>
  <cols>
    <col min="4" max="4" width="10.125" bestFit="1" customWidth="1"/>
    <col min="8" max="8" width="11.125" bestFit="1" customWidth="1"/>
    <col min="9" max="9" width="9.25" bestFit="1" customWidth="1"/>
    <col min="10" max="10" width="15.875" bestFit="1" customWidth="1"/>
  </cols>
  <sheetData>
    <row r="1" spans="1:10" x14ac:dyDescent="0.2">
      <c r="A1" t="s">
        <v>4745</v>
      </c>
      <c r="B1" t="s">
        <v>4746</v>
      </c>
      <c r="C1" t="s">
        <v>4747</v>
      </c>
      <c r="D1" t="s">
        <v>4748</v>
      </c>
      <c r="E1" t="s">
        <v>4752</v>
      </c>
      <c r="F1" t="s">
        <v>4753</v>
      </c>
      <c r="G1" t="s">
        <v>4754</v>
      </c>
      <c r="H1" t="s">
        <v>4755</v>
      </c>
      <c r="I1" t="s">
        <v>4756</v>
      </c>
      <c r="J1" t="s">
        <v>4757</v>
      </c>
    </row>
    <row r="2" spans="1:10" x14ac:dyDescent="0.2">
      <c r="A2">
        <f>YEAR(D2)</f>
        <v>2025</v>
      </c>
      <c r="B2">
        <f>MONTH(D2)</f>
        <v>11</v>
      </c>
      <c r="C2">
        <f>WEEKNUM(D2)</f>
        <v>47</v>
      </c>
      <c r="D2" s="2">
        <v>45978</v>
      </c>
      <c r="E2">
        <v>40</v>
      </c>
      <c r="F2">
        <v>21</v>
      </c>
      <c r="G2">
        <v>19</v>
      </c>
      <c r="H2">
        <v>40</v>
      </c>
      <c r="I2">
        <v>40</v>
      </c>
      <c r="J2" s="4">
        <f>I2/E2</f>
        <v>1</v>
      </c>
    </row>
    <row r="3" spans="1:10" x14ac:dyDescent="0.2">
      <c r="A3">
        <f t="shared" ref="A3:A6" si="0">YEAR(D3)</f>
        <v>2025</v>
      </c>
      <c r="B3">
        <f t="shared" ref="B3:B6" si="1">MONTH(D3)</f>
        <v>11</v>
      </c>
      <c r="C3">
        <f t="shared" ref="C3:C6" si="2">WEEKNUM(D3)</f>
        <v>47</v>
      </c>
      <c r="D3" s="2">
        <v>45979</v>
      </c>
      <c r="E3">
        <v>40</v>
      </c>
      <c r="F3">
        <v>21</v>
      </c>
      <c r="G3">
        <v>19</v>
      </c>
      <c r="H3">
        <v>38</v>
      </c>
      <c r="I3">
        <v>24</v>
      </c>
      <c r="J3" s="4">
        <f t="shared" ref="J3:J6" si="3">I3/E3</f>
        <v>0.6</v>
      </c>
    </row>
    <row r="4" spans="1:10" x14ac:dyDescent="0.2">
      <c r="A4">
        <f t="shared" si="0"/>
        <v>2025</v>
      </c>
      <c r="B4">
        <f t="shared" si="1"/>
        <v>11</v>
      </c>
      <c r="C4">
        <f t="shared" si="2"/>
        <v>47</v>
      </c>
      <c r="D4" s="2">
        <v>45980</v>
      </c>
      <c r="E4">
        <v>40</v>
      </c>
      <c r="F4">
        <v>21</v>
      </c>
      <c r="G4">
        <v>19</v>
      </c>
      <c r="H4">
        <v>36</v>
      </c>
      <c r="I4">
        <v>35</v>
      </c>
      <c r="J4" s="4">
        <f t="shared" si="3"/>
        <v>0.875</v>
      </c>
    </row>
    <row r="5" spans="1:10" x14ac:dyDescent="0.2">
      <c r="A5">
        <f t="shared" si="0"/>
        <v>2025</v>
      </c>
      <c r="B5">
        <f t="shared" si="1"/>
        <v>11</v>
      </c>
      <c r="C5">
        <f t="shared" si="2"/>
        <v>47</v>
      </c>
      <c r="D5" s="2">
        <v>45981</v>
      </c>
      <c r="E5">
        <v>40</v>
      </c>
      <c r="F5">
        <v>21</v>
      </c>
      <c r="G5">
        <v>19</v>
      </c>
      <c r="H5">
        <v>39</v>
      </c>
      <c r="I5">
        <v>38</v>
      </c>
      <c r="J5" s="4">
        <f t="shared" si="3"/>
        <v>0.95</v>
      </c>
    </row>
    <row r="6" spans="1:10" x14ac:dyDescent="0.2">
      <c r="A6">
        <f t="shared" si="0"/>
        <v>2025</v>
      </c>
      <c r="B6">
        <f t="shared" si="1"/>
        <v>11</v>
      </c>
      <c r="C6">
        <f t="shared" si="2"/>
        <v>47</v>
      </c>
      <c r="D6" s="2">
        <v>45982</v>
      </c>
      <c r="E6">
        <v>40</v>
      </c>
      <c r="F6">
        <v>21</v>
      </c>
      <c r="G6">
        <v>19</v>
      </c>
      <c r="H6">
        <v>36</v>
      </c>
      <c r="I6">
        <v>35</v>
      </c>
      <c r="J6" s="4">
        <f t="shared" si="3"/>
        <v>0.875</v>
      </c>
    </row>
    <row r="7" spans="1:10" x14ac:dyDescent="0.2">
      <c r="D7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Slot Capacity</vt:lpstr>
      <vt:lpstr>PVT</vt:lpstr>
      <vt:lpstr>PBI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Minghao</dc:creator>
  <cp:lastModifiedBy>Yumeng Pan</cp:lastModifiedBy>
  <dcterms:created xsi:type="dcterms:W3CDTF">2025-11-18T09:22:24Z</dcterms:created>
  <dcterms:modified xsi:type="dcterms:W3CDTF">2025-12-15T19:42:08Z</dcterms:modified>
</cp:coreProperties>
</file>
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sheet" sheetId="1" r:id="rId4"/>
    <sheet state="visible" name="Hours &amp; volumes per subgroup" sheetId="2" r:id="rId5"/>
    <sheet state="visible" name="2024" sheetId="3" r:id="rId6"/>
    <sheet state="visible" name="Powerbi Source" sheetId="4" r:id="rId7"/>
    <sheet state="visible" name="Aggregate_data" sheetId="5" r:id="rId8"/>
  </sheets>
  <definedNames>
    <definedName hidden="1" localSheetId="4" name="_xlnm._FilterDatabase">Aggregate_data!$A$1:$X$81</definedName>
    <definedName hidden="1" localSheetId="3" name="Z_0ABDC557_42D2_46E7_B5AB_DE51ABD64623_.wvu.FilterData">'Powerbi Source'!$A$1:$P$177</definedName>
  </definedNames>
  <calcPr/>
  <customWorkbookViews>
    <customWorkbookView activeSheetId="0" maximized="1" windowHeight="0" windowWidth="0" guid="{0ABDC557-42D2-46E7-B5AB-DE51ABD64623}" name="Table2 filter view"/>
  </customWorkbookViews>
  <extLst>
    <ext uri="GoogleSheetsCustomDataVersion2">
      <go:sheetsCustomData xmlns:go="http://customooxmlschemas.google.com/" r:id="rId9" roundtripDataChecksum="7YlCjUw3Jl0bBh8EcYkeKd0wzfMd4flAXyI9KRFBB/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7">
      <text>
        <t xml:space="preserve">======
ID#AAABxeibdMA
tc={7899C20B-C646-492D-B922-7F8347883FA8}    (2025-12-12 14:33:19)
[Threaded comment]
Your version of Excel allows you to read this threaded comment; however, any edits to it will get removed if the file is opened in a newer version of Excel. Learn more: https://go.microsoft.com/fwlink/?linkid=870924
Comment:
    Please note: budget differs from proforma</t>
      </text>
    </comment>
    <comment authorId="0" ref="E44">
      <text>
        <t xml:space="preserve">======
ID#AAABxeibdL8
tc={99DBE042-DE55-4F41-8261-E85A6EC4712D}    (2025-12-12 14:33:19)
[Threaded comment]
Your version of Excel allows you to read this threaded comment; however, any edits to it will get removed if the file is opened in a newer version of Excel. Learn more: https://go.microsoft.com/fwlink/?linkid=870924
Comment:
    In March an additional move variable labor -&gt; admin happened</t>
      </text>
    </comment>
  </commentList>
  <extLst>
    <ext uri="GoogleSheetsCustomDataVersion2">
      <go:sheetsCustomData xmlns:go="http://customooxmlschemas.google.com/" r:id="rId1" roundtripDataSignature="AMtx7mgXBC/jEP7hCAP2B3MweKhT1e9QR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5">
      <text>
        <t xml:space="preserve">======
ID#AAABxeibdL4
tc={1972300D-A374-4282-939D-113BC477FB25}    (2025-12-12 14:33:19)
[Threaded comment]
Your version of Excel allows you to read this threaded comment; however, any edits to it will get removed if the file is opened in a newer version of Excel. Learn more: https://go.microsoft.com/fwlink/?linkid=870924
Comment:
    Volumes of October 2024</t>
      </text>
    </comment>
    <comment authorId="0" ref="B47">
      <text>
        <t xml:space="preserve">======
ID#AAABxeibdL0
tc={BF18985A-A610-42B8-8DF9-8325219D0C4B}    (2025-12-12 14:33:19)
[Threaded comment]
Your version of Excel allows you to read this threaded comment; however, any edits to it will get removed if the file is opened in a newer version of Excel. Learn more: https://go.microsoft.com/fwlink/?linkid=870924
Comment:
    Inclusive Returns</t>
      </text>
    </comment>
    <comment authorId="0" ref="B46">
      <text>
        <t xml:space="preserve">======
ID#AAABxeibdLw
tc={98A1E603-F8E8-4B8C-8456-26DDC38D3D6C}    (2025-12-12 14:33:19)
[Threaded comment]
Your version of Excel allows you to read this threaded comment; however, any edits to it will get removed if the file is opened in a newer version of Excel. Learn more: https://go.microsoft.com/fwlink/?linkid=870924
Comment:
    Exclusive Returns</t>
      </text>
    </comment>
  </commentList>
  <extLst>
    <ext uri="GoogleSheetsCustomDataVersion2">
      <go:sheetsCustomData xmlns:go="http://customooxmlschemas.google.com/" r:id="rId1" roundtripDataSignature="AMtx7mhvTAvtPirtNyKKKP3WR1BpGiuM0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">
      <text>
        <t xml:space="preserve">======
ID#AAABxeibdME
tc={02D49150-B64C-4999-89E5-7329B047B427}    (2025-12-12 14:33:19)
[Threaded comment]
Your version of Excel allows you to read this threaded comment; however, any edits to it will get removed if the file is opened in a newer version of Excel. Learn more: https://go.microsoft.com/fwlink/?linkid=870924
Comment:
    Costs appear to be too low.</t>
      </text>
    </comment>
  </commentList>
  <extLst>
    <ext uri="GoogleSheetsCustomDataVersion2">
      <go:sheetsCustomData xmlns:go="http://customooxmlschemas.google.com/" r:id="rId1" roundtripDataSignature="AMtx7mhhZGhgn/DQh3W7qFt2jRN0EtKR1w=="/>
    </ext>
  </extLst>
</comments>
</file>

<file path=xl/sharedStrings.xml><?xml version="1.0" encoding="utf-8"?>
<sst xmlns="http://schemas.openxmlformats.org/spreadsheetml/2006/main" count="1004" uniqueCount="97">
  <si>
    <t>Variable labor KPI sheet</t>
  </si>
  <si>
    <t>Hours - total</t>
  </si>
  <si>
    <t>25.01</t>
  </si>
  <si>
    <t>25.02</t>
  </si>
  <si>
    <t>25.03</t>
  </si>
  <si>
    <t>25.04</t>
  </si>
  <si>
    <t>25.05</t>
  </si>
  <si>
    <t>25.06</t>
  </si>
  <si>
    <t>25.07</t>
  </si>
  <si>
    <t>25.08</t>
  </si>
  <si>
    <t>25.09</t>
  </si>
  <si>
    <t>25.10</t>
  </si>
  <si>
    <t>25.11</t>
  </si>
  <si>
    <t>25.12</t>
  </si>
  <si>
    <t>Hours own personnel</t>
  </si>
  <si>
    <t>Budget</t>
  </si>
  <si>
    <t>Hours temp personnel</t>
  </si>
  <si>
    <t>Hours converted to FTE</t>
  </si>
  <si>
    <t>Actual</t>
  </si>
  <si>
    <t>Delta Budget vs Actual</t>
  </si>
  <si>
    <t>Hours</t>
  </si>
  <si>
    <t>FTE</t>
  </si>
  <si>
    <t>Sickrate</t>
  </si>
  <si>
    <t>Sickrate blue collars</t>
  </si>
  <si>
    <t>Costs</t>
  </si>
  <si>
    <t>Costs - total</t>
  </si>
  <si>
    <t>Delta</t>
  </si>
  <si>
    <t>Costs / worked hour</t>
  </si>
  <si>
    <t>Idle hours</t>
  </si>
  <si>
    <t>Workdays per month</t>
  </si>
  <si>
    <t>Explanation delta costs / worked hour</t>
  </si>
  <si>
    <t>Costs impact sick leave vs budget</t>
  </si>
  <si>
    <t>Total</t>
  </si>
  <si>
    <t>Costs impact Temp agency costs increase</t>
  </si>
  <si>
    <t>Admin staff</t>
  </si>
  <si>
    <t>FTE admin staff</t>
  </si>
  <si>
    <t>Total FTEs</t>
  </si>
  <si>
    <t>R&amp;P</t>
  </si>
  <si>
    <t>Extra explanation</t>
  </si>
  <si>
    <t>Hours idle time fall within the specific group</t>
  </si>
  <si>
    <t>Hours 'Other' is mainly supervision &amp; cleaning</t>
  </si>
  <si>
    <t>VAL</t>
  </si>
  <si>
    <t>FG</t>
  </si>
  <si>
    <t>Other</t>
  </si>
  <si>
    <t>Volumes</t>
  </si>
  <si>
    <t>R&amp;P - pallets - inbound</t>
  </si>
  <si>
    <t>R&amp;P - pallets - outbound</t>
  </si>
  <si>
    <t>FG - pallets - inbound</t>
  </si>
  <si>
    <t>FG - tu - outbound</t>
  </si>
  <si>
    <t>FG - pallets - outbound</t>
  </si>
  <si>
    <t>VAL - tu - volumes</t>
  </si>
  <si>
    <t>Check completeness numbers</t>
  </si>
  <si>
    <t>Check total hours</t>
  </si>
  <si>
    <t>24.01</t>
  </si>
  <si>
    <t>24.02</t>
  </si>
  <si>
    <t>24.03</t>
  </si>
  <si>
    <t>24.04</t>
  </si>
  <si>
    <t>24.05</t>
  </si>
  <si>
    <t>24.06</t>
  </si>
  <si>
    <t>24.07</t>
  </si>
  <si>
    <t>24.08</t>
  </si>
  <si>
    <t>24.09</t>
  </si>
  <si>
    <t>24.10</t>
  </si>
  <si>
    <t>24.11</t>
  </si>
  <si>
    <t>24.12</t>
  </si>
  <si>
    <t>Hours R&amp;P</t>
  </si>
  <si>
    <t>Hours FG</t>
  </si>
  <si>
    <t>Hours VAL</t>
  </si>
  <si>
    <t>Hours Other</t>
  </si>
  <si>
    <t>Year</t>
  </si>
  <si>
    <t>Month</t>
  </si>
  <si>
    <t>Working day</t>
  </si>
  <si>
    <t>State</t>
  </si>
  <si>
    <t>Category</t>
  </si>
  <si>
    <t>Inbound/Outbound</t>
  </si>
  <si>
    <t>Pallet</t>
  </si>
  <si>
    <t>Working hour</t>
  </si>
  <si>
    <t>Cost per working hour</t>
  </si>
  <si>
    <t>Cost</t>
  </si>
  <si>
    <t>Pallet per hour</t>
  </si>
  <si>
    <t>Pallet per day</t>
  </si>
  <si>
    <t>Pallet per FTE</t>
  </si>
  <si>
    <t>Cost per pallet</t>
  </si>
  <si>
    <t>Flexible</t>
  </si>
  <si>
    <t>Inbound</t>
  </si>
  <si>
    <t>Outbound</t>
  </si>
  <si>
    <t>Others</t>
  </si>
  <si>
    <t>Pallet per hour per FTE</t>
  </si>
  <si>
    <t>Pallet (budget)</t>
  </si>
  <si>
    <t>Working hour (budget)</t>
  </si>
  <si>
    <t>FTE (budget)</t>
  </si>
  <si>
    <t>Cost per working hour (budget)</t>
  </si>
  <si>
    <t>Cost (budget)</t>
  </si>
  <si>
    <t>Pallet per hour (budget)</t>
  </si>
  <si>
    <t>Pallet per day (budget)</t>
  </si>
  <si>
    <t>Pallet per FTE (budget)</t>
  </si>
  <si>
    <t>Cost per pallet (budget)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</si>
</sst>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 * #,##0_ ;_ * \-#,##0_ ;_ * &quot;-&quot;??_ ;_ @_ "/>
    <numFmt numFmtId="165" formatCode="_ &quot;€&quot;\ * #,##0_ ;_ &quot;€&quot;\ * \-#,##0_ ;_ &quot;€&quot;\ * &quot;-&quot;??_ ;_ @_ "/>
    <numFmt numFmtId="166" formatCode="_ * #,##0.00_ ;_ * \-#,##0.00_ ;_ * &quot;-&quot;??_ ;_ @_ "/>
    <numFmt numFmtId="167" formatCode="_ &quot;€&quot;\ * #,##0.00_ ;_ &quot;€&quot;\ * \-#,##0.00_ ;_ &quot;€&quot;\ * &quot;-&quot;??_ ;_ @_ "/>
    <numFmt numFmtId="168" formatCode="0.0"/>
    <numFmt numFmtId="169" formatCode="_-* #,##0.0\ _€_-;\-* #,##0.0\ _€_-;_-* &quot;-&quot;?\ _€_-;_-@"/>
    <numFmt numFmtId="170" formatCode="0.0%"/>
    <numFmt numFmtId="171" formatCode="_ * #,##0.0_ ;_ * \-#,##0.0_ ;_ * &quot;-&quot;??_ ;_ @_ "/>
  </numFmts>
  <fonts count="16">
    <font>
      <sz val="11.0"/>
      <color theme="1"/>
      <name val="Aptos Narrow"/>
      <scheme val="minor"/>
    </font>
    <font>
      <b/>
      <sz val="11.0"/>
      <color theme="0"/>
      <name val="Aptos Narrow"/>
    </font>
    <font>
      <sz val="11.0"/>
      <color theme="0"/>
      <name val="Aptos Narrow"/>
    </font>
    <font>
      <b/>
      <sz val="11.0"/>
      <color theme="1"/>
      <name val="Aptos Narrow"/>
    </font>
    <font>
      <b/>
      <sz val="10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i/>
      <sz val="11.0"/>
      <color theme="1"/>
      <name val="Aptos Narrow"/>
    </font>
    <font>
      <b/>
      <i/>
      <sz val="11.0"/>
      <color theme="1"/>
      <name val="Aptos Narrow"/>
    </font>
    <font>
      <sz val="11.0"/>
      <color rgb="FF000000"/>
      <name val="Calibri"/>
    </font>
    <font>
      <sz val="11.0"/>
      <color rgb="FF002060"/>
      <name val="Aptos Narrow"/>
    </font>
    <font>
      <i/>
      <sz val="11.0"/>
      <color rgb="FF002060"/>
      <name val="Aptos Narrow"/>
    </font>
    <font>
      <i/>
      <sz val="11.0"/>
      <color rgb="FF002060"/>
      <name val="Calibri"/>
    </font>
    <font>
      <color rgb="FFFFFFFF"/>
      <name val="Aptos Narrow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45B0E1"/>
        <bgColor rgb="FF45B0E1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</fills>
  <borders count="25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4"/>
      </left>
      <right/>
      <top style="thin">
        <color theme="4"/>
      </top>
      <bottom/>
    </border>
    <border>
      <left/>
      <right/>
      <top style="thin">
        <color theme="4"/>
      </top>
      <bottom/>
    </border>
    <border>
      <left/>
      <right style="thin">
        <color theme="4"/>
      </right>
      <top style="thin">
        <color theme="4"/>
      </top>
      <bottom/>
    </border>
    <border>
      <left style="thin">
        <color theme="4"/>
      </left>
      <top style="thin">
        <color theme="4"/>
      </top>
    </border>
    <border>
      <top style="thin">
        <color theme="4"/>
      </top>
    </border>
    <border>
      <right style="thin">
        <color theme="4"/>
      </right>
      <top style="thin">
        <color theme="4"/>
      </top>
    </border>
    <border>
      <left style="thin">
        <color theme="4"/>
      </left>
      <top style="thin">
        <color theme="4"/>
      </top>
      <bottom style="thin">
        <color theme="4"/>
      </bottom>
    </border>
    <border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2" fillId="3" fontId="4" numFmtId="16" xfId="0" applyAlignment="1" applyBorder="1" applyFill="1" applyFont="1" applyNumberFormat="1">
      <alignment horizontal="center"/>
    </xf>
    <xf borderId="3" fillId="3" fontId="4" numFmtId="16" xfId="0" applyAlignment="1" applyBorder="1" applyFont="1" applyNumberFormat="1">
      <alignment horizontal="center"/>
    </xf>
    <xf borderId="4" fillId="3" fontId="4" numFmtId="16" xfId="0" applyAlignment="1" applyBorder="1" applyFont="1" applyNumberFormat="1">
      <alignment horizontal="center"/>
    </xf>
    <xf borderId="0" fillId="0" fontId="5" numFmtId="0" xfId="0" applyFont="1"/>
    <xf borderId="0" fillId="0" fontId="6" numFmtId="164" xfId="0" applyFont="1" applyNumberFormat="1"/>
    <xf borderId="0" fillId="0" fontId="3" numFmtId="164" xfId="0" applyFont="1" applyNumberFormat="1"/>
    <xf borderId="0" fillId="0" fontId="3" numFmtId="0" xfId="0" applyAlignment="1" applyFont="1">
      <alignment horizontal="center"/>
    </xf>
    <xf borderId="0" fillId="0" fontId="7" numFmtId="0" xfId="0" applyFont="1"/>
    <xf borderId="0" fillId="0" fontId="8" numFmtId="164" xfId="0" applyFont="1" applyNumberFormat="1"/>
    <xf borderId="0" fillId="0" fontId="6" numFmtId="165" xfId="0" applyFont="1" applyNumberFormat="1"/>
    <xf borderId="0" fillId="0" fontId="3" numFmtId="166" xfId="0" applyFont="1" applyNumberFormat="1"/>
    <xf borderId="0" fillId="0" fontId="6" numFmtId="164" xfId="0" applyAlignment="1" applyFont="1" applyNumberFormat="1">
      <alignment horizontal="right"/>
    </xf>
    <xf borderId="0" fillId="0" fontId="6" numFmtId="10" xfId="0" applyFont="1" applyNumberFormat="1"/>
    <xf borderId="0" fillId="0" fontId="7" numFmtId="164" xfId="0" applyFont="1" applyNumberFormat="1"/>
    <xf borderId="2" fillId="4" fontId="4" numFmtId="16" xfId="0" applyAlignment="1" applyBorder="1" applyFill="1" applyFont="1" applyNumberFormat="1">
      <alignment horizontal="center"/>
    </xf>
    <xf borderId="3" fillId="4" fontId="4" numFmtId="16" xfId="0" applyAlignment="1" applyBorder="1" applyFont="1" applyNumberFormat="1">
      <alignment horizontal="center"/>
    </xf>
    <xf borderId="4" fillId="4" fontId="4" numFmtId="16" xfId="0" applyAlignment="1" applyBorder="1" applyFont="1" applyNumberFormat="1">
      <alignment horizontal="center"/>
    </xf>
    <xf borderId="0" fillId="0" fontId="6" numFmtId="10" xfId="0" applyAlignment="1" applyFont="1" applyNumberFormat="1">
      <alignment horizontal="right"/>
    </xf>
    <xf borderId="2" fillId="5" fontId="3" numFmtId="0" xfId="0" applyAlignment="1" applyBorder="1" applyFill="1" applyFont="1">
      <alignment horizontal="center"/>
    </xf>
    <xf borderId="3" fillId="5" fontId="3" numFmtId="0" xfId="0" applyBorder="1" applyFont="1"/>
    <xf borderId="3" fillId="5" fontId="4" numFmtId="16" xfId="0" applyAlignment="1" applyBorder="1" applyFont="1" applyNumberFormat="1">
      <alignment horizontal="center"/>
    </xf>
    <xf borderId="4" fillId="5" fontId="4" numFmtId="16" xfId="0" applyAlignment="1" applyBorder="1" applyFont="1" applyNumberFormat="1">
      <alignment horizontal="center"/>
    </xf>
    <xf borderId="0" fillId="0" fontId="6" numFmtId="167" xfId="0" applyFont="1" applyNumberFormat="1"/>
    <xf borderId="0" fillId="0" fontId="6" numFmtId="1" xfId="0" applyFont="1" applyNumberFormat="1"/>
    <xf borderId="0" fillId="0" fontId="6" numFmtId="2" xfId="0" applyFont="1" applyNumberFormat="1"/>
    <xf borderId="0" fillId="0" fontId="6" numFmtId="168" xfId="0" applyFont="1" applyNumberFormat="1"/>
    <xf borderId="0" fillId="0" fontId="7" numFmtId="168" xfId="0" applyFont="1" applyNumberFormat="1"/>
    <xf borderId="5" fillId="0" fontId="7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7" numFmtId="0" xfId="0" applyBorder="1" applyFont="1"/>
    <xf borderId="9" fillId="0" fontId="6" numFmtId="0" xfId="0" applyBorder="1" applyFont="1"/>
    <xf borderId="10" fillId="0" fontId="7" numFmtId="0" xfId="0" applyBorder="1" applyFont="1"/>
    <xf borderId="11" fillId="0" fontId="6" numFmtId="0" xfId="0" applyBorder="1" applyFont="1"/>
    <xf borderId="12" fillId="0" fontId="6" numFmtId="0" xfId="0" applyBorder="1" applyFont="1"/>
    <xf borderId="0" fillId="0" fontId="6" numFmtId="169" xfId="0" applyFont="1" applyNumberFormat="1"/>
    <xf borderId="2" fillId="5" fontId="4" numFmtId="16" xfId="0" applyAlignment="1" applyBorder="1" applyFont="1" applyNumberFormat="1">
      <alignment horizontal="center"/>
    </xf>
    <xf borderId="0" fillId="0" fontId="6" numFmtId="3" xfId="0" applyFont="1" applyNumberFormat="1"/>
    <xf borderId="0" fillId="0" fontId="6" numFmtId="170" xfId="0" applyFont="1" applyNumberFormat="1"/>
    <xf borderId="0" fillId="0" fontId="9" numFmtId="3" xfId="0" applyFont="1" applyNumberFormat="1"/>
    <xf borderId="0" fillId="0" fontId="6" numFmtId="166" xfId="0" applyFont="1" applyNumberFormat="1"/>
    <xf borderId="13" fillId="0" fontId="10" numFmtId="0" xfId="0" applyBorder="1" applyFont="1"/>
    <xf borderId="14" fillId="0" fontId="11" numFmtId="0" xfId="0" applyBorder="1" applyFont="1"/>
    <xf borderId="14" fillId="0" fontId="12" numFmtId="3" xfId="0" applyBorder="1" applyFont="1" applyNumberFormat="1"/>
    <xf borderId="15" fillId="0" fontId="9" numFmtId="3" xfId="0" applyBorder="1" applyFont="1" applyNumberFormat="1"/>
    <xf borderId="1" fillId="6" fontId="3" numFmtId="0" xfId="0" applyBorder="1" applyFill="1" applyFont="1"/>
    <xf borderId="1" fillId="6" fontId="6" numFmtId="0" xfId="0" applyBorder="1" applyFont="1"/>
    <xf borderId="0" fillId="0" fontId="6" numFmtId="171" xfId="0" applyFont="1" applyNumberFormat="1"/>
    <xf borderId="0" fillId="0" fontId="6" numFmtId="10" xfId="0" applyAlignment="1" applyFont="1" applyNumberFormat="1">
      <alignment horizontal="center"/>
    </xf>
    <xf borderId="1" fillId="7" fontId="6" numFmtId="164" xfId="0" applyBorder="1" applyFill="1" applyFont="1" applyNumberFormat="1"/>
    <xf borderId="1" fillId="7" fontId="6" numFmtId="167" xfId="0" applyBorder="1" applyFont="1" applyNumberFormat="1"/>
    <xf borderId="1" fillId="2" fontId="1" numFmtId="16" xfId="0" applyAlignment="1" applyBorder="1" applyFont="1" applyNumberFormat="1">
      <alignment horizontal="center"/>
    </xf>
    <xf borderId="0" fillId="0" fontId="6" numFmtId="168" xfId="0" applyAlignment="1" applyFont="1" applyNumberFormat="1">
      <alignment horizontal="center"/>
    </xf>
    <xf borderId="0" fillId="0" fontId="1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1" xfId="0" applyAlignment="1" applyFont="1" applyNumberFormat="1">
      <alignment shrinkToFit="0" vertical="center" wrapText="0"/>
    </xf>
    <xf borderId="0" fillId="0" fontId="6" numFmtId="168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16" fillId="8" fontId="1" numFmtId="0" xfId="0" applyBorder="1" applyFill="1" applyFont="1"/>
    <xf borderId="17" fillId="8" fontId="1" numFmtId="0" xfId="0" applyBorder="1" applyFont="1"/>
    <xf borderId="17" fillId="8" fontId="14" numFmtId="0" xfId="0" applyAlignment="1" applyBorder="1" applyFont="1">
      <alignment readingOrder="0"/>
    </xf>
    <xf borderId="17" fillId="9" fontId="1" numFmtId="0" xfId="0" applyBorder="1" applyFill="1" applyFont="1"/>
    <xf borderId="18" fillId="8" fontId="1" numFmtId="0" xfId="0" applyBorder="1" applyFont="1"/>
    <xf borderId="19" fillId="0" fontId="6" numFmtId="0" xfId="0" applyBorder="1" applyFont="1"/>
    <xf borderId="20" fillId="0" fontId="6" numFmtId="0" xfId="0" applyBorder="1" applyFont="1"/>
    <xf borderId="20" fillId="0" fontId="6" numFmtId="1" xfId="0" applyBorder="1" applyFont="1" applyNumberFormat="1"/>
    <xf borderId="20" fillId="0" fontId="6" numFmtId="168" xfId="0" applyBorder="1" applyFont="1" applyNumberFormat="1"/>
    <xf borderId="21" fillId="0" fontId="6" numFmtId="0" xfId="0" applyBorder="1" applyFont="1"/>
    <xf borderId="20" fillId="0" fontId="15" numFmtId="0" xfId="0" applyAlignment="1" applyBorder="1" applyFont="1">
      <alignment readingOrder="0"/>
    </xf>
    <xf borderId="22" fillId="0" fontId="6" numFmtId="0" xfId="0" applyBorder="1" applyFont="1"/>
    <xf borderId="23" fillId="0" fontId="6" numFmtId="0" xfId="0" applyBorder="1" applyFont="1"/>
    <xf borderId="23" fillId="0" fontId="6" numFmtId="1" xfId="0" applyBorder="1" applyFont="1" applyNumberFormat="1"/>
    <xf borderId="23" fillId="0" fontId="6" numFmtId="168" xfId="0" applyBorder="1" applyFont="1" applyNumberFormat="1"/>
    <xf borderId="24" fillId="0" fontId="6" numFmtId="0" xfId="0" applyBorder="1" applyFont="1"/>
  </cellXfs>
  <cellStyles count="1">
    <cellStyle xfId="0" name="Normal" builtinId="0"/>
  </cellStyles>
  <dxfs count="5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Powerbi Source-style">
      <tableStyleElement dxfId="2" type="headerRow"/>
      <tableStyleElement dxfId="3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77" displayName="Table2" name="Table2" id="1">
  <tableColumns count="16">
    <tableColumn name="Year" id="1"/>
    <tableColumn name="Month" id="2"/>
    <tableColumn name="Working day" id="3"/>
    <tableColumn name="State" id="4"/>
    <tableColumn name="Category" id="5"/>
    <tableColumn name="Inbound/Outbound" id="6"/>
    <tableColumn name="Pallet" id="7"/>
    <tableColumn name="Working hour" id="8"/>
    <tableColumn name="FTE" id="9"/>
    <tableColumn name="Cost per working hour" id="10"/>
    <tableColumn name="Cost" id="11"/>
    <tableColumn name="Pallet per hour" id="12"/>
    <tableColumn name="Pallet per day" id="13"/>
    <tableColumn name="Pallet per FTE" id="14"/>
    <tableColumn name="Cost per pallet" id="15"/>
    <tableColumn name="Flexible" id="16"/>
  </tableColumns>
  <tableStyleInfo name="Powerbi Sou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25"/>
    <col customWidth="1" min="2" max="2" width="8.25"/>
    <col customWidth="1" min="3" max="3" width="11.13"/>
    <col customWidth="1" min="4" max="7" width="9.75"/>
    <col customWidth="1" min="8" max="8" width="10.25"/>
    <col customWidth="1" min="9" max="14" width="9.75"/>
    <col customWidth="1" min="15" max="17" width="8.63"/>
    <col customWidth="1" min="18" max="18" width="12.13"/>
    <col customWidth="1" min="19" max="23" width="12.5"/>
    <col customWidth="1" min="24" max="24" width="11.5"/>
    <col customWidth="1" min="25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.0" customHeight="1">
      <c r="A2" s="3"/>
    </row>
    <row r="3" ht="5.25" customHeight="1">
      <c r="A3" s="3"/>
    </row>
    <row r="4" ht="14.25" customHeight="1">
      <c r="A4" s="3"/>
    </row>
    <row r="5" ht="14.25" customHeight="1">
      <c r="A5" s="4" t="s">
        <v>1</v>
      </c>
      <c r="B5" s="5"/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6" t="s">
        <v>13</v>
      </c>
    </row>
    <row r="6" ht="14.25" customHeight="1">
      <c r="A6" s="7" t="s">
        <v>14</v>
      </c>
      <c r="B6" s="7" t="s">
        <v>15</v>
      </c>
      <c r="C6" s="8">
        <v>13969.529600000002</v>
      </c>
      <c r="D6" s="8">
        <v>12726.1312</v>
      </c>
      <c r="E6" s="8">
        <v>13347.830399999999</v>
      </c>
      <c r="F6" s="8">
        <v>13093.903999999999</v>
      </c>
      <c r="G6" s="8">
        <v>12472.2048</v>
      </c>
      <c r="H6" s="8">
        <v>12726.1312</v>
      </c>
      <c r="I6" s="8">
        <v>11925.001600000003</v>
      </c>
      <c r="J6" s="8">
        <v>10681.603199999998</v>
      </c>
      <c r="K6" s="8">
        <v>13969.529600000002</v>
      </c>
      <c r="L6" s="8">
        <v>14591.2288</v>
      </c>
      <c r="M6" s="8">
        <v>12726.1312</v>
      </c>
      <c r="N6" s="8">
        <v>12586.051200000002</v>
      </c>
    </row>
    <row r="7" ht="14.25" customHeight="1">
      <c r="A7" s="7" t="s">
        <v>16</v>
      </c>
      <c r="B7" s="7" t="s">
        <v>15</v>
      </c>
      <c r="C7" s="8">
        <v>19259.637066666663</v>
      </c>
      <c r="D7" s="8">
        <v>20503.035466666664</v>
      </c>
      <c r="E7" s="8">
        <v>19881.336266666665</v>
      </c>
      <c r="F7" s="8">
        <v>17752.93949643726</v>
      </c>
      <c r="G7" s="8">
        <v>18378.767788205307</v>
      </c>
      <c r="H7" s="8">
        <v>18118.27112103608</v>
      </c>
      <c r="I7" s="8">
        <v>19020.800892070052</v>
      </c>
      <c r="J7" s="8">
        <v>20272.968712005793</v>
      </c>
      <c r="K7" s="8">
        <v>16911.671295913715</v>
      </c>
      <c r="L7" s="8">
        <v>16285.30865044277</v>
      </c>
      <c r="M7" s="8">
        <v>18164.341341823074</v>
      </c>
      <c r="N7" s="8">
        <v>18364.948388253222</v>
      </c>
    </row>
    <row r="8" ht="14.25" customHeight="1">
      <c r="A8" s="3"/>
      <c r="B8" s="7" t="s">
        <v>15</v>
      </c>
      <c r="C8" s="9">
        <f t="shared" ref="C8:N8" si="1">C7+C6</f>
        <v>33229.16667</v>
      </c>
      <c r="D8" s="9">
        <f t="shared" si="1"/>
        <v>33229.16667</v>
      </c>
      <c r="E8" s="9">
        <f t="shared" si="1"/>
        <v>33229.16667</v>
      </c>
      <c r="F8" s="9">
        <f t="shared" si="1"/>
        <v>30846.8435</v>
      </c>
      <c r="G8" s="9">
        <f t="shared" si="1"/>
        <v>30850.97259</v>
      </c>
      <c r="H8" s="9">
        <f t="shared" si="1"/>
        <v>30844.40232</v>
      </c>
      <c r="I8" s="9">
        <f t="shared" si="1"/>
        <v>30945.80249</v>
      </c>
      <c r="J8" s="9">
        <f t="shared" si="1"/>
        <v>30954.57191</v>
      </c>
      <c r="K8" s="9">
        <f t="shared" si="1"/>
        <v>30881.2009</v>
      </c>
      <c r="L8" s="9">
        <f t="shared" si="1"/>
        <v>30876.53745</v>
      </c>
      <c r="M8" s="9">
        <f t="shared" si="1"/>
        <v>30890.47254</v>
      </c>
      <c r="N8" s="9">
        <f t="shared" si="1"/>
        <v>30950.99959</v>
      </c>
      <c r="S8" s="10"/>
      <c r="T8" s="10"/>
      <c r="U8" s="10"/>
      <c r="V8" s="10"/>
      <c r="W8" s="10"/>
    </row>
    <row r="9" ht="14.25" customHeight="1">
      <c r="A9" s="11" t="s">
        <v>17</v>
      </c>
      <c r="B9" s="7" t="s">
        <v>15</v>
      </c>
      <c r="C9" s="12">
        <f t="shared" ref="C9:N9" si="2">C8/C36/8</f>
        <v>188.8020833</v>
      </c>
      <c r="D9" s="12">
        <f t="shared" si="2"/>
        <v>207.6822917</v>
      </c>
      <c r="E9" s="12">
        <f t="shared" si="2"/>
        <v>197.7926587</v>
      </c>
      <c r="F9" s="12">
        <f t="shared" si="2"/>
        <v>183.6121637</v>
      </c>
      <c r="G9" s="12">
        <f t="shared" si="2"/>
        <v>192.8185787</v>
      </c>
      <c r="H9" s="12">
        <f t="shared" si="2"/>
        <v>192.7775145</v>
      </c>
      <c r="I9" s="12">
        <f t="shared" si="2"/>
        <v>168.1837092</v>
      </c>
      <c r="J9" s="12">
        <f t="shared" si="2"/>
        <v>184.2534042</v>
      </c>
      <c r="K9" s="12">
        <f t="shared" si="2"/>
        <v>175.4613687</v>
      </c>
      <c r="L9" s="12">
        <f t="shared" si="2"/>
        <v>167.8072688</v>
      </c>
      <c r="M9" s="12">
        <f t="shared" si="2"/>
        <v>193.0654534</v>
      </c>
      <c r="N9" s="12">
        <f t="shared" si="2"/>
        <v>184.2321404</v>
      </c>
      <c r="S9" s="13"/>
      <c r="T9" s="13"/>
      <c r="U9" s="13"/>
      <c r="V9" s="13"/>
      <c r="W9" s="13"/>
    </row>
    <row r="10" ht="14.25" customHeight="1">
      <c r="A10" s="3"/>
      <c r="C10" s="14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S10" s="13"/>
      <c r="T10" s="13"/>
      <c r="U10" s="13"/>
      <c r="V10" s="13"/>
      <c r="W10" s="13"/>
      <c r="X10" s="13"/>
    </row>
    <row r="11" ht="14.25" customHeight="1">
      <c r="A11" s="7" t="s">
        <v>14</v>
      </c>
      <c r="B11" s="7" t="s">
        <v>18</v>
      </c>
      <c r="C11" s="8">
        <f>33360-C12</f>
        <v>13292</v>
      </c>
      <c r="D11" s="8">
        <f>11199-1258+627</f>
        <v>10568</v>
      </c>
      <c r="E11" s="8">
        <f>32241-E12</f>
        <v>10931</v>
      </c>
      <c r="F11" s="15">
        <f>28902-F12</f>
        <v>11081</v>
      </c>
      <c r="G11" s="8">
        <f>26620-G12</f>
        <v>9589</v>
      </c>
      <c r="H11" s="8">
        <f>27296-H12</f>
        <v>10172</v>
      </c>
      <c r="I11" s="8">
        <f>30239-I12</f>
        <v>11692</v>
      </c>
      <c r="J11" s="8">
        <f>26792-J12</f>
        <v>9468</v>
      </c>
      <c r="K11" s="8">
        <f>26456-K12</f>
        <v>9351</v>
      </c>
      <c r="L11" s="8">
        <f>28443-L12</f>
        <v>10281</v>
      </c>
      <c r="M11" s="8">
        <f>24871-M12</f>
        <v>10000</v>
      </c>
      <c r="N11" s="9"/>
      <c r="Q11" s="8"/>
      <c r="S11" s="13"/>
      <c r="T11" s="13"/>
      <c r="U11" s="13"/>
      <c r="V11" s="13"/>
      <c r="W11" s="13"/>
      <c r="X11" s="16"/>
    </row>
    <row r="12" ht="14.25" customHeight="1">
      <c r="A12" s="7" t="s">
        <v>16</v>
      </c>
      <c r="B12" s="7" t="s">
        <v>18</v>
      </c>
      <c r="C12" s="8">
        <v>20068.0</v>
      </c>
      <c r="D12" s="8">
        <f>19645+630</f>
        <v>20275</v>
      </c>
      <c r="E12" s="8">
        <v>21310.0</v>
      </c>
      <c r="F12" s="8">
        <v>17821.0</v>
      </c>
      <c r="G12" s="8">
        <v>17031.0</v>
      </c>
      <c r="H12" s="8">
        <v>17124.0</v>
      </c>
      <c r="I12" s="8">
        <v>18547.0</v>
      </c>
      <c r="J12" s="8">
        <v>17324.0</v>
      </c>
      <c r="K12" s="8">
        <v>17105.0</v>
      </c>
      <c r="L12" s="8">
        <v>18162.0</v>
      </c>
      <c r="M12" s="8">
        <v>14871.0</v>
      </c>
      <c r="Q12" s="8"/>
    </row>
    <row r="13" ht="14.25" customHeight="1">
      <c r="B13" s="7" t="s">
        <v>18</v>
      </c>
      <c r="C13" s="9">
        <f t="shared" ref="C13:N13" si="3">C12+C11</f>
        <v>33360</v>
      </c>
      <c r="D13" s="9">
        <f t="shared" si="3"/>
        <v>30843</v>
      </c>
      <c r="E13" s="9">
        <f t="shared" si="3"/>
        <v>32241</v>
      </c>
      <c r="F13" s="9">
        <f t="shared" si="3"/>
        <v>28902</v>
      </c>
      <c r="G13" s="9">
        <f t="shared" si="3"/>
        <v>26620</v>
      </c>
      <c r="H13" s="9">
        <f t="shared" si="3"/>
        <v>27296</v>
      </c>
      <c r="I13" s="9">
        <f t="shared" si="3"/>
        <v>30239</v>
      </c>
      <c r="J13" s="9">
        <f t="shared" si="3"/>
        <v>26792</v>
      </c>
      <c r="K13" s="9">
        <f t="shared" si="3"/>
        <v>26456</v>
      </c>
      <c r="L13" s="8">
        <f t="shared" si="3"/>
        <v>28443</v>
      </c>
      <c r="M13" s="9">
        <f t="shared" si="3"/>
        <v>24871</v>
      </c>
      <c r="N13" s="8">
        <f t="shared" si="3"/>
        <v>0</v>
      </c>
      <c r="Q13" s="9"/>
      <c r="R13" s="8"/>
    </row>
    <row r="14" ht="14.25" customHeight="1">
      <c r="A14" s="11" t="s">
        <v>17</v>
      </c>
      <c r="B14" s="7" t="s">
        <v>18</v>
      </c>
      <c r="C14" s="12">
        <f t="shared" ref="C14:N14" si="4">C13/C36/8</f>
        <v>189.5454545</v>
      </c>
      <c r="D14" s="9">
        <f t="shared" si="4"/>
        <v>192.76875</v>
      </c>
      <c r="E14" s="9">
        <f t="shared" si="4"/>
        <v>191.9107143</v>
      </c>
      <c r="F14" s="9">
        <f t="shared" si="4"/>
        <v>172.0357143</v>
      </c>
      <c r="G14" s="9">
        <f t="shared" si="4"/>
        <v>166.375</v>
      </c>
      <c r="H14" s="9">
        <f t="shared" si="4"/>
        <v>170.6</v>
      </c>
      <c r="I14" s="9">
        <f t="shared" si="4"/>
        <v>164.3423913</v>
      </c>
      <c r="J14" s="9">
        <f t="shared" si="4"/>
        <v>159.4761905</v>
      </c>
      <c r="K14" s="9">
        <f t="shared" si="4"/>
        <v>150.3181818</v>
      </c>
      <c r="L14" s="8">
        <f t="shared" si="4"/>
        <v>154.5815217</v>
      </c>
      <c r="M14" s="9">
        <f t="shared" si="4"/>
        <v>155.44375</v>
      </c>
      <c r="N14" s="8">
        <f t="shared" si="4"/>
        <v>0</v>
      </c>
      <c r="Q14" s="9"/>
    </row>
    <row r="15" ht="14.25" customHeight="1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ht="14.25" customHeight="1">
      <c r="Q16" s="8"/>
    </row>
    <row r="17" ht="14.25" customHeight="1">
      <c r="A17" s="11" t="s">
        <v>19</v>
      </c>
      <c r="B17" s="7" t="s">
        <v>20</v>
      </c>
      <c r="C17" s="17">
        <f t="shared" ref="C17:M17" si="5">C13-C8</f>
        <v>130.8333333</v>
      </c>
      <c r="D17" s="17">
        <f t="shared" si="5"/>
        <v>-2386.166667</v>
      </c>
      <c r="E17" s="17">
        <f t="shared" si="5"/>
        <v>-988.1666667</v>
      </c>
      <c r="F17" s="17">
        <f t="shared" si="5"/>
        <v>-1944.843496</v>
      </c>
      <c r="G17" s="17">
        <f t="shared" si="5"/>
        <v>-4230.972588</v>
      </c>
      <c r="H17" s="17">
        <f t="shared" si="5"/>
        <v>-3548.402321</v>
      </c>
      <c r="I17" s="17">
        <f t="shared" si="5"/>
        <v>-706.8024921</v>
      </c>
      <c r="J17" s="17">
        <f t="shared" si="5"/>
        <v>-4162.571912</v>
      </c>
      <c r="K17" s="17">
        <f t="shared" si="5"/>
        <v>-4425.200896</v>
      </c>
      <c r="L17" s="17">
        <f t="shared" si="5"/>
        <v>-2433.53745</v>
      </c>
      <c r="M17" s="17">
        <f t="shared" si="5"/>
        <v>-6019.472542</v>
      </c>
      <c r="N17" s="17"/>
      <c r="Q17" s="8"/>
    </row>
    <row r="18" ht="14.25" customHeight="1">
      <c r="A18" s="11" t="s">
        <v>19</v>
      </c>
      <c r="B18" s="7" t="s">
        <v>21</v>
      </c>
      <c r="C18" s="17">
        <f t="shared" ref="C18:M18" si="6">C14-C9</f>
        <v>0.7433712121</v>
      </c>
      <c r="D18" s="17">
        <f t="shared" si="6"/>
        <v>-14.91354167</v>
      </c>
      <c r="E18" s="17">
        <f t="shared" si="6"/>
        <v>-5.881944444</v>
      </c>
      <c r="F18" s="17">
        <f t="shared" si="6"/>
        <v>-11.57644938</v>
      </c>
      <c r="G18" s="17">
        <f t="shared" si="6"/>
        <v>-26.44357868</v>
      </c>
      <c r="H18" s="17">
        <f t="shared" si="6"/>
        <v>-22.17751451</v>
      </c>
      <c r="I18" s="17">
        <f t="shared" si="6"/>
        <v>-3.841317892</v>
      </c>
      <c r="J18" s="17">
        <f t="shared" si="6"/>
        <v>-24.77721376</v>
      </c>
      <c r="K18" s="17">
        <f t="shared" si="6"/>
        <v>-25.14318691</v>
      </c>
      <c r="L18" s="17">
        <f t="shared" si="6"/>
        <v>-13.22574701</v>
      </c>
      <c r="M18" s="17">
        <f t="shared" si="6"/>
        <v>-37.62170339</v>
      </c>
    </row>
    <row r="19" ht="14.25" customHeight="1">
      <c r="A19" s="3"/>
    </row>
    <row r="20" ht="3.0" customHeight="1">
      <c r="A20" s="3"/>
    </row>
    <row r="21" ht="14.25" customHeight="1">
      <c r="A21" s="18" t="s">
        <v>22</v>
      </c>
      <c r="B21" s="19"/>
      <c r="C21" s="19" t="s">
        <v>2</v>
      </c>
      <c r="D21" s="19" t="s">
        <v>3</v>
      </c>
      <c r="E21" s="19" t="s">
        <v>4</v>
      </c>
      <c r="F21" s="19" t="s">
        <v>5</v>
      </c>
      <c r="G21" s="19" t="s">
        <v>6</v>
      </c>
      <c r="H21" s="19" t="s">
        <v>7</v>
      </c>
      <c r="I21" s="19" t="s">
        <v>8</v>
      </c>
      <c r="J21" s="19" t="s">
        <v>9</v>
      </c>
      <c r="K21" s="19" t="s">
        <v>10</v>
      </c>
      <c r="L21" s="19" t="s">
        <v>11</v>
      </c>
      <c r="M21" s="19" t="s">
        <v>12</v>
      </c>
      <c r="N21" s="20" t="s">
        <v>13</v>
      </c>
    </row>
    <row r="22" ht="14.25" customHeight="1">
      <c r="A22" s="7" t="s">
        <v>23</v>
      </c>
      <c r="B22" s="7" t="s">
        <v>15</v>
      </c>
      <c r="C22" s="16">
        <v>0.05</v>
      </c>
      <c r="D22" s="16">
        <v>0.05</v>
      </c>
      <c r="E22" s="16">
        <v>0.05</v>
      </c>
      <c r="F22" s="21">
        <v>0.05</v>
      </c>
      <c r="G22" s="21">
        <v>0.05</v>
      </c>
      <c r="H22" s="21">
        <v>0.05</v>
      </c>
      <c r="I22" s="21">
        <v>0.05</v>
      </c>
      <c r="J22" s="21">
        <v>0.05</v>
      </c>
      <c r="K22" s="21">
        <v>0.05</v>
      </c>
      <c r="L22" s="21">
        <v>0.05</v>
      </c>
      <c r="M22" s="21">
        <v>0.05</v>
      </c>
      <c r="N22" s="21">
        <v>0.05</v>
      </c>
    </row>
    <row r="23" ht="14.25" customHeight="1">
      <c r="A23" s="7" t="s">
        <v>23</v>
      </c>
      <c r="B23" s="7" t="s">
        <v>18</v>
      </c>
      <c r="C23" s="16">
        <v>0.053</v>
      </c>
      <c r="D23" s="16">
        <v>0.075</v>
      </c>
      <c r="E23" s="16">
        <v>0.025</v>
      </c>
      <c r="F23" s="16">
        <v>0.037000000000000005</v>
      </c>
      <c r="G23" s="16">
        <v>0.039</v>
      </c>
      <c r="H23" s="16">
        <v>0.054</v>
      </c>
      <c r="I23" s="16">
        <v>0.0337</v>
      </c>
      <c r="J23" s="16">
        <v>0.04</v>
      </c>
      <c r="K23" s="16">
        <v>0.0679</v>
      </c>
      <c r="L23" s="16">
        <v>0.11939999999999999</v>
      </c>
      <c r="M23" s="16">
        <v>0.1019</v>
      </c>
    </row>
    <row r="24" ht="14.25" customHeight="1">
      <c r="C24" s="8"/>
    </row>
    <row r="25" ht="14.25" customHeight="1"/>
    <row r="26" ht="14.25" customHeight="1">
      <c r="A26" s="22" t="s">
        <v>24</v>
      </c>
      <c r="B26" s="23"/>
      <c r="C26" s="24" t="s">
        <v>2</v>
      </c>
      <c r="D26" s="24" t="s">
        <v>3</v>
      </c>
      <c r="E26" s="24" t="s">
        <v>4</v>
      </c>
      <c r="F26" s="24" t="s">
        <v>5</v>
      </c>
      <c r="G26" s="24" t="s">
        <v>6</v>
      </c>
      <c r="H26" s="24" t="s">
        <v>7</v>
      </c>
      <c r="I26" s="24" t="s">
        <v>8</v>
      </c>
      <c r="J26" s="24" t="s">
        <v>9</v>
      </c>
      <c r="K26" s="24" t="s">
        <v>10</v>
      </c>
      <c r="L26" s="24" t="s">
        <v>11</v>
      </c>
      <c r="M26" s="24" t="s">
        <v>12</v>
      </c>
      <c r="N26" s="25" t="s">
        <v>13</v>
      </c>
    </row>
    <row r="27" ht="14.25" customHeight="1">
      <c r="A27" s="7" t="s">
        <v>25</v>
      </c>
      <c r="B27" s="7" t="s">
        <v>15</v>
      </c>
      <c r="C27" s="13">
        <v>965924.9171389717</v>
      </c>
      <c r="D27" s="13">
        <v>969119.7942049694</v>
      </c>
      <c r="E27" s="13">
        <v>967522.3556719706</v>
      </c>
      <c r="F27" s="13">
        <v>900615.7863386374</v>
      </c>
      <c r="G27" s="13">
        <v>902213.2248716361</v>
      </c>
      <c r="H27" s="13">
        <v>899673.9608716362</v>
      </c>
      <c r="I27" s="13">
        <v>940490.4479523974</v>
      </c>
      <c r="J27" s="13">
        <v>944191.3640583954</v>
      </c>
      <c r="K27" s="13">
        <v>914078.8976853964</v>
      </c>
      <c r="L27" s="13">
        <v>912228.4396323976</v>
      </c>
      <c r="M27" s="13">
        <v>917779.8137913942</v>
      </c>
      <c r="N27" s="13">
        <v>942680.3141965484</v>
      </c>
    </row>
    <row r="28" ht="14.25" customHeight="1">
      <c r="A28" s="7" t="s">
        <v>25</v>
      </c>
      <c r="B28" s="7" t="s">
        <v>18</v>
      </c>
      <c r="C28" s="13">
        <v>985015.0</v>
      </c>
      <c r="D28" s="13">
        <f>885317</f>
        <v>885317</v>
      </c>
      <c r="E28" s="8">
        <v>936597.0</v>
      </c>
      <c r="F28" s="8">
        <v>844696.75</v>
      </c>
      <c r="G28" s="8">
        <v>791847.81</v>
      </c>
      <c r="H28" s="8">
        <v>817799.87</v>
      </c>
      <c r="I28" s="17">
        <v>931475.59</v>
      </c>
      <c r="J28" s="8">
        <v>829022.92</v>
      </c>
      <c r="K28" s="8">
        <v>816500.17</v>
      </c>
      <c r="L28" s="8">
        <v>885831.7600000002</v>
      </c>
      <c r="M28" s="8">
        <v>769079.78</v>
      </c>
      <c r="N28" s="8"/>
    </row>
    <row r="29" ht="14.25" customHeight="1">
      <c r="B29" s="11" t="s">
        <v>26</v>
      </c>
      <c r="C29" s="17">
        <f t="shared" ref="C29:M29" si="7">C28-C27</f>
        <v>19090.08286</v>
      </c>
      <c r="D29" s="17">
        <f t="shared" si="7"/>
        <v>-83802.7942</v>
      </c>
      <c r="E29" s="17">
        <f t="shared" si="7"/>
        <v>-30925.35567</v>
      </c>
      <c r="F29" s="17">
        <f t="shared" si="7"/>
        <v>-55919.03634</v>
      </c>
      <c r="G29" s="17">
        <f t="shared" si="7"/>
        <v>-110365.4149</v>
      </c>
      <c r="H29" s="17">
        <f t="shared" si="7"/>
        <v>-81874.09087</v>
      </c>
      <c r="I29" s="17">
        <f t="shared" si="7"/>
        <v>-9014.857952</v>
      </c>
      <c r="J29" s="17">
        <f t="shared" si="7"/>
        <v>-115168.4441</v>
      </c>
      <c r="K29" s="17">
        <f t="shared" si="7"/>
        <v>-97578.72769</v>
      </c>
      <c r="L29" s="17">
        <f t="shared" si="7"/>
        <v>-26396.67963</v>
      </c>
      <c r="M29" s="17">
        <f t="shared" si="7"/>
        <v>-148700.0338</v>
      </c>
      <c r="N29" s="17"/>
    </row>
    <row r="30" ht="14.25" customHeight="1">
      <c r="A30" s="7" t="s">
        <v>27</v>
      </c>
      <c r="C30" s="26">
        <f t="shared" ref="C30:M30" si="8">(C28/C13)</f>
        <v>29.52682854</v>
      </c>
      <c r="D30" s="26">
        <f t="shared" si="8"/>
        <v>28.7039847</v>
      </c>
      <c r="E30" s="26">
        <f t="shared" si="8"/>
        <v>29.04987438</v>
      </c>
      <c r="F30" s="26">
        <f t="shared" si="8"/>
        <v>29.22623867</v>
      </c>
      <c r="G30" s="26">
        <f t="shared" si="8"/>
        <v>29.74634899</v>
      </c>
      <c r="H30" s="26">
        <f t="shared" si="8"/>
        <v>29.960429</v>
      </c>
      <c r="I30" s="26">
        <f t="shared" si="8"/>
        <v>30.80378286</v>
      </c>
      <c r="J30" s="26">
        <f t="shared" si="8"/>
        <v>30.94292774</v>
      </c>
      <c r="K30" s="26">
        <f t="shared" si="8"/>
        <v>30.86257068</v>
      </c>
      <c r="L30" s="26">
        <f t="shared" si="8"/>
        <v>31.14410435</v>
      </c>
      <c r="M30" s="26">
        <f t="shared" si="8"/>
        <v>30.9227526</v>
      </c>
    </row>
    <row r="31" ht="14.25" customHeight="1">
      <c r="C31" s="26"/>
      <c r="D31" s="26"/>
      <c r="E31" s="26"/>
      <c r="I31" s="26"/>
      <c r="K31" s="13"/>
    </row>
    <row r="32" ht="14.25" customHeight="1">
      <c r="A32" s="7" t="s">
        <v>28</v>
      </c>
      <c r="B32" s="7" t="s">
        <v>20</v>
      </c>
      <c r="C32" s="7">
        <v>443.0</v>
      </c>
      <c r="D32" s="7">
        <v>102.0</v>
      </c>
      <c r="E32" s="7">
        <v>395.0</v>
      </c>
      <c r="F32" s="7">
        <v>387.0</v>
      </c>
      <c r="G32" s="27">
        <v>293.7</v>
      </c>
      <c r="H32" s="27">
        <v>233.46</v>
      </c>
      <c r="I32" s="27">
        <v>381.48</v>
      </c>
      <c r="J32" s="27">
        <v>336.55</v>
      </c>
      <c r="K32" s="27">
        <v>473.04</v>
      </c>
      <c r="L32" s="27">
        <v>363.5</v>
      </c>
      <c r="M32" s="27">
        <v>624.85</v>
      </c>
    </row>
    <row r="33" ht="14.25" customHeight="1">
      <c r="A33" s="7" t="s">
        <v>28</v>
      </c>
      <c r="B33" s="7" t="s">
        <v>24</v>
      </c>
      <c r="C33" s="13">
        <f t="shared" ref="C33:M33" si="9">C32*C30</f>
        <v>13080.38504</v>
      </c>
      <c r="D33" s="13">
        <f t="shared" si="9"/>
        <v>2927.806439</v>
      </c>
      <c r="E33" s="13">
        <f t="shared" si="9"/>
        <v>11474.70038</v>
      </c>
      <c r="F33" s="13">
        <f t="shared" si="9"/>
        <v>11310.55436</v>
      </c>
      <c r="G33" s="13">
        <f t="shared" si="9"/>
        <v>8736.502697</v>
      </c>
      <c r="H33" s="13">
        <f t="shared" si="9"/>
        <v>6994.561754</v>
      </c>
      <c r="I33" s="13">
        <f t="shared" si="9"/>
        <v>11751.02709</v>
      </c>
      <c r="J33" s="13">
        <f t="shared" si="9"/>
        <v>10413.84233</v>
      </c>
      <c r="K33" s="13">
        <f t="shared" si="9"/>
        <v>14599.23044</v>
      </c>
      <c r="L33" s="13">
        <f t="shared" si="9"/>
        <v>11320.88193</v>
      </c>
      <c r="M33" s="13">
        <f t="shared" si="9"/>
        <v>19322.08196</v>
      </c>
    </row>
    <row r="34" ht="14.25" customHeight="1"/>
    <row r="35" ht="14.25" customHeight="1"/>
    <row r="36" ht="14.25" customHeight="1">
      <c r="A36" s="11" t="s">
        <v>29</v>
      </c>
      <c r="B36" s="11">
        <v>2025.0</v>
      </c>
      <c r="C36" s="11">
        <v>22.0</v>
      </c>
      <c r="D36" s="11">
        <v>20.0</v>
      </c>
      <c r="E36" s="11">
        <v>21.0</v>
      </c>
      <c r="F36" s="11">
        <v>21.0</v>
      </c>
      <c r="G36" s="11">
        <v>20.0</v>
      </c>
      <c r="H36" s="11">
        <v>20.0</v>
      </c>
      <c r="I36" s="11">
        <v>23.0</v>
      </c>
      <c r="J36" s="11">
        <v>21.0</v>
      </c>
      <c r="K36" s="11">
        <v>22.0</v>
      </c>
      <c r="L36" s="11">
        <v>23.0</v>
      </c>
      <c r="M36" s="11">
        <v>20.0</v>
      </c>
      <c r="N36" s="11">
        <v>21.0</v>
      </c>
    </row>
    <row r="37" ht="14.25" customHeight="1">
      <c r="A37" s="3" t="s">
        <v>30</v>
      </c>
    </row>
    <row r="38" ht="14.25" customHeight="1">
      <c r="A38" s="7" t="s">
        <v>31</v>
      </c>
      <c r="B38" s="7" t="s">
        <v>32</v>
      </c>
      <c r="C38" s="13">
        <f t="shared" ref="C38:M38" si="10">(C23-C22)*C6*C30</f>
        <v>1237.427716</v>
      </c>
      <c r="D38" s="13">
        <f t="shared" si="10"/>
        <v>9132.26688</v>
      </c>
      <c r="E38" s="13">
        <f t="shared" si="10"/>
        <v>-9693.81991</v>
      </c>
      <c r="F38" s="13">
        <f t="shared" si="10"/>
        <v>-4974.912324</v>
      </c>
      <c r="G38" s="13">
        <f t="shared" si="10"/>
        <v>-4081.028123</v>
      </c>
      <c r="H38" s="13">
        <f t="shared" si="10"/>
        <v>1525.121401</v>
      </c>
      <c r="I38" s="13">
        <f t="shared" si="10"/>
        <v>-5987.563107</v>
      </c>
      <c r="J38" s="13">
        <f t="shared" si="10"/>
        <v>-3305.20076</v>
      </c>
      <c r="K38" s="13">
        <f t="shared" si="10"/>
        <v>7717.327145</v>
      </c>
      <c r="L38" s="13">
        <f t="shared" si="10"/>
        <v>31537.49421</v>
      </c>
      <c r="M38" s="13">
        <f t="shared" si="10"/>
        <v>20424.05165</v>
      </c>
    </row>
    <row r="39" ht="14.25" customHeight="1">
      <c r="A39" s="7" t="s">
        <v>33</v>
      </c>
      <c r="B39" s="7" t="s">
        <v>32</v>
      </c>
      <c r="C39" s="13">
        <v>12102.0</v>
      </c>
      <c r="D39" s="13">
        <v>0.0</v>
      </c>
      <c r="E39" s="13">
        <v>0.0</v>
      </c>
      <c r="F39" s="13">
        <v>0.0</v>
      </c>
      <c r="G39" s="13">
        <f t="shared" ref="G39:K39" si="11">-C39</f>
        <v>-12102</v>
      </c>
      <c r="H39" s="13">
        <f t="shared" si="11"/>
        <v>0</v>
      </c>
      <c r="I39" s="13">
        <f t="shared" si="11"/>
        <v>0</v>
      </c>
      <c r="J39" s="13">
        <f t="shared" si="11"/>
        <v>0</v>
      </c>
      <c r="K39" s="13">
        <f t="shared" si="11"/>
        <v>12102</v>
      </c>
      <c r="L39" s="28"/>
      <c r="M39" s="13">
        <v>0.0</v>
      </c>
      <c r="N39" s="28"/>
    </row>
    <row r="40" ht="14.25" customHeight="1"/>
    <row r="41" ht="14.25" customHeight="1"/>
    <row r="42" ht="14.25" customHeight="1">
      <c r="A42" s="1" t="s">
        <v>34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7" t="s">
        <v>35</v>
      </c>
      <c r="B43" s="7" t="s">
        <v>15</v>
      </c>
      <c r="C43" s="7">
        <v>28.700000000000003</v>
      </c>
      <c r="D43" s="7">
        <v>28.700000000000003</v>
      </c>
      <c r="E43" s="7">
        <v>28.700000000000003</v>
      </c>
      <c r="F43" s="7">
        <v>28.700000000000003</v>
      </c>
      <c r="G43" s="7">
        <v>28.700000000000003</v>
      </c>
      <c r="H43" s="7">
        <v>28.700000000000003</v>
      </c>
      <c r="I43" s="7">
        <v>28.700000000000003</v>
      </c>
      <c r="J43" s="7">
        <v>28.700000000000003</v>
      </c>
      <c r="K43" s="7">
        <v>28.700000000000003</v>
      </c>
      <c r="L43" s="7">
        <v>28.700000000000003</v>
      </c>
      <c r="M43" s="7">
        <v>28.700000000000003</v>
      </c>
      <c r="N43" s="7">
        <v>28.700000000000003</v>
      </c>
    </row>
    <row r="44" ht="14.25" customHeight="1">
      <c r="A44" s="7" t="s">
        <v>35</v>
      </c>
      <c r="B44" s="7" t="s">
        <v>18</v>
      </c>
      <c r="C44" s="7">
        <v>26.7</v>
      </c>
      <c r="D44" s="7">
        <v>38.4</v>
      </c>
      <c r="E44" s="7">
        <v>41.4</v>
      </c>
      <c r="F44" s="29">
        <v>42.275</v>
      </c>
      <c r="G44" s="29">
        <v>42.275</v>
      </c>
      <c r="H44" s="29">
        <v>41.075</v>
      </c>
      <c r="I44" s="29">
        <v>41.075</v>
      </c>
      <c r="J44" s="29">
        <v>39.075</v>
      </c>
      <c r="K44" s="29">
        <v>39.075</v>
      </c>
      <c r="L44" s="29">
        <v>38.075</v>
      </c>
      <c r="M44" s="29">
        <v>38.075</v>
      </c>
    </row>
    <row r="45" ht="14.25" customHeight="1">
      <c r="A45" s="11"/>
      <c r="B45" s="11" t="s">
        <v>26</v>
      </c>
      <c r="C45" s="30">
        <f t="shared" ref="C45:M45" si="12">C44-C43</f>
        <v>-2</v>
      </c>
      <c r="D45" s="30">
        <f t="shared" si="12"/>
        <v>9.7</v>
      </c>
      <c r="E45" s="30">
        <f t="shared" si="12"/>
        <v>12.7</v>
      </c>
      <c r="F45" s="30">
        <f t="shared" si="12"/>
        <v>13.575</v>
      </c>
      <c r="G45" s="30">
        <f t="shared" si="12"/>
        <v>13.575</v>
      </c>
      <c r="H45" s="30">
        <f t="shared" si="12"/>
        <v>12.375</v>
      </c>
      <c r="I45" s="30">
        <f t="shared" si="12"/>
        <v>12.375</v>
      </c>
      <c r="J45" s="30">
        <f t="shared" si="12"/>
        <v>10.375</v>
      </c>
      <c r="K45" s="30">
        <f t="shared" si="12"/>
        <v>10.375</v>
      </c>
      <c r="L45" s="30">
        <f t="shared" si="12"/>
        <v>9.375</v>
      </c>
      <c r="M45" s="30">
        <f t="shared" si="12"/>
        <v>9.375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/>
    <row r="47" ht="14.25" customHeight="1">
      <c r="A47" s="7" t="s">
        <v>36</v>
      </c>
      <c r="B47" s="7" t="s">
        <v>15</v>
      </c>
      <c r="C47" s="8">
        <f t="shared" ref="C47:M47" si="13">C43+C9</f>
        <v>217.5020833</v>
      </c>
      <c r="D47" s="8">
        <f t="shared" si="13"/>
        <v>236.3822917</v>
      </c>
      <c r="E47" s="8">
        <f t="shared" si="13"/>
        <v>226.4926587</v>
      </c>
      <c r="F47" s="8">
        <f t="shared" si="13"/>
        <v>212.3121637</v>
      </c>
      <c r="G47" s="8">
        <f t="shared" si="13"/>
        <v>221.5185787</v>
      </c>
      <c r="H47" s="8">
        <f t="shared" si="13"/>
        <v>221.4775145</v>
      </c>
      <c r="I47" s="8">
        <f t="shared" si="13"/>
        <v>196.8837092</v>
      </c>
      <c r="J47" s="8">
        <f t="shared" si="13"/>
        <v>212.9534042</v>
      </c>
      <c r="K47" s="8">
        <f t="shared" si="13"/>
        <v>204.1613687</v>
      </c>
      <c r="L47" s="8">
        <f t="shared" si="13"/>
        <v>196.5072688</v>
      </c>
      <c r="M47" s="8">
        <f t="shared" si="13"/>
        <v>221.7654534</v>
      </c>
    </row>
    <row r="48" ht="14.25" customHeight="1">
      <c r="A48" s="7" t="s">
        <v>36</v>
      </c>
      <c r="B48" s="7" t="s">
        <v>18</v>
      </c>
      <c r="C48" s="8">
        <f t="shared" ref="C48:M48" si="14">C14+C44</f>
        <v>216.2454545</v>
      </c>
      <c r="D48" s="8">
        <f t="shared" si="14"/>
        <v>231.16875</v>
      </c>
      <c r="E48" s="8">
        <f t="shared" si="14"/>
        <v>233.3107143</v>
      </c>
      <c r="F48" s="8">
        <f t="shared" si="14"/>
        <v>214.3107143</v>
      </c>
      <c r="G48" s="8">
        <f t="shared" si="14"/>
        <v>208.65</v>
      </c>
      <c r="H48" s="8">
        <f t="shared" si="14"/>
        <v>211.675</v>
      </c>
      <c r="I48" s="8">
        <f t="shared" si="14"/>
        <v>205.4173913</v>
      </c>
      <c r="J48" s="8">
        <f t="shared" si="14"/>
        <v>198.5511905</v>
      </c>
      <c r="K48" s="8">
        <f t="shared" si="14"/>
        <v>189.3931818</v>
      </c>
      <c r="L48" s="8">
        <f t="shared" si="14"/>
        <v>192.6565217</v>
      </c>
      <c r="M48" s="8">
        <f t="shared" si="14"/>
        <v>193.51875</v>
      </c>
    </row>
    <row r="49" ht="14.25" customHeight="1">
      <c r="A49" s="7" t="s">
        <v>36</v>
      </c>
      <c r="B49" s="11" t="s">
        <v>26</v>
      </c>
      <c r="C49" s="8">
        <f t="shared" ref="C49:M49" si="15">C48-C47</f>
        <v>-1.256628788</v>
      </c>
      <c r="D49" s="8">
        <f t="shared" si="15"/>
        <v>-5.213541667</v>
      </c>
      <c r="E49" s="8">
        <f t="shared" si="15"/>
        <v>6.818055556</v>
      </c>
      <c r="F49" s="8">
        <f t="shared" si="15"/>
        <v>1.998550616</v>
      </c>
      <c r="G49" s="8">
        <f t="shared" si="15"/>
        <v>-12.86857868</v>
      </c>
      <c r="H49" s="8">
        <f t="shared" si="15"/>
        <v>-9.802514506</v>
      </c>
      <c r="I49" s="8">
        <f t="shared" si="15"/>
        <v>8.533682108</v>
      </c>
      <c r="J49" s="8">
        <f t="shared" si="15"/>
        <v>-14.40221376</v>
      </c>
      <c r="K49" s="8">
        <f t="shared" si="15"/>
        <v>-14.76818691</v>
      </c>
      <c r="L49" s="8">
        <f t="shared" si="15"/>
        <v>-3.850747013</v>
      </c>
      <c r="M49" s="8">
        <f t="shared" si="15"/>
        <v>-28.24670339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Footer>&amp;C_x000D_#000000 DSV internal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8.63"/>
    <col customWidth="1" min="3" max="3" width="13.25"/>
    <col customWidth="1" min="4" max="8" width="12.25"/>
    <col customWidth="1" min="9" max="9" width="10.25"/>
    <col customWidth="1" min="10" max="14" width="12.25"/>
    <col customWidth="1" min="15" max="26" width="8.63"/>
  </cols>
  <sheetData>
    <row r="1" ht="14.25" customHeight="1">
      <c r="A1" s="4" t="s">
        <v>20</v>
      </c>
      <c r="B1" s="5"/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ht="14.25" customHeight="1">
      <c r="A2" s="7" t="s">
        <v>37</v>
      </c>
      <c r="B2" s="11" t="s">
        <v>15</v>
      </c>
      <c r="C2" s="8">
        <v>3548.114332329318</v>
      </c>
      <c r="D2" s="8">
        <v>3548.114332329318</v>
      </c>
      <c r="E2" s="8">
        <v>3548.114332329318</v>
      </c>
      <c r="F2" s="8">
        <v>3548.114332329318</v>
      </c>
      <c r="G2" s="8">
        <v>3548.114332329318</v>
      </c>
      <c r="H2" s="8">
        <v>3548.114332329318</v>
      </c>
      <c r="I2" s="8">
        <v>3544.624884341287</v>
      </c>
      <c r="J2" s="8">
        <v>3544.624884341287</v>
      </c>
      <c r="K2" s="8">
        <v>3544.624884341287</v>
      </c>
      <c r="L2" s="8">
        <v>3544.624884341287</v>
      </c>
      <c r="M2" s="8">
        <v>3544.624884341287</v>
      </c>
      <c r="N2" s="8">
        <v>3541.2038569020415</v>
      </c>
      <c r="P2" s="8"/>
      <c r="Q2" s="3" t="s">
        <v>38</v>
      </c>
    </row>
    <row r="3" ht="14.25" customHeight="1">
      <c r="A3" s="7" t="s">
        <v>37</v>
      </c>
      <c r="B3" s="11" t="s">
        <v>18</v>
      </c>
      <c r="C3" s="8">
        <v>3645.0</v>
      </c>
      <c r="D3" s="8">
        <v>4215.0</v>
      </c>
      <c r="E3" s="8">
        <v>4785.0</v>
      </c>
      <c r="F3" s="8">
        <v>4503.0</v>
      </c>
      <c r="G3" s="8">
        <v>4646.333333333333</v>
      </c>
      <c r="H3" s="8">
        <v>4428.45</v>
      </c>
      <c r="I3" s="8">
        <v>5053.35</v>
      </c>
      <c r="J3" s="8">
        <v>4668.066666666667</v>
      </c>
      <c r="K3" s="8">
        <v>4500.35</v>
      </c>
      <c r="L3" s="8">
        <v>5099.6</v>
      </c>
      <c r="M3" s="8">
        <v>4376.166666666667</v>
      </c>
      <c r="Q3" s="31" t="s">
        <v>39</v>
      </c>
      <c r="R3" s="32"/>
      <c r="S3" s="32"/>
      <c r="T3" s="32"/>
      <c r="U3" s="33"/>
    </row>
    <row r="4" ht="14.25" customHeight="1">
      <c r="A4" s="7" t="s">
        <v>37</v>
      </c>
      <c r="B4" s="11" t="s">
        <v>26</v>
      </c>
      <c r="C4" s="17">
        <f t="shared" ref="C4:N4" si="1">C3-C2</f>
        <v>96.88566767</v>
      </c>
      <c r="D4" s="17">
        <f t="shared" si="1"/>
        <v>666.8856677</v>
      </c>
      <c r="E4" s="17">
        <f t="shared" si="1"/>
        <v>1236.885668</v>
      </c>
      <c r="F4" s="17">
        <f t="shared" si="1"/>
        <v>954.8856677</v>
      </c>
      <c r="G4" s="17">
        <f t="shared" si="1"/>
        <v>1098.219001</v>
      </c>
      <c r="H4" s="17">
        <f t="shared" si="1"/>
        <v>880.3356677</v>
      </c>
      <c r="I4" s="17">
        <f t="shared" si="1"/>
        <v>1508.725116</v>
      </c>
      <c r="J4" s="17">
        <f t="shared" si="1"/>
        <v>1123.441782</v>
      </c>
      <c r="K4" s="17">
        <f t="shared" si="1"/>
        <v>955.7251157</v>
      </c>
      <c r="L4" s="17">
        <f t="shared" si="1"/>
        <v>1554.975116</v>
      </c>
      <c r="M4" s="17">
        <f t="shared" si="1"/>
        <v>831.5417823</v>
      </c>
      <c r="N4" s="17">
        <f t="shared" si="1"/>
        <v>-3541.203857</v>
      </c>
      <c r="Q4" s="34" t="s">
        <v>40</v>
      </c>
      <c r="U4" s="35"/>
    </row>
    <row r="5" ht="14.25" customHeight="1">
      <c r="B5" s="11"/>
      <c r="Q5" s="34"/>
      <c r="U5" s="35"/>
    </row>
    <row r="6" ht="14.25" customHeight="1">
      <c r="A6" s="7" t="s">
        <v>41</v>
      </c>
      <c r="B6" s="11" t="s">
        <v>15</v>
      </c>
      <c r="C6" s="8">
        <v>6505.710341365462</v>
      </c>
      <c r="D6" s="8">
        <v>6505.710341365462</v>
      </c>
      <c r="E6" s="8">
        <v>6505.710341365462</v>
      </c>
      <c r="F6" s="8">
        <v>6505.710341365462</v>
      </c>
      <c r="G6" s="8">
        <v>6505.710341365462</v>
      </c>
      <c r="H6" s="8">
        <v>6505.710341365462</v>
      </c>
      <c r="I6" s="8">
        <v>6499.31219977951</v>
      </c>
      <c r="J6" s="8">
        <v>6499.31219977951</v>
      </c>
      <c r="K6" s="8">
        <v>6499.31219977951</v>
      </c>
      <c r="L6" s="8">
        <v>6499.31219977951</v>
      </c>
      <c r="M6" s="8">
        <v>6499.31219977951</v>
      </c>
      <c r="N6" s="8">
        <v>6493.039511950145</v>
      </c>
      <c r="P6" s="8"/>
      <c r="Q6" s="34"/>
      <c r="U6" s="35"/>
    </row>
    <row r="7" ht="14.25" customHeight="1">
      <c r="A7" s="7" t="s">
        <v>41</v>
      </c>
      <c r="B7" s="11" t="s">
        <v>18</v>
      </c>
      <c r="C7" s="8">
        <v>6034.0</v>
      </c>
      <c r="D7" s="27">
        <v>5875.0</v>
      </c>
      <c r="E7" s="8">
        <v>6341.0</v>
      </c>
      <c r="F7" s="8">
        <v>6515.0</v>
      </c>
      <c r="G7" s="8">
        <v>5906.0</v>
      </c>
      <c r="H7" s="8">
        <v>6375.683333333333</v>
      </c>
      <c r="I7" s="8">
        <v>6665.633333333333</v>
      </c>
      <c r="J7" s="8">
        <v>6269.083333333333</v>
      </c>
      <c r="K7" s="8">
        <v>5680.116666666667</v>
      </c>
      <c r="L7" s="8">
        <v>6511.8</v>
      </c>
      <c r="M7" s="8">
        <v>5383.516666666666</v>
      </c>
      <c r="Q7" s="34"/>
      <c r="U7" s="35"/>
    </row>
    <row r="8" ht="14.25" customHeight="1">
      <c r="A8" s="7" t="s">
        <v>41</v>
      </c>
      <c r="B8" s="11" t="s">
        <v>26</v>
      </c>
      <c r="C8" s="17">
        <f t="shared" ref="C8:N8" si="2">C7-C6</f>
        <v>-471.7103414</v>
      </c>
      <c r="D8" s="17">
        <f t="shared" si="2"/>
        <v>-630.7103414</v>
      </c>
      <c r="E8" s="17">
        <f t="shared" si="2"/>
        <v>-164.7103414</v>
      </c>
      <c r="F8" s="17">
        <f t="shared" si="2"/>
        <v>9.289658635</v>
      </c>
      <c r="G8" s="17">
        <f t="shared" si="2"/>
        <v>-599.7103414</v>
      </c>
      <c r="H8" s="17">
        <f t="shared" si="2"/>
        <v>-130.027008</v>
      </c>
      <c r="I8" s="17">
        <f t="shared" si="2"/>
        <v>166.3211336</v>
      </c>
      <c r="J8" s="17">
        <f t="shared" si="2"/>
        <v>-230.2288664</v>
      </c>
      <c r="K8" s="17">
        <f t="shared" si="2"/>
        <v>-819.1955331</v>
      </c>
      <c r="L8" s="17">
        <f t="shared" si="2"/>
        <v>12.48780022</v>
      </c>
      <c r="M8" s="17">
        <f t="shared" si="2"/>
        <v>-1115.795533</v>
      </c>
      <c r="N8" s="17">
        <f t="shared" si="2"/>
        <v>-6493.039512</v>
      </c>
      <c r="Q8" s="36"/>
      <c r="R8" s="37"/>
      <c r="S8" s="37"/>
      <c r="T8" s="37"/>
      <c r="U8" s="38"/>
    </row>
    <row r="9" ht="14.25" customHeight="1">
      <c r="B9" s="11"/>
    </row>
    <row r="10" ht="14.25" customHeight="1">
      <c r="A10" s="7" t="s">
        <v>42</v>
      </c>
      <c r="B10" s="11" t="s">
        <v>15</v>
      </c>
      <c r="C10" s="8">
        <v>20873.321410642573</v>
      </c>
      <c r="D10" s="8">
        <v>20873.321410642573</v>
      </c>
      <c r="E10" s="8">
        <v>20873.321410642573</v>
      </c>
      <c r="F10" s="8">
        <v>18491.3214106426</v>
      </c>
      <c r="G10" s="8">
        <v>18495.3214106426</v>
      </c>
      <c r="H10" s="8">
        <v>18488.3214106426</v>
      </c>
      <c r="I10" s="8">
        <v>18601.7932194464</v>
      </c>
      <c r="J10" s="8">
        <v>18610.7932194464</v>
      </c>
      <c r="K10" s="8">
        <v>18537.7932194464</v>
      </c>
      <c r="L10" s="8">
        <v>18532.7932194464</v>
      </c>
      <c r="M10" s="8">
        <v>18546.7932194464</v>
      </c>
      <c r="N10" s="8">
        <v>18619.2675418031</v>
      </c>
      <c r="P10" s="8"/>
    </row>
    <row r="11" ht="14.25" customHeight="1">
      <c r="A11" s="7" t="s">
        <v>42</v>
      </c>
      <c r="B11" s="11" t="s">
        <v>18</v>
      </c>
      <c r="C11" s="8">
        <f>22700-151</f>
        <v>22549</v>
      </c>
      <c r="D11" s="8">
        <f>-13+19516</f>
        <v>19503</v>
      </c>
      <c r="E11" s="8">
        <f>19077+1023</f>
        <v>20100</v>
      </c>
      <c r="F11" s="8">
        <v>16940.0</v>
      </c>
      <c r="G11" s="8">
        <v>15226.833333333334</v>
      </c>
      <c r="H11" s="8">
        <v>15478.816666666668</v>
      </c>
      <c r="I11" s="8">
        <v>17710.183333333334</v>
      </c>
      <c r="J11" s="8">
        <v>15123.233333333334</v>
      </c>
      <c r="K11" s="8">
        <v>15336.2966666667</v>
      </c>
      <c r="L11" s="8">
        <v>15865.366666666667</v>
      </c>
      <c r="M11" s="8">
        <v>14199.28</v>
      </c>
      <c r="P11" s="8"/>
      <c r="Q11" s="39"/>
    </row>
    <row r="12" ht="14.25" customHeight="1">
      <c r="A12" s="7" t="s">
        <v>42</v>
      </c>
      <c r="B12" s="11" t="s">
        <v>26</v>
      </c>
      <c r="C12" s="17">
        <f t="shared" ref="C12:N12" si="3">C11-C10</f>
        <v>1675.678589</v>
      </c>
      <c r="D12" s="17">
        <f t="shared" si="3"/>
        <v>-1370.321411</v>
      </c>
      <c r="E12" s="17">
        <f t="shared" si="3"/>
        <v>-773.3214106</v>
      </c>
      <c r="F12" s="17">
        <f t="shared" si="3"/>
        <v>-1551.321411</v>
      </c>
      <c r="G12" s="17">
        <f t="shared" si="3"/>
        <v>-3268.488077</v>
      </c>
      <c r="H12" s="17">
        <f t="shared" si="3"/>
        <v>-3009.504744</v>
      </c>
      <c r="I12" s="17">
        <f t="shared" si="3"/>
        <v>-891.6098861</v>
      </c>
      <c r="J12" s="17">
        <f t="shared" si="3"/>
        <v>-3487.559886</v>
      </c>
      <c r="K12" s="17">
        <f t="shared" si="3"/>
        <v>-3201.496553</v>
      </c>
      <c r="L12" s="17">
        <f t="shared" si="3"/>
        <v>-2667.426553</v>
      </c>
      <c r="M12" s="17">
        <f t="shared" si="3"/>
        <v>-4347.513219</v>
      </c>
      <c r="N12" s="17">
        <f t="shared" si="3"/>
        <v>-18619.26754</v>
      </c>
      <c r="P12" s="8"/>
    </row>
    <row r="13" ht="14.25" customHeight="1">
      <c r="B13" s="11"/>
    </row>
    <row r="14" ht="14.25" customHeight="1">
      <c r="A14" s="7" t="s">
        <v>43</v>
      </c>
      <c r="B14" s="11" t="s">
        <v>15</v>
      </c>
      <c r="C14" s="8">
        <v>2302.0205823293177</v>
      </c>
      <c r="D14" s="8">
        <v>2302.0205823293177</v>
      </c>
      <c r="E14" s="8">
        <v>2302.0205823293177</v>
      </c>
      <c r="F14" s="8">
        <v>2302.0205823293177</v>
      </c>
      <c r="G14" s="8">
        <v>2302.0205823293177</v>
      </c>
      <c r="H14" s="8">
        <v>2302.0205823293177</v>
      </c>
      <c r="I14" s="8">
        <v>2299.756624537365</v>
      </c>
      <c r="J14" s="8">
        <v>2299.756624537365</v>
      </c>
      <c r="K14" s="8">
        <v>2299.756624537365</v>
      </c>
      <c r="L14" s="8">
        <v>2299.756624537365</v>
      </c>
      <c r="M14" s="8">
        <v>2299.756624537365</v>
      </c>
      <c r="N14" s="8">
        <v>2297.537058074667</v>
      </c>
    </row>
    <row r="15" ht="14.25" customHeight="1">
      <c r="A15" s="7" t="s">
        <v>43</v>
      </c>
      <c r="B15" s="11" t="s">
        <v>18</v>
      </c>
      <c r="C15" s="8">
        <v>1132.0</v>
      </c>
      <c r="D15" s="8">
        <v>1250.0</v>
      </c>
      <c r="E15" s="8">
        <v>1016.0</v>
      </c>
      <c r="F15" s="8">
        <v>943.0</v>
      </c>
      <c r="G15" s="8">
        <v>840.0</v>
      </c>
      <c r="H15" s="8">
        <v>1013.0499999999993</v>
      </c>
      <c r="I15" s="8">
        <v>809.8333333333358</v>
      </c>
      <c r="J15" s="8">
        <v>916.1</v>
      </c>
      <c r="K15" s="8">
        <v>962.27</v>
      </c>
      <c r="L15" s="8">
        <v>1031.7</v>
      </c>
      <c r="M15" s="8">
        <v>913.3666666666667</v>
      </c>
    </row>
    <row r="16" ht="14.25" customHeight="1">
      <c r="A16" s="7" t="s">
        <v>43</v>
      </c>
      <c r="B16" s="11" t="s">
        <v>26</v>
      </c>
      <c r="C16" s="17">
        <f t="shared" ref="C16:N16" si="4">C15-C14</f>
        <v>-1170.020582</v>
      </c>
      <c r="D16" s="17">
        <f t="shared" si="4"/>
        <v>-1052.020582</v>
      </c>
      <c r="E16" s="17">
        <f t="shared" si="4"/>
        <v>-1286.020582</v>
      </c>
      <c r="F16" s="17">
        <f t="shared" si="4"/>
        <v>-1359.020582</v>
      </c>
      <c r="G16" s="17">
        <f t="shared" si="4"/>
        <v>-1462.020582</v>
      </c>
      <c r="H16" s="17">
        <f t="shared" si="4"/>
        <v>-1288.970582</v>
      </c>
      <c r="I16" s="17">
        <f t="shared" si="4"/>
        <v>-1489.923291</v>
      </c>
      <c r="J16" s="17">
        <f t="shared" si="4"/>
        <v>-1383.656625</v>
      </c>
      <c r="K16" s="17">
        <f t="shared" si="4"/>
        <v>-1337.486625</v>
      </c>
      <c r="L16" s="17">
        <f t="shared" si="4"/>
        <v>-1268.056625</v>
      </c>
      <c r="M16" s="17">
        <f t="shared" si="4"/>
        <v>-1386.389958</v>
      </c>
      <c r="N16" s="17">
        <f t="shared" si="4"/>
        <v>-2297.537058</v>
      </c>
    </row>
    <row r="17" ht="14.25" customHeight="1">
      <c r="C17" s="8"/>
      <c r="D17" s="8"/>
      <c r="E17" s="8"/>
      <c r="F17" s="8"/>
      <c r="G17" s="27"/>
    </row>
    <row r="18" ht="14.25" customHeight="1"/>
    <row r="19" ht="14.25" customHeight="1">
      <c r="A19" s="18" t="s">
        <v>21</v>
      </c>
      <c r="B19" s="19"/>
      <c r="C19" s="19" t="s">
        <v>2</v>
      </c>
      <c r="D19" s="19" t="s">
        <v>3</v>
      </c>
      <c r="E19" s="19" t="s">
        <v>4</v>
      </c>
      <c r="F19" s="19" t="s">
        <v>5</v>
      </c>
      <c r="G19" s="19" t="s">
        <v>6</v>
      </c>
      <c r="H19" s="19" t="s">
        <v>7</v>
      </c>
      <c r="I19" s="19" t="s">
        <v>8</v>
      </c>
      <c r="J19" s="19" t="s">
        <v>9</v>
      </c>
      <c r="K19" s="19" t="s">
        <v>10</v>
      </c>
      <c r="L19" s="19" t="s">
        <v>11</v>
      </c>
      <c r="M19" s="19" t="s">
        <v>12</v>
      </c>
      <c r="N19" s="20" t="s">
        <v>13</v>
      </c>
    </row>
    <row r="20" ht="14.25" customHeight="1">
      <c r="A20" s="7" t="s">
        <v>37</v>
      </c>
      <c r="B20" s="11" t="s">
        <v>15</v>
      </c>
      <c r="C20" s="29">
        <f t="shared" ref="C20:N20" si="5">C2/8/C37</f>
        <v>20.15974052</v>
      </c>
      <c r="D20" s="29">
        <f t="shared" si="5"/>
        <v>22.17571458</v>
      </c>
      <c r="E20" s="29">
        <f t="shared" si="5"/>
        <v>21.11972817</v>
      </c>
      <c r="F20" s="29">
        <f t="shared" si="5"/>
        <v>21.11972817</v>
      </c>
      <c r="G20" s="29">
        <f t="shared" si="5"/>
        <v>22.17571458</v>
      </c>
      <c r="H20" s="29">
        <f t="shared" si="5"/>
        <v>22.17571458</v>
      </c>
      <c r="I20" s="29">
        <f t="shared" si="5"/>
        <v>19.26426568</v>
      </c>
      <c r="J20" s="29">
        <f t="shared" si="5"/>
        <v>21.09895764</v>
      </c>
      <c r="K20" s="29">
        <f t="shared" si="5"/>
        <v>20.13991412</v>
      </c>
      <c r="L20" s="29">
        <f t="shared" si="5"/>
        <v>19.26426568</v>
      </c>
      <c r="M20" s="29">
        <f t="shared" si="5"/>
        <v>22.15390553</v>
      </c>
      <c r="N20" s="29">
        <f t="shared" si="5"/>
        <v>21.07859439</v>
      </c>
    </row>
    <row r="21" ht="14.25" customHeight="1">
      <c r="A21" s="7" t="s">
        <v>37</v>
      </c>
      <c r="B21" s="11" t="s">
        <v>18</v>
      </c>
      <c r="C21" s="29">
        <f t="shared" ref="C21:N21" si="6">C3/8/C37</f>
        <v>20.71022727</v>
      </c>
      <c r="D21" s="29">
        <f t="shared" si="6"/>
        <v>26.34375</v>
      </c>
      <c r="E21" s="29">
        <f t="shared" si="6"/>
        <v>28.48214286</v>
      </c>
      <c r="F21" s="29">
        <f t="shared" si="6"/>
        <v>26.80357143</v>
      </c>
      <c r="G21" s="29">
        <f t="shared" si="6"/>
        <v>29.03958333</v>
      </c>
      <c r="H21" s="29">
        <f t="shared" si="6"/>
        <v>27.6778125</v>
      </c>
      <c r="I21" s="29">
        <f t="shared" si="6"/>
        <v>27.4638587</v>
      </c>
      <c r="J21" s="29">
        <f t="shared" si="6"/>
        <v>27.78611111</v>
      </c>
      <c r="K21" s="29">
        <f t="shared" si="6"/>
        <v>25.57017045</v>
      </c>
      <c r="L21" s="29">
        <f t="shared" si="6"/>
        <v>27.71521739</v>
      </c>
      <c r="M21" s="29">
        <f t="shared" si="6"/>
        <v>27.35104167</v>
      </c>
      <c r="N21" s="7">
        <f t="shared" si="6"/>
        <v>0</v>
      </c>
      <c r="R21" s="8"/>
    </row>
    <row r="22" ht="14.25" customHeight="1">
      <c r="A22" s="7" t="s">
        <v>37</v>
      </c>
      <c r="B22" s="11" t="s">
        <v>26</v>
      </c>
      <c r="C22" s="30">
        <f t="shared" ref="C22:N22" si="7">C21-C20</f>
        <v>0.5504867481</v>
      </c>
      <c r="D22" s="30">
        <f t="shared" si="7"/>
        <v>4.168035423</v>
      </c>
      <c r="E22" s="30">
        <f t="shared" si="7"/>
        <v>7.362414689</v>
      </c>
      <c r="F22" s="30">
        <f t="shared" si="7"/>
        <v>5.68384326</v>
      </c>
      <c r="G22" s="30">
        <f t="shared" si="7"/>
        <v>6.863868756</v>
      </c>
      <c r="H22" s="30">
        <f t="shared" si="7"/>
        <v>5.502097923</v>
      </c>
      <c r="I22" s="30">
        <f t="shared" si="7"/>
        <v>8.19959302</v>
      </c>
      <c r="J22" s="30">
        <f t="shared" si="7"/>
        <v>6.687153466</v>
      </c>
      <c r="K22" s="30">
        <f t="shared" si="7"/>
        <v>5.430256339</v>
      </c>
      <c r="L22" s="30">
        <f t="shared" si="7"/>
        <v>8.450951716</v>
      </c>
      <c r="M22" s="30">
        <f t="shared" si="7"/>
        <v>5.19713614</v>
      </c>
      <c r="N22" s="30">
        <f t="shared" si="7"/>
        <v>-21.07859439</v>
      </c>
    </row>
    <row r="23" ht="14.25" customHeight="1">
      <c r="B23" s="11"/>
    </row>
    <row r="24" ht="14.25" customHeight="1">
      <c r="A24" s="7" t="s">
        <v>41</v>
      </c>
      <c r="B24" s="11" t="s">
        <v>15</v>
      </c>
      <c r="C24" s="29">
        <f t="shared" ref="C24:N24" si="8">C6/8/C37</f>
        <v>36.9642633</v>
      </c>
      <c r="D24" s="29">
        <f t="shared" si="8"/>
        <v>40.66068963</v>
      </c>
      <c r="E24" s="29">
        <f t="shared" si="8"/>
        <v>38.72446632</v>
      </c>
      <c r="F24" s="29">
        <f t="shared" si="8"/>
        <v>38.72446632</v>
      </c>
      <c r="G24" s="29">
        <f t="shared" si="8"/>
        <v>40.66068963</v>
      </c>
      <c r="H24" s="29">
        <f t="shared" si="8"/>
        <v>40.66068963</v>
      </c>
      <c r="I24" s="29">
        <f t="shared" si="8"/>
        <v>35.32234891</v>
      </c>
      <c r="J24" s="29">
        <f t="shared" si="8"/>
        <v>38.68638214</v>
      </c>
      <c r="K24" s="29">
        <f t="shared" si="8"/>
        <v>36.92791023</v>
      </c>
      <c r="L24" s="29">
        <f t="shared" si="8"/>
        <v>35.32234891</v>
      </c>
      <c r="M24" s="29">
        <f t="shared" si="8"/>
        <v>40.62070125</v>
      </c>
      <c r="N24" s="29">
        <f t="shared" si="8"/>
        <v>38.64904471</v>
      </c>
    </row>
    <row r="25" ht="14.25" customHeight="1">
      <c r="A25" s="7" t="s">
        <v>41</v>
      </c>
      <c r="B25" s="11" t="s">
        <v>18</v>
      </c>
      <c r="C25" s="29">
        <f t="shared" ref="C25:N25" si="9">C7/8/C37</f>
        <v>34.28409091</v>
      </c>
      <c r="D25" s="29">
        <f t="shared" si="9"/>
        <v>36.71875</v>
      </c>
      <c r="E25" s="29">
        <f t="shared" si="9"/>
        <v>37.74404762</v>
      </c>
      <c r="F25" s="29">
        <f t="shared" si="9"/>
        <v>38.7797619</v>
      </c>
      <c r="G25" s="29">
        <f t="shared" si="9"/>
        <v>36.9125</v>
      </c>
      <c r="H25" s="29">
        <f t="shared" si="9"/>
        <v>39.84802083</v>
      </c>
      <c r="I25" s="29">
        <f t="shared" si="9"/>
        <v>36.22626812</v>
      </c>
      <c r="J25" s="29">
        <f t="shared" si="9"/>
        <v>37.31597222</v>
      </c>
      <c r="K25" s="29">
        <f t="shared" si="9"/>
        <v>32.27339015</v>
      </c>
      <c r="L25" s="29">
        <f t="shared" si="9"/>
        <v>35.39021739</v>
      </c>
      <c r="M25" s="29">
        <f t="shared" si="9"/>
        <v>33.64697917</v>
      </c>
      <c r="N25" s="29">
        <f t="shared" si="9"/>
        <v>0</v>
      </c>
    </row>
    <row r="26" ht="14.25" customHeight="1">
      <c r="A26" s="7" t="s">
        <v>41</v>
      </c>
      <c r="B26" s="11" t="s">
        <v>26</v>
      </c>
      <c r="C26" s="30">
        <f t="shared" ref="C26:N26" si="10">C25-C24</f>
        <v>-2.680172394</v>
      </c>
      <c r="D26" s="30">
        <f t="shared" si="10"/>
        <v>-3.941939634</v>
      </c>
      <c r="E26" s="30">
        <f t="shared" si="10"/>
        <v>-0.9804186986</v>
      </c>
      <c r="F26" s="30">
        <f t="shared" si="10"/>
        <v>0.05529558711</v>
      </c>
      <c r="G26" s="30">
        <f t="shared" si="10"/>
        <v>-3.748189634</v>
      </c>
      <c r="H26" s="30">
        <f t="shared" si="10"/>
        <v>-0.8126688002</v>
      </c>
      <c r="I26" s="30">
        <f t="shared" si="10"/>
        <v>0.9039192041</v>
      </c>
      <c r="J26" s="30">
        <f t="shared" si="10"/>
        <v>-1.370409919</v>
      </c>
      <c r="K26" s="30">
        <f t="shared" si="10"/>
        <v>-4.654520075</v>
      </c>
      <c r="L26" s="30">
        <f t="shared" si="10"/>
        <v>0.06786847946</v>
      </c>
      <c r="M26" s="30">
        <f t="shared" si="10"/>
        <v>-6.973722082</v>
      </c>
      <c r="N26" s="30">
        <f t="shared" si="10"/>
        <v>-38.64904471</v>
      </c>
    </row>
    <row r="27" ht="14.25" customHeight="1">
      <c r="B27" s="11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ht="14.25" customHeight="1">
      <c r="A28" s="7" t="s">
        <v>42</v>
      </c>
      <c r="B28" s="11" t="s">
        <v>15</v>
      </c>
      <c r="C28" s="29">
        <f t="shared" ref="C28:N28" si="11">C10/8/C37</f>
        <v>118.5984171</v>
      </c>
      <c r="D28" s="29">
        <f t="shared" si="11"/>
        <v>130.4582588</v>
      </c>
      <c r="E28" s="29">
        <f t="shared" si="11"/>
        <v>124.2459608</v>
      </c>
      <c r="F28" s="29">
        <f t="shared" si="11"/>
        <v>110.0673893</v>
      </c>
      <c r="G28" s="29">
        <f t="shared" si="11"/>
        <v>115.5957588</v>
      </c>
      <c r="H28" s="29">
        <f t="shared" si="11"/>
        <v>115.5520088</v>
      </c>
      <c r="I28" s="29">
        <f t="shared" si="11"/>
        <v>101.0967023</v>
      </c>
      <c r="J28" s="29">
        <f t="shared" si="11"/>
        <v>110.7785311</v>
      </c>
      <c r="K28" s="29">
        <f t="shared" si="11"/>
        <v>105.3283706</v>
      </c>
      <c r="L28" s="29">
        <f t="shared" si="11"/>
        <v>100.7217023</v>
      </c>
      <c r="M28" s="29">
        <f t="shared" si="11"/>
        <v>115.9174576</v>
      </c>
      <c r="N28" s="29">
        <f t="shared" si="11"/>
        <v>110.8289735</v>
      </c>
    </row>
    <row r="29" ht="14.25" customHeight="1">
      <c r="A29" s="7" t="s">
        <v>42</v>
      </c>
      <c r="B29" s="11" t="s">
        <v>18</v>
      </c>
      <c r="C29" s="29">
        <f t="shared" ref="C29:N29" si="12">C11/8/C37</f>
        <v>128.1193182</v>
      </c>
      <c r="D29" s="29">
        <f t="shared" si="12"/>
        <v>121.89375</v>
      </c>
      <c r="E29" s="29">
        <f t="shared" si="12"/>
        <v>119.6428571</v>
      </c>
      <c r="F29" s="29">
        <f t="shared" si="12"/>
        <v>100.8333333</v>
      </c>
      <c r="G29" s="29">
        <f t="shared" si="12"/>
        <v>95.16770833</v>
      </c>
      <c r="H29" s="29">
        <f t="shared" si="12"/>
        <v>96.74260417</v>
      </c>
      <c r="I29" s="29">
        <f t="shared" si="12"/>
        <v>96.25099638</v>
      </c>
      <c r="J29" s="29">
        <f t="shared" si="12"/>
        <v>90.01924603</v>
      </c>
      <c r="K29" s="29">
        <f t="shared" si="12"/>
        <v>87.13804924</v>
      </c>
      <c r="L29" s="29">
        <f t="shared" si="12"/>
        <v>86.22481884</v>
      </c>
      <c r="M29" s="29">
        <f t="shared" si="12"/>
        <v>88.7455</v>
      </c>
      <c r="N29" s="29">
        <f t="shared" si="12"/>
        <v>0</v>
      </c>
    </row>
    <row r="30" ht="14.25" customHeight="1">
      <c r="A30" s="7" t="s">
        <v>42</v>
      </c>
      <c r="B30" s="11" t="s">
        <v>26</v>
      </c>
      <c r="C30" s="30">
        <f t="shared" ref="C30:N30" si="13">C29-C28</f>
        <v>9.520901076</v>
      </c>
      <c r="D30" s="30">
        <f t="shared" si="13"/>
        <v>-8.564508817</v>
      </c>
      <c r="E30" s="30">
        <f t="shared" si="13"/>
        <v>-4.603103635</v>
      </c>
      <c r="F30" s="30">
        <f t="shared" si="13"/>
        <v>-9.234056016</v>
      </c>
      <c r="G30" s="30">
        <f t="shared" si="13"/>
        <v>-20.42805048</v>
      </c>
      <c r="H30" s="30">
        <f t="shared" si="13"/>
        <v>-18.80940465</v>
      </c>
      <c r="I30" s="30">
        <f t="shared" si="13"/>
        <v>-4.845705903</v>
      </c>
      <c r="J30" s="30">
        <f t="shared" si="13"/>
        <v>-20.75928504</v>
      </c>
      <c r="K30" s="30">
        <f t="shared" si="13"/>
        <v>-18.19032132</v>
      </c>
      <c r="L30" s="30">
        <f t="shared" si="13"/>
        <v>-14.49688344</v>
      </c>
      <c r="M30" s="30">
        <f t="shared" si="13"/>
        <v>-27.17195762</v>
      </c>
      <c r="N30" s="30">
        <f t="shared" si="13"/>
        <v>-110.8289735</v>
      </c>
    </row>
    <row r="31" ht="14.25" customHeight="1">
      <c r="B31" s="11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ht="14.25" customHeight="1">
      <c r="A32" s="7" t="s">
        <v>43</v>
      </c>
      <c r="B32" s="11" t="s">
        <v>15</v>
      </c>
      <c r="C32" s="29">
        <f t="shared" ref="C32:N32" si="14">C14/C37/8</f>
        <v>13.0796624</v>
      </c>
      <c r="D32" s="29">
        <f t="shared" si="14"/>
        <v>14.38762864</v>
      </c>
      <c r="E32" s="29">
        <f t="shared" si="14"/>
        <v>13.70250347</v>
      </c>
      <c r="F32" s="29">
        <f t="shared" si="14"/>
        <v>13.70250347</v>
      </c>
      <c r="G32" s="29">
        <f t="shared" si="14"/>
        <v>14.38762864</v>
      </c>
      <c r="H32" s="29">
        <f t="shared" si="14"/>
        <v>14.38762864</v>
      </c>
      <c r="I32" s="29">
        <f t="shared" si="14"/>
        <v>12.49867731</v>
      </c>
      <c r="J32" s="29">
        <f t="shared" si="14"/>
        <v>13.68902753</v>
      </c>
      <c r="K32" s="29">
        <f t="shared" si="14"/>
        <v>13.066799</v>
      </c>
      <c r="L32" s="29">
        <f t="shared" si="14"/>
        <v>12.49867731</v>
      </c>
      <c r="M32" s="29">
        <f t="shared" si="14"/>
        <v>14.3734789</v>
      </c>
      <c r="N32" s="29">
        <f t="shared" si="14"/>
        <v>13.67581582</v>
      </c>
    </row>
    <row r="33" ht="14.25" customHeight="1">
      <c r="A33" s="7" t="s">
        <v>43</v>
      </c>
      <c r="B33" s="11" t="s">
        <v>18</v>
      </c>
      <c r="C33" s="29">
        <f t="shared" ref="C33:N33" si="15">C15/8/C37</f>
        <v>6.431818182</v>
      </c>
      <c r="D33" s="29">
        <f t="shared" si="15"/>
        <v>7.8125</v>
      </c>
      <c r="E33" s="29">
        <f t="shared" si="15"/>
        <v>6.047619048</v>
      </c>
      <c r="F33" s="29">
        <f t="shared" si="15"/>
        <v>5.613095238</v>
      </c>
      <c r="G33" s="29">
        <f t="shared" si="15"/>
        <v>5.25</v>
      </c>
      <c r="H33" s="29">
        <f t="shared" si="15"/>
        <v>6.3315625</v>
      </c>
      <c r="I33" s="29">
        <f t="shared" si="15"/>
        <v>4.401268116</v>
      </c>
      <c r="J33" s="29">
        <f t="shared" si="15"/>
        <v>5.45297619</v>
      </c>
      <c r="K33" s="29">
        <f t="shared" si="15"/>
        <v>5.467443182</v>
      </c>
      <c r="L33" s="29">
        <f t="shared" si="15"/>
        <v>5.607065217</v>
      </c>
      <c r="M33" s="29">
        <f t="shared" si="15"/>
        <v>5.708541667</v>
      </c>
      <c r="N33" s="29">
        <f t="shared" si="15"/>
        <v>0</v>
      </c>
    </row>
    <row r="34" ht="14.25" customHeight="1">
      <c r="A34" s="7" t="s">
        <v>43</v>
      </c>
      <c r="B34" s="11" t="s">
        <v>26</v>
      </c>
      <c r="C34" s="30">
        <f t="shared" ref="C34:N34" si="16">C33-C32</f>
        <v>-6.647844218</v>
      </c>
      <c r="D34" s="30">
        <f t="shared" si="16"/>
        <v>-6.57512864</v>
      </c>
      <c r="E34" s="30">
        <f t="shared" si="16"/>
        <v>-7.654884419</v>
      </c>
      <c r="F34" s="30">
        <f t="shared" si="16"/>
        <v>-8.089408228</v>
      </c>
      <c r="G34" s="30">
        <f t="shared" si="16"/>
        <v>-9.13762864</v>
      </c>
      <c r="H34" s="30">
        <f t="shared" si="16"/>
        <v>-8.05606614</v>
      </c>
      <c r="I34" s="30">
        <f t="shared" si="16"/>
        <v>-8.097409191</v>
      </c>
      <c r="J34" s="30">
        <f t="shared" si="16"/>
        <v>-8.236051337</v>
      </c>
      <c r="K34" s="30">
        <f t="shared" si="16"/>
        <v>-7.599355821</v>
      </c>
      <c r="L34" s="30">
        <f t="shared" si="16"/>
        <v>-6.89161209</v>
      </c>
      <c r="M34" s="30">
        <f t="shared" si="16"/>
        <v>-8.664937237</v>
      </c>
      <c r="N34" s="30">
        <f t="shared" si="16"/>
        <v>-13.67581582</v>
      </c>
    </row>
    <row r="35" ht="14.25" customHeight="1"/>
    <row r="36" ht="14.25" customHeight="1">
      <c r="A36" s="40" t="s">
        <v>44</v>
      </c>
      <c r="B36" s="24"/>
      <c r="C36" s="24" t="s">
        <v>2</v>
      </c>
      <c r="D36" s="24" t="s">
        <v>3</v>
      </c>
      <c r="E36" s="24" t="s">
        <v>4</v>
      </c>
      <c r="F36" s="24" t="s">
        <v>5</v>
      </c>
      <c r="G36" s="24" t="s">
        <v>6</v>
      </c>
      <c r="H36" s="24" t="s">
        <v>7</v>
      </c>
      <c r="I36" s="24" t="s">
        <v>8</v>
      </c>
      <c r="J36" s="24" t="s">
        <v>9</v>
      </c>
      <c r="K36" s="24" t="s">
        <v>10</v>
      </c>
      <c r="L36" s="24" t="s">
        <v>11</v>
      </c>
      <c r="M36" s="24" t="s">
        <v>12</v>
      </c>
      <c r="N36" s="25" t="s">
        <v>13</v>
      </c>
    </row>
    <row r="37" ht="14.25" customHeight="1">
      <c r="A37" s="11" t="s">
        <v>29</v>
      </c>
      <c r="B37" s="11">
        <v>2025.0</v>
      </c>
      <c r="C37" s="11">
        <v>22.0</v>
      </c>
      <c r="D37" s="11">
        <v>20.0</v>
      </c>
      <c r="E37" s="11">
        <v>21.0</v>
      </c>
      <c r="F37" s="11">
        <v>21.0</v>
      </c>
      <c r="G37" s="11">
        <v>20.0</v>
      </c>
      <c r="H37" s="11">
        <v>20.0</v>
      </c>
      <c r="I37" s="11">
        <v>23.0</v>
      </c>
      <c r="J37" s="11">
        <v>21.0</v>
      </c>
      <c r="K37" s="11">
        <v>22.0</v>
      </c>
      <c r="L37" s="11">
        <v>23.0</v>
      </c>
      <c r="M37" s="11">
        <v>20.0</v>
      </c>
      <c r="N37" s="11">
        <v>21.0</v>
      </c>
    </row>
    <row r="38" ht="14.25" customHeight="1">
      <c r="A38" s="7" t="s">
        <v>45</v>
      </c>
      <c r="B38" s="11" t="s">
        <v>15</v>
      </c>
      <c r="C38" s="41">
        <v>11407.0</v>
      </c>
      <c r="D38" s="41">
        <v>11407.0</v>
      </c>
      <c r="E38" s="41">
        <v>11407.0</v>
      </c>
      <c r="F38" s="41">
        <v>11407.0</v>
      </c>
      <c r="G38" s="41">
        <v>11407.0</v>
      </c>
      <c r="H38" s="41">
        <v>11407.0</v>
      </c>
      <c r="I38" s="41">
        <v>11407.0</v>
      </c>
      <c r="J38" s="41">
        <v>11407.0</v>
      </c>
      <c r="K38" s="41">
        <v>11407.0</v>
      </c>
      <c r="L38" s="41">
        <v>11407.0</v>
      </c>
      <c r="M38" s="41">
        <v>11407.0</v>
      </c>
      <c r="N38" s="41">
        <v>11407.0</v>
      </c>
      <c r="P38" s="41"/>
    </row>
    <row r="39" ht="14.25" customHeight="1">
      <c r="A39" s="7" t="s">
        <v>45</v>
      </c>
      <c r="B39" s="11" t="s">
        <v>18</v>
      </c>
      <c r="C39" s="41">
        <v>10592.0</v>
      </c>
      <c r="D39" s="41">
        <v>11796.0</v>
      </c>
      <c r="E39" s="41">
        <v>13061.0</v>
      </c>
      <c r="F39" s="41">
        <v>12720.0</v>
      </c>
      <c r="G39" s="41">
        <v>13513.0</v>
      </c>
      <c r="H39" s="41">
        <v>13250.0</v>
      </c>
      <c r="I39" s="8">
        <v>14918.0</v>
      </c>
      <c r="J39" s="41">
        <v>16157.0</v>
      </c>
      <c r="K39" s="41">
        <v>12731.0</v>
      </c>
      <c r="L39" s="41">
        <v>14547.0</v>
      </c>
      <c r="M39" s="41">
        <v>13467.0</v>
      </c>
      <c r="N39" s="41"/>
      <c r="P39" s="41"/>
    </row>
    <row r="40" ht="14.25" customHeight="1">
      <c r="A40" s="7" t="s">
        <v>45</v>
      </c>
      <c r="B40" s="11" t="s">
        <v>26</v>
      </c>
      <c r="C40" s="41">
        <f t="shared" ref="C40:E40" si="17">C39-C38</f>
        <v>-815</v>
      </c>
      <c r="D40" s="41">
        <f t="shared" si="17"/>
        <v>389</v>
      </c>
      <c r="E40" s="41">
        <f t="shared" si="17"/>
        <v>1654</v>
      </c>
      <c r="F40" s="41">
        <f t="shared" ref="F40:L40" si="18">F38-F39</f>
        <v>-1313</v>
      </c>
      <c r="G40" s="41">
        <f t="shared" si="18"/>
        <v>-2106</v>
      </c>
      <c r="H40" s="41">
        <f t="shared" si="18"/>
        <v>-1843</v>
      </c>
      <c r="I40" s="41">
        <f t="shared" si="18"/>
        <v>-3511</v>
      </c>
      <c r="J40" s="41">
        <f t="shared" si="18"/>
        <v>-4750</v>
      </c>
      <c r="K40" s="41">
        <f t="shared" si="18"/>
        <v>-1324</v>
      </c>
      <c r="L40" s="41">
        <f t="shared" si="18"/>
        <v>-3140</v>
      </c>
      <c r="M40" s="41">
        <f>M39-M38</f>
        <v>2060</v>
      </c>
      <c r="N40" s="41">
        <f>N38-N39</f>
        <v>11407</v>
      </c>
      <c r="P40" s="41"/>
      <c r="Q40" s="42"/>
    </row>
    <row r="41" ht="14.25" customHeight="1">
      <c r="B41" s="11"/>
      <c r="P41" s="41"/>
      <c r="Q41" s="42"/>
    </row>
    <row r="42" ht="14.25" customHeight="1">
      <c r="A42" s="7" t="s">
        <v>46</v>
      </c>
      <c r="B42" s="11" t="s">
        <v>15</v>
      </c>
      <c r="C42" s="41">
        <v>9229.0</v>
      </c>
      <c r="D42" s="41">
        <v>9229.0</v>
      </c>
      <c r="E42" s="41">
        <v>9229.0</v>
      </c>
      <c r="F42" s="41">
        <v>9229.0</v>
      </c>
      <c r="G42" s="41">
        <v>9229.0</v>
      </c>
      <c r="H42" s="41">
        <v>9229.0</v>
      </c>
      <c r="I42" s="41">
        <v>9229.0</v>
      </c>
      <c r="J42" s="41">
        <v>9229.0</v>
      </c>
      <c r="K42" s="41">
        <v>9229.0</v>
      </c>
      <c r="L42" s="41">
        <v>9229.0</v>
      </c>
      <c r="M42" s="41">
        <v>9229.0</v>
      </c>
      <c r="N42" s="41">
        <v>9229.0</v>
      </c>
      <c r="P42" s="41"/>
      <c r="Q42" s="42"/>
    </row>
    <row r="43" ht="14.25" customHeight="1">
      <c r="A43" s="7" t="s">
        <v>46</v>
      </c>
      <c r="B43" s="11" t="s">
        <v>18</v>
      </c>
      <c r="C43" s="41">
        <v>9813.0</v>
      </c>
      <c r="D43" s="41">
        <v>10901.0</v>
      </c>
      <c r="E43" s="41">
        <v>14488.0</v>
      </c>
      <c r="F43" s="41">
        <v>11669.0</v>
      </c>
      <c r="G43" s="41">
        <v>15078.0</v>
      </c>
      <c r="H43" s="41">
        <v>12132.0</v>
      </c>
      <c r="I43" s="8">
        <v>13910.0</v>
      </c>
      <c r="J43" s="41">
        <v>14325.0</v>
      </c>
      <c r="K43" s="41">
        <v>11466.0</v>
      </c>
      <c r="L43" s="41">
        <v>14809.0</v>
      </c>
      <c r="M43" s="41">
        <v>14403.0</v>
      </c>
      <c r="N43" s="41"/>
      <c r="P43" s="41"/>
      <c r="Q43" s="42"/>
    </row>
    <row r="44" ht="14.25" customHeight="1">
      <c r="A44" s="7" t="s">
        <v>46</v>
      </c>
      <c r="B44" s="11" t="s">
        <v>26</v>
      </c>
      <c r="C44" s="41">
        <f t="shared" ref="C44:E44" si="19">C43-C42</f>
        <v>584</v>
      </c>
      <c r="D44" s="41">
        <f t="shared" si="19"/>
        <v>1672</v>
      </c>
      <c r="E44" s="41">
        <f t="shared" si="19"/>
        <v>5259</v>
      </c>
      <c r="F44" s="41">
        <f t="shared" ref="F44:L44" si="20">F42-F43</f>
        <v>-2440</v>
      </c>
      <c r="G44" s="41">
        <f t="shared" si="20"/>
        <v>-5849</v>
      </c>
      <c r="H44" s="41">
        <f t="shared" si="20"/>
        <v>-2903</v>
      </c>
      <c r="I44" s="41">
        <f t="shared" si="20"/>
        <v>-4681</v>
      </c>
      <c r="J44" s="41">
        <f t="shared" si="20"/>
        <v>-5096</v>
      </c>
      <c r="K44" s="41">
        <f t="shared" si="20"/>
        <v>-2237</v>
      </c>
      <c r="L44" s="41">
        <f t="shared" si="20"/>
        <v>-5580</v>
      </c>
      <c r="M44" s="41">
        <f>M43-M42</f>
        <v>5174</v>
      </c>
      <c r="N44" s="41">
        <f>N42-N43</f>
        <v>9229</v>
      </c>
      <c r="P44" s="41"/>
      <c r="Q44" s="42"/>
    </row>
    <row r="45" ht="14.25" customHeight="1">
      <c r="P45" s="41"/>
      <c r="Q45" s="42"/>
    </row>
    <row r="46" ht="14.25" customHeight="1">
      <c r="A46" s="7" t="s">
        <v>47</v>
      </c>
      <c r="B46" s="11" t="s">
        <v>15</v>
      </c>
      <c r="C46" s="41">
        <f t="shared" ref="C46:N46" si="21">27.5*21.75*47</f>
        <v>28111.875</v>
      </c>
      <c r="D46" s="41">
        <f t="shared" si="21"/>
        <v>28111.875</v>
      </c>
      <c r="E46" s="41">
        <f t="shared" si="21"/>
        <v>28111.875</v>
      </c>
      <c r="F46" s="41">
        <f t="shared" si="21"/>
        <v>28111.875</v>
      </c>
      <c r="G46" s="41">
        <f t="shared" si="21"/>
        <v>28111.875</v>
      </c>
      <c r="H46" s="41">
        <f t="shared" si="21"/>
        <v>28111.875</v>
      </c>
      <c r="I46" s="41">
        <f t="shared" si="21"/>
        <v>28111.875</v>
      </c>
      <c r="J46" s="41">
        <f t="shared" si="21"/>
        <v>28111.875</v>
      </c>
      <c r="K46" s="41">
        <f t="shared" si="21"/>
        <v>28111.875</v>
      </c>
      <c r="L46" s="41">
        <f t="shared" si="21"/>
        <v>28111.875</v>
      </c>
      <c r="M46" s="41">
        <f t="shared" si="21"/>
        <v>28111.875</v>
      </c>
      <c r="N46" s="41">
        <f t="shared" si="21"/>
        <v>28111.875</v>
      </c>
      <c r="P46" s="41"/>
      <c r="Q46" s="42"/>
    </row>
    <row r="47" ht="14.25" customHeight="1">
      <c r="A47" s="7" t="s">
        <v>47</v>
      </c>
      <c r="B47" s="11" t="s">
        <v>18</v>
      </c>
      <c r="C47" s="41">
        <f>30259+793</f>
        <v>31052</v>
      </c>
      <c r="D47" s="41">
        <v>25857.0</v>
      </c>
      <c r="E47" s="41">
        <f>26212+492</f>
        <v>26704</v>
      </c>
      <c r="F47" s="41">
        <f>29979+476</f>
        <v>30455</v>
      </c>
      <c r="G47" s="41">
        <f>32011+581</f>
        <v>32592</v>
      </c>
      <c r="H47" s="41">
        <v>26875.0</v>
      </c>
      <c r="I47" s="41">
        <f>31724+585</f>
        <v>32309</v>
      </c>
      <c r="J47" s="41">
        <f>545+27106</f>
        <v>27651</v>
      </c>
      <c r="K47" s="41">
        <f>27803+447</f>
        <v>28250</v>
      </c>
      <c r="L47" s="41">
        <f>29865+440</f>
        <v>30305</v>
      </c>
      <c r="M47" s="41">
        <f>29388+378</f>
        <v>29766</v>
      </c>
      <c r="N47" s="41"/>
      <c r="P47" s="41"/>
      <c r="Q47" s="42"/>
    </row>
    <row r="48" ht="14.25" customHeight="1">
      <c r="A48" s="7" t="s">
        <v>47</v>
      </c>
      <c r="B48" s="11" t="s">
        <v>26</v>
      </c>
      <c r="C48" s="41">
        <f t="shared" ref="C48:M48" si="22">C47-C46</f>
        <v>2940.125</v>
      </c>
      <c r="D48" s="41">
        <f t="shared" si="22"/>
        <v>-2254.875</v>
      </c>
      <c r="E48" s="41">
        <f t="shared" si="22"/>
        <v>-1407.875</v>
      </c>
      <c r="F48" s="41">
        <f t="shared" si="22"/>
        <v>2343.125</v>
      </c>
      <c r="G48" s="41">
        <f t="shared" si="22"/>
        <v>4480.125</v>
      </c>
      <c r="H48" s="41">
        <f t="shared" si="22"/>
        <v>-1236.875</v>
      </c>
      <c r="I48" s="41">
        <f t="shared" si="22"/>
        <v>4197.125</v>
      </c>
      <c r="J48" s="41">
        <f t="shared" si="22"/>
        <v>-460.875</v>
      </c>
      <c r="K48" s="41">
        <f t="shared" si="22"/>
        <v>138.125</v>
      </c>
      <c r="L48" s="41">
        <f t="shared" si="22"/>
        <v>2193.125</v>
      </c>
      <c r="M48" s="41">
        <f t="shared" si="22"/>
        <v>1654.125</v>
      </c>
      <c r="P48" s="41"/>
      <c r="Q48" s="42"/>
    </row>
    <row r="49" ht="14.25" customHeight="1">
      <c r="P49" s="41"/>
      <c r="Q49" s="42"/>
    </row>
    <row r="50" ht="14.25" customHeight="1">
      <c r="A50" s="7" t="s">
        <v>48</v>
      </c>
      <c r="B50" s="11" t="s">
        <v>15</v>
      </c>
      <c r="C50" s="43">
        <v>2551070.88</v>
      </c>
      <c r="D50" s="43">
        <v>2551070.88</v>
      </c>
      <c r="E50" s="43">
        <v>2551070.88</v>
      </c>
      <c r="F50" s="43">
        <v>2551070.88</v>
      </c>
      <c r="G50" s="43">
        <v>2551070.88</v>
      </c>
      <c r="H50" s="43">
        <v>2551070.88</v>
      </c>
      <c r="I50" s="43">
        <v>2551070.88</v>
      </c>
      <c r="J50" s="43">
        <v>2551070.88</v>
      </c>
      <c r="K50" s="43">
        <v>2551070.88</v>
      </c>
      <c r="L50" s="43">
        <v>2551070.88</v>
      </c>
      <c r="M50" s="43">
        <v>2551070.88</v>
      </c>
      <c r="N50" s="43">
        <v>2551070.88</v>
      </c>
      <c r="P50" s="41"/>
      <c r="Q50" s="42"/>
    </row>
    <row r="51" ht="14.25" customHeight="1">
      <c r="A51" s="7" t="s">
        <v>48</v>
      </c>
      <c r="B51" s="11" t="s">
        <v>18</v>
      </c>
      <c r="C51" s="43">
        <v>3074478.0</v>
      </c>
      <c r="D51" s="43">
        <v>2826868.0</v>
      </c>
      <c r="E51" s="43">
        <v>2974974.0</v>
      </c>
      <c r="F51" s="43">
        <v>2600503.0</v>
      </c>
      <c r="G51" s="43">
        <v>2733361.0</v>
      </c>
      <c r="H51" s="43">
        <v>2771175.0</v>
      </c>
      <c r="I51" s="43">
        <v>3047037.0</v>
      </c>
      <c r="J51" s="43">
        <v>2803704.0</v>
      </c>
      <c r="K51" s="43">
        <v>2913508.0</v>
      </c>
      <c r="L51" s="43">
        <v>2860773.0</v>
      </c>
      <c r="M51" s="43">
        <v>2396557.0</v>
      </c>
      <c r="N51" s="43"/>
      <c r="P51" s="41"/>
      <c r="Q51" s="42"/>
    </row>
    <row r="52" ht="14.25" customHeight="1">
      <c r="A52" s="7" t="s">
        <v>48</v>
      </c>
      <c r="B52" s="11" t="s">
        <v>26</v>
      </c>
      <c r="C52" s="43">
        <f t="shared" ref="C52:M52" si="23">C51-C50</f>
        <v>523407.12</v>
      </c>
      <c r="D52" s="43">
        <f t="shared" si="23"/>
        <v>275797.12</v>
      </c>
      <c r="E52" s="43">
        <f t="shared" si="23"/>
        <v>423903.12</v>
      </c>
      <c r="F52" s="43">
        <f t="shared" si="23"/>
        <v>49432.12</v>
      </c>
      <c r="G52" s="43">
        <f t="shared" si="23"/>
        <v>182290.12</v>
      </c>
      <c r="H52" s="43">
        <f t="shared" si="23"/>
        <v>220104.12</v>
      </c>
      <c r="I52" s="43">
        <f t="shared" si="23"/>
        <v>495966.12</v>
      </c>
      <c r="J52" s="43">
        <f t="shared" si="23"/>
        <v>252633.12</v>
      </c>
      <c r="K52" s="43">
        <f t="shared" si="23"/>
        <v>362437.12</v>
      </c>
      <c r="L52" s="43">
        <f t="shared" si="23"/>
        <v>309702.12</v>
      </c>
      <c r="M52" s="43">
        <f t="shared" si="23"/>
        <v>-154513.88</v>
      </c>
      <c r="N52" s="43"/>
      <c r="P52" s="41"/>
      <c r="Q52" s="42"/>
      <c r="R52" s="44"/>
    </row>
    <row r="53" ht="14.25" customHeight="1">
      <c r="A53" s="45" t="s">
        <v>49</v>
      </c>
      <c r="B53" s="46" t="s">
        <v>18</v>
      </c>
      <c r="C53" s="47">
        <v>34654.0</v>
      </c>
      <c r="D53" s="47">
        <v>32372.0</v>
      </c>
      <c r="E53" s="47">
        <v>33367.0</v>
      </c>
      <c r="F53" s="47">
        <v>27768.0</v>
      </c>
      <c r="G53" s="47">
        <v>29683.0</v>
      </c>
      <c r="H53" s="47">
        <v>29407.0</v>
      </c>
      <c r="I53" s="47">
        <v>31403.0</v>
      </c>
      <c r="J53" s="47">
        <v>29257.0</v>
      </c>
      <c r="K53" s="47">
        <v>30306.0</v>
      </c>
      <c r="L53" s="47">
        <v>29574.0</v>
      </c>
      <c r="M53" s="47">
        <v>25504.0</v>
      </c>
      <c r="N53" s="48"/>
    </row>
    <row r="54" ht="14.25" customHeight="1">
      <c r="P54" s="41"/>
    </row>
    <row r="55" ht="14.25" customHeight="1">
      <c r="A55" s="7" t="s">
        <v>50</v>
      </c>
      <c r="B55" s="11" t="s">
        <v>15</v>
      </c>
      <c r="C55" s="43">
        <v>219409.0</v>
      </c>
      <c r="D55" s="43">
        <v>219409.0</v>
      </c>
      <c r="E55" s="43">
        <v>219409.0</v>
      </c>
      <c r="F55" s="43">
        <v>219409.0</v>
      </c>
      <c r="G55" s="43">
        <v>219409.0</v>
      </c>
      <c r="H55" s="43">
        <v>219409.0</v>
      </c>
      <c r="I55" s="43">
        <v>219409.0</v>
      </c>
      <c r="J55" s="43">
        <v>219409.0</v>
      </c>
      <c r="K55" s="43">
        <v>219409.0</v>
      </c>
      <c r="L55" s="43">
        <v>219409.0</v>
      </c>
      <c r="M55" s="43">
        <v>219409.0</v>
      </c>
      <c r="N55" s="43">
        <v>219409.0</v>
      </c>
      <c r="P55" s="41"/>
      <c r="Q55" s="42"/>
    </row>
    <row r="56" ht="14.25" customHeight="1">
      <c r="A56" s="7" t="s">
        <v>50</v>
      </c>
      <c r="B56" s="11" t="s">
        <v>18</v>
      </c>
      <c r="C56" s="43">
        <v>209420.0</v>
      </c>
      <c r="D56" s="43">
        <v>180990.0</v>
      </c>
      <c r="E56" s="43">
        <v>206128.0</v>
      </c>
      <c r="F56" s="43">
        <v>188678.0</v>
      </c>
      <c r="G56" s="43">
        <v>212569.0</v>
      </c>
      <c r="H56" s="43">
        <v>206428.0</v>
      </c>
      <c r="I56" s="43">
        <v>215070.0</v>
      </c>
      <c r="J56" s="43">
        <v>197524.0</v>
      </c>
      <c r="K56" s="43">
        <v>188935.0</v>
      </c>
      <c r="L56" s="43">
        <v>183894.0</v>
      </c>
      <c r="M56" s="43">
        <v>160213.0</v>
      </c>
      <c r="N56" s="43"/>
    </row>
    <row r="57" ht="14.25" customHeight="1">
      <c r="A57" s="7" t="s">
        <v>50</v>
      </c>
      <c r="B57" s="11" t="s">
        <v>26</v>
      </c>
      <c r="C57" s="43">
        <f t="shared" ref="C57:M57" si="24">C56-C55</f>
        <v>-9989</v>
      </c>
      <c r="D57" s="43">
        <f t="shared" si="24"/>
        <v>-38419</v>
      </c>
      <c r="E57" s="43">
        <f t="shared" si="24"/>
        <v>-13281</v>
      </c>
      <c r="F57" s="43">
        <f t="shared" si="24"/>
        <v>-30731</v>
      </c>
      <c r="G57" s="43">
        <f t="shared" si="24"/>
        <v>-6840</v>
      </c>
      <c r="H57" s="43">
        <f t="shared" si="24"/>
        <v>-12981</v>
      </c>
      <c r="I57" s="43">
        <f t="shared" si="24"/>
        <v>-4339</v>
      </c>
      <c r="J57" s="43">
        <f t="shared" si="24"/>
        <v>-21885</v>
      </c>
      <c r="K57" s="43">
        <f t="shared" si="24"/>
        <v>-30474</v>
      </c>
      <c r="L57" s="43">
        <f t="shared" si="24"/>
        <v>-35515</v>
      </c>
      <c r="M57" s="43">
        <f t="shared" si="24"/>
        <v>-59196</v>
      </c>
      <c r="N57" s="43"/>
    </row>
    <row r="58" ht="14.25" customHeight="1"/>
    <row r="59" ht="14.25" customHeight="1"/>
    <row r="60" ht="14.25" customHeight="1"/>
    <row r="61" ht="14.25" customHeight="1">
      <c r="A61" s="49" t="s">
        <v>51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ht="14.25" customHeight="1">
      <c r="A62" s="7" t="s">
        <v>52</v>
      </c>
      <c r="B62" s="7" t="s">
        <v>15</v>
      </c>
      <c r="C62" s="8">
        <v>0.0</v>
      </c>
      <c r="D62" s="8">
        <v>0.0</v>
      </c>
      <c r="E62" s="8">
        <v>0.0</v>
      </c>
      <c r="F62" s="8">
        <v>0.32317022943971097</v>
      </c>
      <c r="G62" s="8">
        <v>0.19407846139074536</v>
      </c>
      <c r="H62" s="8">
        <v>-0.23565436938224593</v>
      </c>
      <c r="I62" s="8">
        <v>-0.3155639654942206</v>
      </c>
      <c r="J62" s="8">
        <v>-0.08498390122986166</v>
      </c>
      <c r="K62" s="8">
        <v>0.28603219084470766</v>
      </c>
      <c r="L62" s="8">
        <f>L2+L6+L10+L14-Topsheet!L8</f>
        <v>-0.05052233821</v>
      </c>
      <c r="M62" s="8">
        <v>0.01438628148753196</v>
      </c>
      <c r="N62" s="51">
        <v>0.04838047672819812</v>
      </c>
      <c r="O62" s="8"/>
    </row>
    <row r="63" ht="14.25" customHeight="1">
      <c r="A63" s="7" t="s">
        <v>52</v>
      </c>
      <c r="B63" s="7" t="s">
        <v>18</v>
      </c>
      <c r="C63" s="8">
        <v>0.0</v>
      </c>
      <c r="D63" s="8">
        <v>0.0</v>
      </c>
      <c r="E63" s="8">
        <v>1.0</v>
      </c>
      <c r="F63" s="8">
        <v>-1.0</v>
      </c>
      <c r="G63" s="8">
        <v>-0.8333333333357587</v>
      </c>
      <c r="H63" s="8">
        <v>0.0</v>
      </c>
      <c r="I63" s="8">
        <v>0.0</v>
      </c>
      <c r="J63" s="8">
        <v>184.48333333332994</v>
      </c>
      <c r="K63" s="8">
        <v>23.03333333336559</v>
      </c>
      <c r="L63" s="8">
        <f>L3+L7+L11+L15-Topsheet!L13</f>
        <v>65.46666667</v>
      </c>
      <c r="M63" s="8">
        <f>M3+M7+M11+M15-Topsheet!M13</f>
        <v>1.33</v>
      </c>
      <c r="N63" s="8">
        <v>0.0</v>
      </c>
      <c r="O63" s="8">
        <v>0.0</v>
      </c>
    </row>
    <row r="64" ht="14.25" customHeight="1">
      <c r="C64" s="51"/>
      <c r="D64" s="51"/>
      <c r="F64" s="51"/>
      <c r="G64" s="51"/>
      <c r="H64" s="51"/>
      <c r="I64" s="51"/>
      <c r="J64" s="51"/>
      <c r="K64" s="51"/>
      <c r="L64" s="51"/>
      <c r="M64" s="51"/>
      <c r="N64" s="51"/>
    </row>
    <row r="65" ht="14.25" customHeight="1">
      <c r="F65" s="51"/>
      <c r="G65" s="51"/>
      <c r="H65" s="51"/>
    </row>
    <row r="66" ht="14.25" customHeight="1"/>
    <row r="67" ht="14.25" customHeight="1">
      <c r="F67" s="13"/>
      <c r="G67" s="13"/>
      <c r="H67" s="13"/>
      <c r="I67" s="13"/>
    </row>
    <row r="68" ht="14.25" customHeight="1">
      <c r="F68" s="8"/>
      <c r="G68" s="8"/>
      <c r="H68" s="8"/>
      <c r="I68" s="13"/>
    </row>
    <row r="69" ht="14.25" customHeight="1">
      <c r="F69" s="13"/>
      <c r="G69" s="13"/>
      <c r="H69" s="13"/>
      <c r="I69" s="13"/>
    </row>
    <row r="70" ht="14.25" customHeight="1"/>
    <row r="71" ht="14.25" customHeight="1">
      <c r="F71" s="41"/>
      <c r="G71" s="41"/>
      <c r="H71" s="41"/>
    </row>
    <row r="72" ht="14.25" customHeight="1">
      <c r="F72" s="41"/>
      <c r="G72" s="41"/>
      <c r="H72" s="41"/>
    </row>
    <row r="73" ht="14.25" customHeight="1"/>
    <row r="74" ht="14.25" customHeight="1">
      <c r="F74" s="13"/>
      <c r="G74" s="13"/>
      <c r="H74" s="13"/>
      <c r="I74" s="13"/>
    </row>
    <row r="75" ht="14.25" customHeight="1">
      <c r="I75" s="13"/>
    </row>
    <row r="76" ht="14.25" customHeight="1">
      <c r="F76" s="13"/>
      <c r="G76" s="13"/>
      <c r="H76" s="13"/>
      <c r="I76" s="13"/>
    </row>
    <row r="77" ht="14.25" customHeight="1"/>
    <row r="78" ht="14.25" customHeight="1">
      <c r="F78" s="41"/>
      <c r="G78" s="41"/>
      <c r="H78" s="41"/>
    </row>
    <row r="79" ht="14.25" customHeight="1">
      <c r="F79" s="41"/>
      <c r="G79" s="41"/>
      <c r="H79" s="41"/>
    </row>
    <row r="80" ht="14.25" customHeight="1">
      <c r="I80" s="13"/>
    </row>
    <row r="81" ht="14.25" customHeight="1">
      <c r="F81" s="13"/>
      <c r="G81" s="13"/>
      <c r="H81" s="13"/>
      <c r="I81" s="13"/>
    </row>
    <row r="82" ht="14.25" customHeight="1">
      <c r="I82" s="13"/>
    </row>
    <row r="83" ht="14.25" customHeight="1">
      <c r="F83" s="13"/>
      <c r="G83" s="13"/>
      <c r="H83" s="13"/>
      <c r="I83" s="13"/>
    </row>
    <row r="84" ht="14.25" customHeight="1">
      <c r="E84" s="13"/>
      <c r="F84" s="8"/>
      <c r="G84" s="8"/>
      <c r="H84" s="8"/>
      <c r="I84" s="13"/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62:O62 C63:L63 N63:O63">
    <cfRule type="cellIs" dxfId="0" priority="1" operator="equal">
      <formula>0</formula>
    </cfRule>
  </conditionalFormatting>
  <conditionalFormatting sqref="M63">
    <cfRule type="cellIs" dxfId="0" priority="2" operator="equal">
      <formula>0</formula>
    </cfRule>
  </conditionalFormatting>
  <printOptions/>
  <pageMargins bottom="0.75" footer="0.0" header="0.0" left="0.7" right="0.7" top="0.75"/>
  <pageSetup orientation="landscape"/>
  <headerFooter>
    <oddFooter>&amp;C_x000D_#000000 DSV internal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6.75"/>
    <col customWidth="1" min="3" max="3" width="10.0"/>
    <col customWidth="1" min="4" max="8" width="9.75"/>
    <col customWidth="1" min="9" max="9" width="11.13"/>
    <col customWidth="1" min="10" max="12" width="9.75"/>
    <col customWidth="1" min="13" max="13" width="11.13"/>
    <col customWidth="1" min="14" max="14" width="9.75"/>
    <col customWidth="1" min="15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.0" customHeight="1">
      <c r="A2" s="3"/>
    </row>
    <row r="3" ht="5.25" customHeight="1">
      <c r="A3" s="3"/>
    </row>
    <row r="4" ht="14.25" customHeight="1">
      <c r="A4" s="3"/>
    </row>
    <row r="5" ht="14.25" customHeight="1">
      <c r="A5" s="4" t="s">
        <v>1</v>
      </c>
      <c r="B5" s="5"/>
      <c r="C5" s="5" t="s">
        <v>53</v>
      </c>
      <c r="D5" s="5" t="s">
        <v>54</v>
      </c>
      <c r="E5" s="5" t="s">
        <v>55</v>
      </c>
      <c r="F5" s="5" t="s">
        <v>56</v>
      </c>
      <c r="G5" s="5" t="s">
        <v>57</v>
      </c>
      <c r="H5" s="5" t="s">
        <v>58</v>
      </c>
      <c r="I5" s="5" t="s">
        <v>59</v>
      </c>
      <c r="J5" s="5" t="s">
        <v>60</v>
      </c>
      <c r="K5" s="5" t="s">
        <v>61</v>
      </c>
      <c r="L5" s="5" t="s">
        <v>62</v>
      </c>
      <c r="M5" s="5" t="s">
        <v>63</v>
      </c>
      <c r="N5" s="5" t="s">
        <v>64</v>
      </c>
    </row>
    <row r="6" ht="14.25" customHeight="1">
      <c r="A6" s="3"/>
      <c r="C6" s="14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14.25" customHeight="1">
      <c r="A7" s="7" t="s">
        <v>14</v>
      </c>
      <c r="B7" s="7" t="s">
        <v>18</v>
      </c>
      <c r="C7" s="8">
        <f t="shared" ref="C7:N7" si="1">C9-C8</f>
        <v>7908</v>
      </c>
      <c r="D7" s="8">
        <f t="shared" si="1"/>
        <v>7457</v>
      </c>
      <c r="E7" s="8">
        <f t="shared" si="1"/>
        <v>8064</v>
      </c>
      <c r="F7" s="8">
        <f t="shared" si="1"/>
        <v>10246</v>
      </c>
      <c r="G7" s="8">
        <f t="shared" si="1"/>
        <v>9947</v>
      </c>
      <c r="H7" s="8">
        <f t="shared" si="1"/>
        <v>9577.16</v>
      </c>
      <c r="I7" s="8">
        <f t="shared" si="1"/>
        <v>12040.51</v>
      </c>
      <c r="J7" s="8">
        <f t="shared" si="1"/>
        <v>11018</v>
      </c>
      <c r="K7" s="8">
        <f t="shared" si="1"/>
        <v>10711</v>
      </c>
      <c r="L7" s="8">
        <f t="shared" si="1"/>
        <v>11577</v>
      </c>
      <c r="M7" s="8">
        <f t="shared" si="1"/>
        <v>13417</v>
      </c>
      <c r="N7" s="8">
        <f t="shared" si="1"/>
        <v>11442</v>
      </c>
    </row>
    <row r="8" ht="14.25" customHeight="1">
      <c r="A8" s="7" t="s">
        <v>16</v>
      </c>
      <c r="B8" s="7" t="s">
        <v>18</v>
      </c>
      <c r="C8" s="8">
        <v>23685.0</v>
      </c>
      <c r="D8" s="8">
        <v>22004.0</v>
      </c>
      <c r="E8" s="8">
        <v>18382.0</v>
      </c>
      <c r="F8" s="8">
        <v>17135.0</v>
      </c>
      <c r="G8" s="8">
        <v>18519.0</v>
      </c>
      <c r="H8" s="8">
        <v>18977.84</v>
      </c>
      <c r="I8" s="8">
        <v>23722.49</v>
      </c>
      <c r="J8" s="8">
        <v>21395.0</v>
      </c>
      <c r="K8" s="8">
        <v>19078.0</v>
      </c>
      <c r="L8" s="8">
        <v>21931.0</v>
      </c>
      <c r="M8" s="8">
        <v>20356.0</v>
      </c>
      <c r="N8" s="8">
        <v>19109.0</v>
      </c>
    </row>
    <row r="9" ht="14.25" customHeight="1">
      <c r="A9" s="3" t="s">
        <v>32</v>
      </c>
      <c r="B9" s="7" t="s">
        <v>18</v>
      </c>
      <c r="C9" s="9">
        <v>31593.0</v>
      </c>
      <c r="D9" s="9">
        <v>29461.0</v>
      </c>
      <c r="E9" s="9">
        <v>26446.0</v>
      </c>
      <c r="F9" s="9">
        <v>27381.0</v>
      </c>
      <c r="G9" s="9">
        <v>28466.0</v>
      </c>
      <c r="H9" s="9">
        <v>28555.0</v>
      </c>
      <c r="I9" s="9">
        <v>35763.0</v>
      </c>
      <c r="J9" s="9">
        <v>32413.0</v>
      </c>
      <c r="K9" s="9">
        <v>29789.0</v>
      </c>
      <c r="L9" s="9">
        <v>33508.0</v>
      </c>
      <c r="M9" s="9">
        <v>33773.0</v>
      </c>
      <c r="N9" s="9">
        <v>30551.0</v>
      </c>
    </row>
    <row r="10" ht="14.25" customHeight="1">
      <c r="A10" s="11" t="s">
        <v>17</v>
      </c>
      <c r="B10" s="7" t="s">
        <v>18</v>
      </c>
      <c r="C10" s="17">
        <f t="shared" ref="C10:N10" si="2">C9/C30/8</f>
        <v>179.5056818</v>
      </c>
      <c r="D10" s="17">
        <f t="shared" si="2"/>
        <v>175.3630952</v>
      </c>
      <c r="E10" s="17">
        <f t="shared" si="2"/>
        <v>157.4166667</v>
      </c>
      <c r="F10" s="17">
        <f t="shared" si="2"/>
        <v>162.9821429</v>
      </c>
      <c r="G10" s="17">
        <f t="shared" si="2"/>
        <v>169.4404762</v>
      </c>
      <c r="H10" s="17">
        <f t="shared" si="2"/>
        <v>178.46875</v>
      </c>
      <c r="I10" s="17">
        <f t="shared" si="2"/>
        <v>194.3641304</v>
      </c>
      <c r="J10" s="17">
        <f t="shared" si="2"/>
        <v>184.1647727</v>
      </c>
      <c r="K10" s="17">
        <f t="shared" si="2"/>
        <v>177.3154762</v>
      </c>
      <c r="L10" s="17">
        <f t="shared" si="2"/>
        <v>182.1086957</v>
      </c>
      <c r="M10" s="17">
        <f t="shared" si="2"/>
        <v>201.0297619</v>
      </c>
      <c r="N10" s="17">
        <f t="shared" si="2"/>
        <v>190.94375</v>
      </c>
    </row>
    <row r="11" ht="14.25" customHeight="1">
      <c r="A11" s="1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ht="14.25" customHeight="1">
      <c r="A12" s="7" t="s">
        <v>65</v>
      </c>
      <c r="B12" s="7" t="s">
        <v>18</v>
      </c>
      <c r="C12" s="17"/>
      <c r="D12" s="17"/>
      <c r="E12" s="17"/>
      <c r="F12" s="17"/>
      <c r="G12" s="17"/>
      <c r="H12" s="17"/>
      <c r="I12" s="17">
        <v>392.05</v>
      </c>
      <c r="J12" s="17">
        <v>1503.7666666666667</v>
      </c>
      <c r="K12" s="17">
        <v>2840.1666666666665</v>
      </c>
      <c r="L12" s="17">
        <v>2954.116666666667</v>
      </c>
      <c r="M12" s="17">
        <v>3298.1166666666663</v>
      </c>
      <c r="N12" s="17">
        <v>3182.716666666667</v>
      </c>
    </row>
    <row r="13" ht="14.25" customHeight="1">
      <c r="A13" s="7" t="s">
        <v>66</v>
      </c>
      <c r="B13" s="7" t="s">
        <v>18</v>
      </c>
      <c r="C13" s="17">
        <v>23037.08333333334</v>
      </c>
      <c r="D13" s="17">
        <v>22602.766666666666</v>
      </c>
      <c r="E13" s="17">
        <v>20153.616666666672</v>
      </c>
      <c r="F13" s="17">
        <v>21223.966666666664</v>
      </c>
      <c r="G13" s="17">
        <v>22162.08333333333</v>
      </c>
      <c r="H13" s="17">
        <v>21604.866666666665</v>
      </c>
      <c r="I13" s="17">
        <v>26363.85</v>
      </c>
      <c r="J13" s="17">
        <v>23940.44999999999</v>
      </c>
      <c r="K13" s="17">
        <v>19680.016666666666</v>
      </c>
      <c r="L13" s="17">
        <v>22429.316666666662</v>
      </c>
      <c r="M13" s="17">
        <v>23351.400000000005</v>
      </c>
      <c r="N13" s="17">
        <v>21921.199999999997</v>
      </c>
    </row>
    <row r="14" ht="14.25" customHeight="1">
      <c r="A14" s="7" t="s">
        <v>67</v>
      </c>
      <c r="B14" s="7" t="s">
        <v>18</v>
      </c>
      <c r="C14" s="17">
        <v>7682.2</v>
      </c>
      <c r="D14" s="17">
        <v>6051.5666666666675</v>
      </c>
      <c r="E14" s="17">
        <v>4879.483333333334</v>
      </c>
      <c r="F14" s="17">
        <v>5407.466666666667</v>
      </c>
      <c r="G14" s="17">
        <v>5385.833333333334</v>
      </c>
      <c r="H14" s="17">
        <v>5849.316666666667</v>
      </c>
      <c r="I14" s="17">
        <v>7216.9</v>
      </c>
      <c r="J14" s="17">
        <v>5662.0</v>
      </c>
      <c r="K14" s="17">
        <v>6216.433333333334</v>
      </c>
      <c r="L14" s="17">
        <v>7096.866666666668</v>
      </c>
      <c r="M14" s="17">
        <v>5608.616666666668</v>
      </c>
      <c r="N14" s="17">
        <v>4196.900000000001</v>
      </c>
    </row>
    <row r="15" ht="14.25" customHeight="1">
      <c r="A15" s="7" t="s">
        <v>68</v>
      </c>
      <c r="B15" s="7" t="s">
        <v>18</v>
      </c>
      <c r="C15" s="17">
        <f t="shared" ref="C15:N15" si="3">C9-C14-C13-C12</f>
        <v>873.7166667</v>
      </c>
      <c r="D15" s="17">
        <f t="shared" si="3"/>
        <v>806.6666667</v>
      </c>
      <c r="E15" s="17">
        <f t="shared" si="3"/>
        <v>1412.9</v>
      </c>
      <c r="F15" s="17">
        <f t="shared" si="3"/>
        <v>749.5666667</v>
      </c>
      <c r="G15" s="17">
        <f t="shared" si="3"/>
        <v>918.0833333</v>
      </c>
      <c r="H15" s="17">
        <f t="shared" si="3"/>
        <v>1100.816667</v>
      </c>
      <c r="I15" s="17">
        <f t="shared" si="3"/>
        <v>1790.2</v>
      </c>
      <c r="J15" s="17">
        <f t="shared" si="3"/>
        <v>1306.783333</v>
      </c>
      <c r="K15" s="17">
        <f t="shared" si="3"/>
        <v>1052.383333</v>
      </c>
      <c r="L15" s="17">
        <f t="shared" si="3"/>
        <v>1027.7</v>
      </c>
      <c r="M15" s="17">
        <f t="shared" si="3"/>
        <v>1514.866667</v>
      </c>
      <c r="N15" s="17">
        <f t="shared" si="3"/>
        <v>1250.183333</v>
      </c>
    </row>
    <row r="16" ht="14.25" customHeight="1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4.25" customHeight="1">
      <c r="A17" s="3"/>
    </row>
    <row r="18" ht="3.0" customHeight="1">
      <c r="A18" s="3"/>
    </row>
    <row r="19" ht="14.25" customHeight="1">
      <c r="A19" s="18" t="s">
        <v>22</v>
      </c>
      <c r="B19" s="19"/>
      <c r="C19" s="19" t="str">
        <f t="shared" ref="C19:N19" si="4">C5</f>
        <v>24.01</v>
      </c>
      <c r="D19" s="19" t="str">
        <f t="shared" si="4"/>
        <v>24.02</v>
      </c>
      <c r="E19" s="19" t="str">
        <f t="shared" si="4"/>
        <v>24.03</v>
      </c>
      <c r="F19" s="19" t="str">
        <f t="shared" si="4"/>
        <v>24.04</v>
      </c>
      <c r="G19" s="19" t="str">
        <f t="shared" si="4"/>
        <v>24.05</v>
      </c>
      <c r="H19" s="19" t="str">
        <f t="shared" si="4"/>
        <v>24.06</v>
      </c>
      <c r="I19" s="19" t="str">
        <f t="shared" si="4"/>
        <v>24.07</v>
      </c>
      <c r="J19" s="19" t="str">
        <f t="shared" si="4"/>
        <v>24.08</v>
      </c>
      <c r="K19" s="19" t="str">
        <f t="shared" si="4"/>
        <v>24.09</v>
      </c>
      <c r="L19" s="19" t="str">
        <f t="shared" si="4"/>
        <v>24.10</v>
      </c>
      <c r="M19" s="19" t="str">
        <f t="shared" si="4"/>
        <v>24.11</v>
      </c>
      <c r="N19" s="19" t="str">
        <f t="shared" si="4"/>
        <v>24.12</v>
      </c>
    </row>
    <row r="20" ht="14.25" customHeight="1">
      <c r="A20" s="7" t="s">
        <v>23</v>
      </c>
      <c r="B20" s="7" t="s">
        <v>15</v>
      </c>
      <c r="C20" s="16">
        <v>0.05</v>
      </c>
      <c r="D20" s="52">
        <v>0.05</v>
      </c>
      <c r="E20" s="52">
        <v>0.05</v>
      </c>
      <c r="F20" s="52">
        <v>0.05</v>
      </c>
      <c r="G20" s="52">
        <v>0.05</v>
      </c>
      <c r="H20" s="52">
        <v>0.05</v>
      </c>
      <c r="I20" s="52">
        <v>0.05</v>
      </c>
      <c r="J20" s="52">
        <v>0.05</v>
      </c>
      <c r="K20" s="52">
        <v>0.05</v>
      </c>
      <c r="L20" s="52">
        <v>0.05</v>
      </c>
      <c r="M20" s="52">
        <v>0.05</v>
      </c>
      <c r="N20" s="52">
        <v>0.05</v>
      </c>
    </row>
    <row r="21" ht="14.25" customHeight="1">
      <c r="A21" s="7" t="s">
        <v>23</v>
      </c>
      <c r="B21" s="7" t="s">
        <v>18</v>
      </c>
      <c r="C21" s="16">
        <v>0.052901440546919504</v>
      </c>
      <c r="D21" s="52">
        <v>0.0328579418344519</v>
      </c>
      <c r="E21" s="52">
        <v>0.03659070990359334</v>
      </c>
      <c r="F21" s="52">
        <v>0.029036004645760744</v>
      </c>
      <c r="G21" s="52">
        <v>0.05018219998764746</v>
      </c>
      <c r="H21" s="52">
        <v>0.03719839142091153</v>
      </c>
      <c r="I21" s="52">
        <v>0.04522703973949225</v>
      </c>
      <c r="J21" s="52">
        <v>0.04570672046400202</v>
      </c>
      <c r="K21" s="52">
        <v>0.0471797875282672</v>
      </c>
      <c r="L21" s="52">
        <v>0.05486466715435259</v>
      </c>
      <c r="M21" s="52">
        <v>0.08112155753390464</v>
      </c>
      <c r="N21" s="52">
        <v>0.07175660160734787</v>
      </c>
    </row>
    <row r="22" ht="14.25" customHeight="1">
      <c r="C22" s="8"/>
    </row>
    <row r="23" ht="14.25" customHeight="1"/>
    <row r="24" ht="14.25" customHeight="1">
      <c r="A24" s="22" t="s">
        <v>24</v>
      </c>
      <c r="B24" s="23"/>
      <c r="C24" s="24" t="str">
        <f t="shared" ref="C24:N24" si="5">C19</f>
        <v>24.01</v>
      </c>
      <c r="D24" s="24" t="str">
        <f t="shared" si="5"/>
        <v>24.02</v>
      </c>
      <c r="E24" s="24" t="str">
        <f t="shared" si="5"/>
        <v>24.03</v>
      </c>
      <c r="F24" s="24" t="str">
        <f t="shared" si="5"/>
        <v>24.04</v>
      </c>
      <c r="G24" s="24" t="str">
        <f t="shared" si="5"/>
        <v>24.05</v>
      </c>
      <c r="H24" s="24" t="str">
        <f t="shared" si="5"/>
        <v>24.06</v>
      </c>
      <c r="I24" s="24" t="str">
        <f t="shared" si="5"/>
        <v>24.07</v>
      </c>
      <c r="J24" s="24" t="str">
        <f t="shared" si="5"/>
        <v>24.08</v>
      </c>
      <c r="K24" s="24" t="str">
        <f t="shared" si="5"/>
        <v>24.09</v>
      </c>
      <c r="L24" s="24" t="str">
        <f t="shared" si="5"/>
        <v>24.10</v>
      </c>
      <c r="M24" s="24" t="str">
        <f t="shared" si="5"/>
        <v>24.11</v>
      </c>
      <c r="N24" s="24" t="str">
        <f t="shared" si="5"/>
        <v>24.12</v>
      </c>
    </row>
    <row r="25" ht="14.25" customHeight="1">
      <c r="A25" s="7" t="s">
        <v>25</v>
      </c>
      <c r="B25" s="7" t="s">
        <v>18</v>
      </c>
      <c r="C25" s="13">
        <v>893825.4399999998</v>
      </c>
      <c r="D25" s="8">
        <v>905532.79</v>
      </c>
      <c r="E25" s="53">
        <v>617589.2800000001</v>
      </c>
      <c r="F25" s="13">
        <v>740448.14</v>
      </c>
      <c r="G25" s="13">
        <v>830544.96</v>
      </c>
      <c r="H25" s="13">
        <v>813661.8299999997</v>
      </c>
      <c r="I25" s="13">
        <v>1056103.9800000004</v>
      </c>
      <c r="J25" s="13">
        <v>939875.9399999998</v>
      </c>
      <c r="K25" s="13">
        <v>902914.6799999999</v>
      </c>
      <c r="L25" s="13">
        <v>949451.3699999999</v>
      </c>
      <c r="M25" s="13">
        <v>1012199.5800000001</v>
      </c>
      <c r="N25" s="13">
        <v>941341.83</v>
      </c>
    </row>
    <row r="26" ht="14.25" customHeight="1">
      <c r="A26" s="7" t="s">
        <v>27</v>
      </c>
      <c r="C26" s="26">
        <f t="shared" ref="C26:N26" si="6">(C25/C9)</f>
        <v>28.29188238</v>
      </c>
      <c r="D26" s="26">
        <f t="shared" si="6"/>
        <v>30.73666169</v>
      </c>
      <c r="E26" s="54">
        <f t="shared" si="6"/>
        <v>23.35284277</v>
      </c>
      <c r="F26" s="26">
        <f t="shared" si="6"/>
        <v>27.04240678</v>
      </c>
      <c r="G26" s="26">
        <f t="shared" si="6"/>
        <v>29.17673575</v>
      </c>
      <c r="H26" s="26">
        <f t="shared" si="6"/>
        <v>28.49454842</v>
      </c>
      <c r="I26" s="26">
        <f t="shared" si="6"/>
        <v>29.53063166</v>
      </c>
      <c r="J26" s="26">
        <f t="shared" si="6"/>
        <v>28.99688212</v>
      </c>
      <c r="K26" s="26">
        <f t="shared" si="6"/>
        <v>30.31033872</v>
      </c>
      <c r="L26" s="26">
        <f t="shared" si="6"/>
        <v>28.33506536</v>
      </c>
      <c r="M26" s="26">
        <f t="shared" si="6"/>
        <v>29.97067421</v>
      </c>
      <c r="N26" s="26">
        <f t="shared" si="6"/>
        <v>30.81214461</v>
      </c>
    </row>
    <row r="27" ht="14.25" customHeight="1"/>
    <row r="28" ht="14.25" customHeight="1"/>
    <row r="29" ht="14.25" customHeight="1">
      <c r="A29" s="1" t="s">
        <v>34</v>
      </c>
      <c r="B29" s="2"/>
      <c r="C29" s="55" t="str">
        <f t="shared" ref="C29:N29" si="7">C5</f>
        <v>24.01</v>
      </c>
      <c r="D29" s="55" t="str">
        <f t="shared" si="7"/>
        <v>24.02</v>
      </c>
      <c r="E29" s="55" t="str">
        <f t="shared" si="7"/>
        <v>24.03</v>
      </c>
      <c r="F29" s="55" t="str">
        <f t="shared" si="7"/>
        <v>24.04</v>
      </c>
      <c r="G29" s="55" t="str">
        <f t="shared" si="7"/>
        <v>24.05</v>
      </c>
      <c r="H29" s="55" t="str">
        <f t="shared" si="7"/>
        <v>24.06</v>
      </c>
      <c r="I29" s="55" t="str">
        <f t="shared" si="7"/>
        <v>24.07</v>
      </c>
      <c r="J29" s="55" t="str">
        <f t="shared" si="7"/>
        <v>24.08</v>
      </c>
      <c r="K29" s="55" t="str">
        <f t="shared" si="7"/>
        <v>24.09</v>
      </c>
      <c r="L29" s="55" t="str">
        <f t="shared" si="7"/>
        <v>24.10</v>
      </c>
      <c r="M29" s="55" t="str">
        <f t="shared" si="7"/>
        <v>24.11</v>
      </c>
      <c r="N29" s="55" t="str">
        <f t="shared" si="7"/>
        <v>24.12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hidden="1" customHeight="1">
      <c r="A30" s="11" t="s">
        <v>29</v>
      </c>
      <c r="B30" s="11">
        <v>2024.0</v>
      </c>
      <c r="C30" s="11">
        <v>22.0</v>
      </c>
      <c r="D30" s="11">
        <v>21.0</v>
      </c>
      <c r="E30" s="11">
        <v>21.0</v>
      </c>
      <c r="F30" s="11">
        <v>21.0</v>
      </c>
      <c r="G30" s="11">
        <v>21.0</v>
      </c>
      <c r="H30" s="11">
        <v>20.0</v>
      </c>
      <c r="I30" s="11">
        <v>23.0</v>
      </c>
      <c r="J30" s="11">
        <v>22.0</v>
      </c>
      <c r="K30" s="11">
        <v>21.0</v>
      </c>
      <c r="L30" s="11">
        <v>23.0</v>
      </c>
      <c r="M30" s="11">
        <v>21.0</v>
      </c>
      <c r="N30" s="11">
        <v>20.0</v>
      </c>
    </row>
    <row r="31" ht="14.25" customHeight="1">
      <c r="A31" s="7" t="s">
        <v>21</v>
      </c>
      <c r="C31" s="56">
        <v>28.3</v>
      </c>
      <c r="D31" s="56">
        <v>26.4</v>
      </c>
      <c r="E31" s="56">
        <v>26.400000000000002</v>
      </c>
      <c r="F31" s="56">
        <v>31.4</v>
      </c>
      <c r="G31" s="56">
        <v>31.4</v>
      </c>
      <c r="H31" s="56">
        <v>31.4</v>
      </c>
      <c r="I31" s="56">
        <v>29.4</v>
      </c>
      <c r="J31" s="56">
        <v>27.4</v>
      </c>
      <c r="K31" s="56">
        <v>28.4</v>
      </c>
      <c r="L31" s="56">
        <v>27.6</v>
      </c>
      <c r="M31" s="56">
        <v>29.6</v>
      </c>
      <c r="N31" s="56">
        <v>27.7</v>
      </c>
    </row>
    <row r="32" ht="14.25" customHeight="1"/>
    <row r="33" ht="14.25" customHeight="1"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&amp;C_x000D_#000000 DSV internal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9.0"/>
    <col customWidth="1" min="3" max="3" width="14.25"/>
    <col customWidth="1" min="4" max="4" width="8.0"/>
    <col customWidth="1" min="5" max="5" width="11.5"/>
    <col customWidth="1" min="6" max="6" width="20.75"/>
    <col customWidth="1" min="7" max="7" width="8.5"/>
    <col customWidth="1" min="8" max="8" width="15.5"/>
    <col customWidth="1" min="9" max="9" width="6.5"/>
    <col customWidth="1" min="10" max="10" width="23.25"/>
    <col customWidth="1" min="11" max="11" width="12.0"/>
    <col customWidth="1" min="12" max="12" width="16.5"/>
    <col customWidth="1" min="13" max="14" width="15.5"/>
    <col customWidth="1" min="15" max="15" width="16.75"/>
    <col customWidth="1" min="16" max="16" width="10.5"/>
    <col customWidth="1" min="17" max="26" width="8.63"/>
  </cols>
  <sheetData>
    <row r="1" ht="14.25" customHeight="1">
      <c r="A1" s="57" t="s">
        <v>69</v>
      </c>
      <c r="B1" s="57" t="s">
        <v>70</v>
      </c>
      <c r="C1" s="57" t="s">
        <v>71</v>
      </c>
      <c r="D1" s="57" t="s">
        <v>72</v>
      </c>
      <c r="E1" s="57" t="s">
        <v>73</v>
      </c>
      <c r="F1" s="57" t="s">
        <v>74</v>
      </c>
      <c r="G1" s="57" t="s">
        <v>75</v>
      </c>
      <c r="H1" s="57" t="s">
        <v>76</v>
      </c>
      <c r="I1" s="57" t="s">
        <v>21</v>
      </c>
      <c r="J1" s="57" t="s">
        <v>77</v>
      </c>
      <c r="K1" s="57" t="s">
        <v>78</v>
      </c>
      <c r="L1" s="57" t="s">
        <v>79</v>
      </c>
      <c r="M1" s="57" t="s">
        <v>80</v>
      </c>
      <c r="N1" s="57" t="s">
        <v>81</v>
      </c>
      <c r="O1" s="57" t="s">
        <v>82</v>
      </c>
      <c r="P1" s="57" t="s">
        <v>83</v>
      </c>
    </row>
    <row r="2" ht="14.25" customHeight="1">
      <c r="A2" s="58">
        <v>2025.0</v>
      </c>
      <c r="B2" s="58">
        <v>1.0</v>
      </c>
      <c r="C2" s="59">
        <v>22.0</v>
      </c>
      <c r="D2" s="58" t="s">
        <v>15</v>
      </c>
      <c r="E2" s="58" t="s">
        <v>37</v>
      </c>
      <c r="F2" s="58" t="s">
        <v>84</v>
      </c>
      <c r="G2" s="59">
        <f>'Hours &amp; volumes per subgroup'!C38</f>
        <v>11407</v>
      </c>
      <c r="H2" s="59">
        <f>H6*'Powerbi Source'!$G2/G6</f>
        <v>1961.297741</v>
      </c>
      <c r="I2" s="60">
        <f>I6*'Powerbi Source'!$G2/G6</f>
        <v>11.14373717</v>
      </c>
      <c r="J2" s="60">
        <f>Topsheet!C30</f>
        <v>29.52682854</v>
      </c>
      <c r="K2" s="58">
        <f>'Powerbi Source'!$H2*'Powerbi Source'!$J2</f>
        <v>57910.90212</v>
      </c>
      <c r="L2" s="58">
        <f>'Powerbi Source'!$G2/'Powerbi Source'!$H2</f>
        <v>5.816047079</v>
      </c>
      <c r="M2" s="58">
        <f>'Powerbi Source'!$G2/'Powerbi Source'!$C2</f>
        <v>518.5</v>
      </c>
      <c r="N2" s="58">
        <f>'Powerbi Source'!$G2/'Powerbi Source'!$I2</f>
        <v>1023.624286</v>
      </c>
      <c r="O2" s="58">
        <f>IFERROR('Powerbi Source'!$K2/'Powerbi Source'!$G2,0)</f>
        <v>5.076786369</v>
      </c>
    </row>
    <row r="3" ht="14.25" customHeight="1">
      <c r="A3" s="58">
        <v>2025.0</v>
      </c>
      <c r="B3" s="58">
        <v>1.0</v>
      </c>
      <c r="C3" s="59">
        <v>22.0</v>
      </c>
      <c r="D3" s="58" t="s">
        <v>18</v>
      </c>
      <c r="E3" s="58" t="s">
        <v>37</v>
      </c>
      <c r="F3" s="58" t="s">
        <v>84</v>
      </c>
      <c r="G3" s="59">
        <f>'Hours &amp; volumes per subgroup'!C39</f>
        <v>10592</v>
      </c>
      <c r="H3" s="59">
        <f>H7*'Powerbi Source'!$G3/G7</f>
        <v>1892.077432</v>
      </c>
      <c r="I3" s="60">
        <f>I7*'Powerbi Source'!$G3/G7</f>
        <v>10.75043995</v>
      </c>
      <c r="J3" s="60">
        <f t="shared" ref="J3:J17" si="1">J2</f>
        <v>29.52682854</v>
      </c>
      <c r="K3" s="58">
        <f>'Powerbi Source'!$H3*'Powerbi Source'!$J3</f>
        <v>55867.04591</v>
      </c>
      <c r="L3" s="58">
        <f>'Powerbi Source'!$G3/'Powerbi Source'!$H3</f>
        <v>5.598079561</v>
      </c>
      <c r="M3" s="58">
        <f>'Powerbi Source'!$G3/'Powerbi Source'!$C3</f>
        <v>481.4545455</v>
      </c>
      <c r="N3" s="58">
        <f>'Powerbi Source'!$G3/'Powerbi Source'!$I3</f>
        <v>985.2620027</v>
      </c>
      <c r="O3" s="58">
        <f>IFERROR('Powerbi Source'!$K3/'Powerbi Source'!$G3,0)</f>
        <v>5.274456752</v>
      </c>
    </row>
    <row r="4" ht="14.25" customHeight="1">
      <c r="A4" s="58">
        <v>2025.0</v>
      </c>
      <c r="B4" s="58">
        <v>1.0</v>
      </c>
      <c r="C4" s="59">
        <v>22.0</v>
      </c>
      <c r="D4" s="58" t="s">
        <v>15</v>
      </c>
      <c r="E4" s="58" t="s">
        <v>37</v>
      </c>
      <c r="F4" s="58" t="s">
        <v>85</v>
      </c>
      <c r="G4" s="59">
        <f>'Hours &amp; volumes per subgroup'!C42</f>
        <v>9229</v>
      </c>
      <c r="H4" s="59">
        <f>H6*'Powerbi Source'!$G4/G6</f>
        <v>1586.816591</v>
      </c>
      <c r="I4" s="60">
        <f>I6*'Powerbi Source'!$G4/G6</f>
        <v>9.016003358</v>
      </c>
      <c r="J4" s="60">
        <f t="shared" si="1"/>
        <v>29.52682854</v>
      </c>
      <c r="K4" s="58">
        <f>'Powerbi Source'!$H4*'Powerbi Source'!$J4</f>
        <v>46853.6614</v>
      </c>
      <c r="L4" s="58">
        <f>'Powerbi Source'!$G4/'Powerbi Source'!$H4</f>
        <v>5.816047079</v>
      </c>
      <c r="M4" s="58">
        <f>'Powerbi Source'!$G4/'Powerbi Source'!$C4</f>
        <v>419.5</v>
      </c>
      <c r="N4" s="58">
        <f>'Powerbi Source'!$G4/'Powerbi Source'!$I4</f>
        <v>1023.624286</v>
      </c>
      <c r="O4" s="58">
        <f>IFERROR('Powerbi Source'!$K4/'Powerbi Source'!$G4,0)</f>
        <v>5.076786369</v>
      </c>
    </row>
    <row r="5" ht="14.25" customHeight="1">
      <c r="A5" s="58">
        <v>2025.0</v>
      </c>
      <c r="B5" s="58">
        <v>1.0</v>
      </c>
      <c r="C5" s="59">
        <v>22.0</v>
      </c>
      <c r="D5" s="58" t="s">
        <v>18</v>
      </c>
      <c r="E5" s="58" t="s">
        <v>37</v>
      </c>
      <c r="F5" s="58" t="s">
        <v>85</v>
      </c>
      <c r="G5" s="59">
        <f>'Hours &amp; volumes per subgroup'!C43</f>
        <v>9813</v>
      </c>
      <c r="H5" s="59">
        <f>H7*'Powerbi Source'!$G5/G7</f>
        <v>1752.922568</v>
      </c>
      <c r="I5" s="60">
        <f>I7*'Powerbi Source'!$G5/G7</f>
        <v>9.959787318</v>
      </c>
      <c r="J5" s="60">
        <f t="shared" si="1"/>
        <v>29.52682854</v>
      </c>
      <c r="K5" s="58">
        <f>'Powerbi Source'!$H5*'Powerbi Source'!$J5</f>
        <v>51758.2441</v>
      </c>
      <c r="L5" s="58">
        <f>'Powerbi Source'!$G5/'Powerbi Source'!$H5</f>
        <v>5.598079561</v>
      </c>
      <c r="M5" s="58">
        <f>'Powerbi Source'!$G5/'Powerbi Source'!$C5</f>
        <v>446.0454545</v>
      </c>
      <c r="N5" s="58">
        <f>'Powerbi Source'!$G5/'Powerbi Source'!$I5</f>
        <v>985.2620027</v>
      </c>
      <c r="O5" s="58">
        <f>IFERROR('Powerbi Source'!$K5/'Powerbi Source'!$G5,0)</f>
        <v>5.274456752</v>
      </c>
    </row>
    <row r="6" ht="14.25" customHeight="1">
      <c r="A6" s="58">
        <v>2025.0</v>
      </c>
      <c r="B6" s="58">
        <v>1.0</v>
      </c>
      <c r="C6" s="59">
        <v>22.0</v>
      </c>
      <c r="D6" s="58" t="s">
        <v>15</v>
      </c>
      <c r="E6" s="58" t="s">
        <v>37</v>
      </c>
      <c r="F6" s="58" t="s">
        <v>32</v>
      </c>
      <c r="G6" s="59">
        <f t="shared" ref="G6:G7" si="2">G2+G4</f>
        <v>20636</v>
      </c>
      <c r="H6" s="59">
        <f>'Hours &amp; volumes per subgroup'!C2</f>
        <v>3548.114332</v>
      </c>
      <c r="I6" s="60">
        <f>'Hours &amp; volumes per subgroup'!C20</f>
        <v>20.15974052</v>
      </c>
      <c r="J6" s="60">
        <f t="shared" si="1"/>
        <v>29.52682854</v>
      </c>
      <c r="K6" s="58">
        <f>'Powerbi Source'!$H6*'Powerbi Source'!$J6</f>
        <v>104764.5635</v>
      </c>
      <c r="L6" s="58">
        <f>'Powerbi Source'!$G6/'Powerbi Source'!$H6</f>
        <v>5.816047079</v>
      </c>
      <c r="M6" s="58">
        <f>'Powerbi Source'!$G6/'Powerbi Source'!$C6</f>
        <v>938</v>
      </c>
      <c r="N6" s="58">
        <f>'Powerbi Source'!$G6/'Powerbi Source'!$I6</f>
        <v>1023.624286</v>
      </c>
      <c r="O6" s="58">
        <f>IFERROR('Powerbi Source'!$K6/'Powerbi Source'!$G6,0)</f>
        <v>5.076786369</v>
      </c>
    </row>
    <row r="7" ht="14.25" customHeight="1">
      <c r="A7" s="58">
        <v>2025.0</v>
      </c>
      <c r="B7" s="58">
        <v>1.0</v>
      </c>
      <c r="C7" s="59">
        <v>22.0</v>
      </c>
      <c r="D7" s="58" t="s">
        <v>18</v>
      </c>
      <c r="E7" s="58" t="s">
        <v>37</v>
      </c>
      <c r="F7" s="58" t="s">
        <v>32</v>
      </c>
      <c r="G7" s="59">
        <f t="shared" si="2"/>
        <v>20405</v>
      </c>
      <c r="H7" s="59">
        <f>'Hours &amp; volumes per subgroup'!C3</f>
        <v>3645</v>
      </c>
      <c r="I7" s="60">
        <f>'Hours &amp; volumes per subgroup'!C21</f>
        <v>20.71022727</v>
      </c>
      <c r="J7" s="60">
        <f t="shared" si="1"/>
        <v>29.52682854</v>
      </c>
      <c r="K7" s="58">
        <f>'Powerbi Source'!$H7*'Powerbi Source'!$J7</f>
        <v>107625.29</v>
      </c>
      <c r="L7" s="58">
        <f>'Powerbi Source'!$G7/'Powerbi Source'!$H7</f>
        <v>5.598079561</v>
      </c>
      <c r="M7" s="58">
        <f>'Powerbi Source'!$G7/'Powerbi Source'!$C7</f>
        <v>927.5</v>
      </c>
      <c r="N7" s="58">
        <f>'Powerbi Source'!$G7/'Powerbi Source'!$I7</f>
        <v>985.2620027</v>
      </c>
      <c r="O7" s="58">
        <f>IFERROR('Powerbi Source'!$K7/'Powerbi Source'!$G7,0)</f>
        <v>5.274456752</v>
      </c>
    </row>
    <row r="8" ht="14.25" customHeight="1">
      <c r="A8" s="58">
        <v>2025.0</v>
      </c>
      <c r="B8" s="58">
        <v>1.0</v>
      </c>
      <c r="C8" s="59">
        <v>22.0</v>
      </c>
      <c r="D8" s="58" t="s">
        <v>15</v>
      </c>
      <c r="E8" s="58" t="s">
        <v>42</v>
      </c>
      <c r="F8" s="58" t="s">
        <v>84</v>
      </c>
      <c r="G8" s="59">
        <f>'Hours &amp; volumes per subgroup'!C46</f>
        <v>28111.875</v>
      </c>
      <c r="H8" s="59">
        <f>H12*'Powerbi Source'!$G8/G12</f>
        <v>10393.52233</v>
      </c>
      <c r="I8" s="60">
        <f>I12*'Powerbi Source'!$G8/G12</f>
        <v>59.05410415</v>
      </c>
      <c r="J8" s="60">
        <f t="shared" si="1"/>
        <v>29.52682854</v>
      </c>
      <c r="K8" s="58">
        <f>'Powerbi Source'!$H8*'Powerbi Source'!$J8</f>
        <v>306887.7518</v>
      </c>
      <c r="L8" s="58">
        <f>'Powerbi Source'!$G8/'Powerbi Source'!$H8</f>
        <v>2.704749565</v>
      </c>
      <c r="M8" s="58">
        <f>'Powerbi Source'!$G8/'Powerbi Source'!$C8</f>
        <v>1277.8125</v>
      </c>
      <c r="N8" s="58">
        <f>'Powerbi Source'!$G8/'Powerbi Source'!$I8</f>
        <v>476.0359234</v>
      </c>
      <c r="O8" s="58">
        <f>IFERROR('Powerbi Source'!$K8/'Powerbi Source'!$G8,0)</f>
        <v>10.91665895</v>
      </c>
    </row>
    <row r="9" ht="14.25" customHeight="1">
      <c r="A9" s="58">
        <v>2025.0</v>
      </c>
      <c r="B9" s="58">
        <v>1.0</v>
      </c>
      <c r="C9" s="59">
        <v>22.0</v>
      </c>
      <c r="D9" s="58" t="s">
        <v>18</v>
      </c>
      <c r="E9" s="58" t="s">
        <v>42</v>
      </c>
      <c r="F9" s="58" t="s">
        <v>84</v>
      </c>
      <c r="G9" s="59">
        <f>'Hours &amp; volumes per subgroup'!C47</f>
        <v>31052</v>
      </c>
      <c r="H9" s="59">
        <f>H13*'Powerbi Source'!$G9/G13</f>
        <v>10656.43241</v>
      </c>
      <c r="I9" s="60">
        <f>I13*'Powerbi Source'!$G9/G13</f>
        <v>60.54791143</v>
      </c>
      <c r="J9" s="60">
        <f t="shared" si="1"/>
        <v>29.52682854</v>
      </c>
      <c r="K9" s="58">
        <f>'Powerbi Source'!$H9*'Powerbi Source'!$J9</f>
        <v>314650.6526</v>
      </c>
      <c r="L9" s="58">
        <f>'Powerbi Source'!$G9/'Powerbi Source'!$H9</f>
        <v>2.913920795</v>
      </c>
      <c r="M9" s="58">
        <f>'Powerbi Source'!$G9/'Powerbi Source'!$C9</f>
        <v>1411.454545</v>
      </c>
      <c r="N9" s="58">
        <f>'Powerbi Source'!$G9/'Powerbi Source'!$I9</f>
        <v>512.8500599</v>
      </c>
      <c r="O9" s="58">
        <f>IFERROR('Powerbi Source'!$K9/'Powerbi Source'!$G9,0)</f>
        <v>10.13302372</v>
      </c>
    </row>
    <row r="10" ht="14.25" customHeight="1">
      <c r="A10" s="58">
        <v>2025.0</v>
      </c>
      <c r="B10" s="58">
        <v>1.0</v>
      </c>
      <c r="C10" s="59">
        <v>22.0</v>
      </c>
      <c r="D10" s="58" t="s">
        <v>15</v>
      </c>
      <c r="E10" s="58" t="s">
        <v>42</v>
      </c>
      <c r="F10" s="58" t="s">
        <v>85</v>
      </c>
      <c r="G10" s="59">
        <f>'Hours &amp; volumes per subgroup'!C50/90</f>
        <v>28345.232</v>
      </c>
      <c r="H10" s="59">
        <f>H12*'Powerbi Source'!$G10/G12</f>
        <v>10479.79908</v>
      </c>
      <c r="I10" s="60">
        <f>I12*'Powerbi Source'!$G10/G12</f>
        <v>59.54431295</v>
      </c>
      <c r="J10" s="60">
        <f t="shared" si="1"/>
        <v>29.52682854</v>
      </c>
      <c r="K10" s="58">
        <f>'Powerbi Source'!$H10*'Powerbi Source'!$J10</f>
        <v>309435.2305</v>
      </c>
      <c r="L10" s="58">
        <f>'Powerbi Source'!$G10/'Powerbi Source'!$H10</f>
        <v>2.704749565</v>
      </c>
      <c r="M10" s="58">
        <f>'Powerbi Source'!$G10/'Powerbi Source'!$C10</f>
        <v>1288.419636</v>
      </c>
      <c r="N10" s="58">
        <f>'Powerbi Source'!$G10/'Powerbi Source'!$I10</f>
        <v>476.0359234</v>
      </c>
      <c r="O10" s="58">
        <f>IFERROR('Powerbi Source'!$K10/'Powerbi Source'!$G10,0)</f>
        <v>10.91665895</v>
      </c>
    </row>
    <row r="11" ht="14.25" customHeight="1">
      <c r="A11" s="58">
        <v>2025.0</v>
      </c>
      <c r="B11" s="58">
        <v>1.0</v>
      </c>
      <c r="C11" s="59">
        <v>22.0</v>
      </c>
      <c r="D11" s="58" t="s">
        <v>18</v>
      </c>
      <c r="E11" s="58" t="s">
        <v>42</v>
      </c>
      <c r="F11" s="58" t="s">
        <v>85</v>
      </c>
      <c r="G11" s="59">
        <f>'Hours &amp; volumes per subgroup'!C53</f>
        <v>34654</v>
      </c>
      <c r="H11" s="59">
        <f>H13*'Powerbi Source'!$G11/G13</f>
        <v>11892.56759</v>
      </c>
      <c r="I11" s="60">
        <f>I13*'Powerbi Source'!$G11/G13</f>
        <v>67.57140676</v>
      </c>
      <c r="J11" s="60">
        <f t="shared" si="1"/>
        <v>29.52682854</v>
      </c>
      <c r="K11" s="58">
        <f>'Powerbi Source'!$H11*'Powerbi Source'!$J11</f>
        <v>351149.8041</v>
      </c>
      <c r="L11" s="58">
        <f>'Powerbi Source'!$G11/'Powerbi Source'!$H11</f>
        <v>2.913920795</v>
      </c>
      <c r="M11" s="58">
        <f>'Powerbi Source'!$G11/'Powerbi Source'!$C11</f>
        <v>1575.181818</v>
      </c>
      <c r="N11" s="58">
        <f>'Powerbi Source'!$G11/'Powerbi Source'!$I11</f>
        <v>512.8500599</v>
      </c>
      <c r="O11" s="58">
        <f>IFERROR('Powerbi Source'!$K11/'Powerbi Source'!$G11,0)</f>
        <v>10.13302372</v>
      </c>
    </row>
    <row r="12" ht="14.25" customHeight="1">
      <c r="A12" s="58">
        <v>2025.0</v>
      </c>
      <c r="B12" s="58">
        <v>1.0</v>
      </c>
      <c r="C12" s="59">
        <v>22.0</v>
      </c>
      <c r="D12" s="58" t="s">
        <v>15</v>
      </c>
      <c r="E12" s="58" t="s">
        <v>42</v>
      </c>
      <c r="F12" s="58" t="s">
        <v>32</v>
      </c>
      <c r="G12" s="59">
        <f t="shared" ref="G12:G13" si="3">G8+G10</f>
        <v>56457.107</v>
      </c>
      <c r="H12" s="59">
        <f>'Hours &amp; volumes per subgroup'!C10</f>
        <v>20873.32141</v>
      </c>
      <c r="I12" s="60">
        <f>'Hours &amp; volumes per subgroup'!C28</f>
        <v>118.5984171</v>
      </c>
      <c r="J12" s="60">
        <f t="shared" si="1"/>
        <v>29.52682854</v>
      </c>
      <c r="K12" s="58">
        <f>'Powerbi Source'!$H12*'Powerbi Source'!$J12</f>
        <v>616322.9823</v>
      </c>
      <c r="L12" s="58">
        <f>'Powerbi Source'!$G12/'Powerbi Source'!$H12</f>
        <v>2.704749565</v>
      </c>
      <c r="M12" s="58">
        <f>'Powerbi Source'!$G12/'Powerbi Source'!$C12</f>
        <v>2566.232136</v>
      </c>
      <c r="N12" s="58">
        <f>'Powerbi Source'!$G12/'Powerbi Source'!$I12</f>
        <v>476.0359234</v>
      </c>
      <c r="O12" s="58">
        <f>IFERROR('Powerbi Source'!$K12/'Powerbi Source'!$G12,0)</f>
        <v>10.91665895</v>
      </c>
    </row>
    <row r="13" ht="14.25" customHeight="1">
      <c r="A13" s="58">
        <v>2025.0</v>
      </c>
      <c r="B13" s="58">
        <v>1.0</v>
      </c>
      <c r="C13" s="59">
        <v>22.0</v>
      </c>
      <c r="D13" s="58" t="s">
        <v>18</v>
      </c>
      <c r="E13" s="58" t="s">
        <v>42</v>
      </c>
      <c r="F13" s="58" t="s">
        <v>32</v>
      </c>
      <c r="G13" s="59">
        <f t="shared" si="3"/>
        <v>65706</v>
      </c>
      <c r="H13" s="59">
        <f>'Hours &amp; volumes per subgroup'!C11</f>
        <v>22549</v>
      </c>
      <c r="I13" s="60">
        <f>'Hours &amp; volumes per subgroup'!C29</f>
        <v>128.1193182</v>
      </c>
      <c r="J13" s="60">
        <f t="shared" si="1"/>
        <v>29.52682854</v>
      </c>
      <c r="K13" s="58">
        <f>'Powerbi Source'!$H13*'Powerbi Source'!$J13</f>
        <v>665800.4567</v>
      </c>
      <c r="L13" s="58">
        <f>'Powerbi Source'!$G13/'Powerbi Source'!$H13</f>
        <v>2.913920795</v>
      </c>
      <c r="M13" s="58">
        <f>'Powerbi Source'!$G13/'Powerbi Source'!$C13</f>
        <v>2986.636364</v>
      </c>
      <c r="N13" s="58">
        <f>'Powerbi Source'!$G13/'Powerbi Source'!$I13</f>
        <v>512.8500599</v>
      </c>
      <c r="O13" s="58">
        <f>IFERROR('Powerbi Source'!$K13/'Powerbi Source'!$G13,0)</f>
        <v>10.13302372</v>
      </c>
    </row>
    <row r="14" ht="14.25" customHeight="1">
      <c r="A14" s="58">
        <v>2025.0</v>
      </c>
      <c r="B14" s="58">
        <v>1.0</v>
      </c>
      <c r="C14" s="59">
        <v>22.0</v>
      </c>
      <c r="D14" s="58" t="s">
        <v>15</v>
      </c>
      <c r="E14" s="58" t="s">
        <v>41</v>
      </c>
      <c r="F14" s="58" t="s">
        <v>32</v>
      </c>
      <c r="G14" s="59">
        <f>'Hours &amp; volumes per subgroup'!C55</f>
        <v>219409</v>
      </c>
      <c r="H14" s="59">
        <f>'Hours &amp; volumes per subgroup'!C6</f>
        <v>6505.710341</v>
      </c>
      <c r="I14" s="60">
        <f>'Hours &amp; volumes per subgroup'!C24</f>
        <v>36.9642633</v>
      </c>
      <c r="J14" s="60">
        <f t="shared" si="1"/>
        <v>29.52682854</v>
      </c>
      <c r="K14" s="58">
        <f>'Powerbi Source'!$H14*'Powerbi Source'!$J14</f>
        <v>192092.9938</v>
      </c>
      <c r="L14" s="58">
        <f>'Powerbi Source'!$G14/'Powerbi Source'!$H14</f>
        <v>33.72560235</v>
      </c>
      <c r="M14" s="58">
        <f>'Powerbi Source'!$G14/'Powerbi Source'!$C14</f>
        <v>9973.136364</v>
      </c>
      <c r="N14" s="58">
        <f>'Powerbi Source'!$G14/'Powerbi Source'!$I14</f>
        <v>5935.706014</v>
      </c>
      <c r="O14" s="58">
        <f>IFERROR('Powerbi Source'!$K14/'Powerbi Source'!$G14,0)</f>
        <v>0.8755018881</v>
      </c>
    </row>
    <row r="15" ht="14.25" customHeight="1">
      <c r="A15" s="58">
        <v>2025.0</v>
      </c>
      <c r="B15" s="58">
        <v>1.0</v>
      </c>
      <c r="C15" s="59">
        <v>22.0</v>
      </c>
      <c r="D15" s="58" t="s">
        <v>18</v>
      </c>
      <c r="E15" s="58" t="s">
        <v>41</v>
      </c>
      <c r="F15" s="58" t="s">
        <v>32</v>
      </c>
      <c r="G15" s="59">
        <f>'Hours &amp; volumes per subgroup'!C56</f>
        <v>209420</v>
      </c>
      <c r="H15" s="59">
        <f>'Hours &amp; volumes per subgroup'!C7</f>
        <v>6034</v>
      </c>
      <c r="I15" s="60">
        <f>'Hours &amp; volumes per subgroup'!C25</f>
        <v>34.28409091</v>
      </c>
      <c r="J15" s="60">
        <f t="shared" si="1"/>
        <v>29.52682854</v>
      </c>
      <c r="K15" s="58">
        <f>'Powerbi Source'!$H15*'Powerbi Source'!$J15</f>
        <v>178164.8834</v>
      </c>
      <c r="L15" s="58">
        <f>'Powerbi Source'!$G15/'Powerbi Source'!$H15</f>
        <v>34.70666225</v>
      </c>
      <c r="M15" s="58">
        <f>'Powerbi Source'!$G15/'Powerbi Source'!$C15</f>
        <v>9519.090909</v>
      </c>
      <c r="N15" s="58">
        <f>'Powerbi Source'!$G15/'Powerbi Source'!$I15</f>
        <v>6108.372556</v>
      </c>
      <c r="O15" s="58">
        <f>IFERROR('Powerbi Source'!$K15/'Powerbi Source'!$G15,0)</f>
        <v>0.8507539079</v>
      </c>
    </row>
    <row r="16" ht="14.25" customHeight="1">
      <c r="A16" s="58">
        <v>2025.0</v>
      </c>
      <c r="B16" s="58">
        <v>1.0</v>
      </c>
      <c r="C16" s="59">
        <v>22.0</v>
      </c>
      <c r="D16" s="58" t="s">
        <v>15</v>
      </c>
      <c r="E16" s="58" t="s">
        <v>86</v>
      </c>
      <c r="F16" s="58" t="s">
        <v>32</v>
      </c>
      <c r="G16" s="59">
        <v>0.0</v>
      </c>
      <c r="H16" s="59">
        <f>'Hours &amp; volumes per subgroup'!C14</f>
        <v>2302.020582</v>
      </c>
      <c r="I16" s="60">
        <f>'Hours &amp; volumes per subgroup'!C32</f>
        <v>13.0796624</v>
      </c>
      <c r="J16" s="60">
        <f t="shared" si="1"/>
        <v>29.52682854</v>
      </c>
      <c r="K16" s="58">
        <f>'Powerbi Source'!$H16*'Powerbi Source'!$J16</f>
        <v>67971.36702</v>
      </c>
      <c r="L16" s="58">
        <f>'Powerbi Source'!$G16/'Powerbi Source'!$H16</f>
        <v>0</v>
      </c>
      <c r="M16" s="58">
        <f>'Powerbi Source'!$G16/'Powerbi Source'!$C16</f>
        <v>0</v>
      </c>
      <c r="N16" s="58">
        <f>'Powerbi Source'!$G16/'Powerbi Source'!$I16</f>
        <v>0</v>
      </c>
      <c r="O16" s="58">
        <f>IFERROR('Powerbi Source'!$K16/'Powerbi Source'!$G16,0)</f>
        <v>0</v>
      </c>
    </row>
    <row r="17" ht="14.25" customHeight="1">
      <c r="A17" s="58">
        <v>2025.0</v>
      </c>
      <c r="B17" s="58">
        <v>1.0</v>
      </c>
      <c r="C17" s="59">
        <v>22.0</v>
      </c>
      <c r="D17" s="58" t="s">
        <v>18</v>
      </c>
      <c r="E17" s="58" t="s">
        <v>86</v>
      </c>
      <c r="F17" s="58" t="s">
        <v>32</v>
      </c>
      <c r="G17" s="59">
        <v>0.0</v>
      </c>
      <c r="H17" s="59">
        <f>'Hours &amp; volumes per subgroup'!C15</f>
        <v>1132</v>
      </c>
      <c r="I17" s="60">
        <f>'Hours &amp; volumes per subgroup'!C33</f>
        <v>6.431818182</v>
      </c>
      <c r="J17" s="60">
        <f t="shared" si="1"/>
        <v>29.52682854</v>
      </c>
      <c r="K17" s="58">
        <f>'Powerbi Source'!$H17*'Powerbi Source'!$J17</f>
        <v>33424.3699</v>
      </c>
      <c r="L17" s="58">
        <f>'Powerbi Source'!$G17/'Powerbi Source'!$H17</f>
        <v>0</v>
      </c>
      <c r="M17" s="58">
        <f>'Powerbi Source'!$G17/'Powerbi Source'!$C17</f>
        <v>0</v>
      </c>
      <c r="N17" s="58">
        <f>'Powerbi Source'!$G17/'Powerbi Source'!$I17</f>
        <v>0</v>
      </c>
      <c r="O17" s="58">
        <f>IFERROR('Powerbi Source'!$K17/'Powerbi Source'!$G17,0)</f>
        <v>0</v>
      </c>
    </row>
    <row r="18" ht="14.25" customHeight="1">
      <c r="A18" s="58">
        <v>2025.0</v>
      </c>
      <c r="B18" s="58">
        <v>2.0</v>
      </c>
      <c r="C18" s="59">
        <v>20.0</v>
      </c>
      <c r="D18" s="58" t="s">
        <v>15</v>
      </c>
      <c r="E18" s="58" t="s">
        <v>37</v>
      </c>
      <c r="F18" s="58" t="s">
        <v>84</v>
      </c>
      <c r="G18" s="59">
        <f>'Hours &amp; volumes per subgroup'!D38</f>
        <v>11407</v>
      </c>
      <c r="H18" s="59">
        <f>H22*'Powerbi Source'!$G18/G22</f>
        <v>1961.297741</v>
      </c>
      <c r="I18" s="60">
        <f>I22*'Powerbi Source'!$G18/G22</f>
        <v>12.25811088</v>
      </c>
      <c r="J18" s="60">
        <v>28.703984696689687</v>
      </c>
      <c r="K18" s="58">
        <f>'Powerbi Source'!$H18*'Powerbi Source'!$J18</f>
        <v>56297.06035</v>
      </c>
      <c r="L18" s="58">
        <f>'Powerbi Source'!$G18/'Powerbi Source'!$H18</f>
        <v>5.816047079</v>
      </c>
      <c r="M18" s="58">
        <f>'Powerbi Source'!$G18/'Powerbi Source'!$C18</f>
        <v>570.35</v>
      </c>
      <c r="N18" s="58">
        <f>'Powerbi Source'!$G18/'Powerbi Source'!$I18</f>
        <v>930.5675327</v>
      </c>
      <c r="O18" s="58">
        <f>IFERROR('Powerbi Source'!$K18/'Powerbi Source'!$G18,0)</f>
        <v>4.935308175</v>
      </c>
    </row>
    <row r="19" ht="14.25" customHeight="1">
      <c r="A19" s="58">
        <v>2025.0</v>
      </c>
      <c r="B19" s="58">
        <v>2.0</v>
      </c>
      <c r="C19" s="59">
        <v>20.0</v>
      </c>
      <c r="D19" s="58" t="s">
        <v>18</v>
      </c>
      <c r="E19" s="58" t="s">
        <v>37</v>
      </c>
      <c r="F19" s="58" t="s">
        <v>84</v>
      </c>
      <c r="G19" s="59">
        <f>'Hours &amp; volumes per subgroup'!D39</f>
        <v>11796</v>
      </c>
      <c r="H19" s="59">
        <f>H23*'Powerbi Source'!$G19/G23</f>
        <v>2300.899625</v>
      </c>
      <c r="I19" s="60">
        <f>I23*'Powerbi Source'!$G19/G23</f>
        <v>14.38062266</v>
      </c>
      <c r="J19" s="60">
        <v>28.703984696689687</v>
      </c>
      <c r="K19" s="58">
        <f>'Powerbi Source'!$H19*'Powerbi Source'!$J19</f>
        <v>66044.98763</v>
      </c>
      <c r="L19" s="58">
        <f>'Powerbi Source'!$G19/'Powerbi Source'!$H19</f>
        <v>5.126690391</v>
      </c>
      <c r="M19" s="58">
        <f>'Powerbi Source'!$G19/'Powerbi Source'!$C19</f>
        <v>589.8</v>
      </c>
      <c r="N19" s="58">
        <f>'Powerbi Source'!$G19/'Powerbi Source'!$I19</f>
        <v>820.2704626</v>
      </c>
      <c r="O19" s="58">
        <f>IFERROR('Powerbi Source'!$K19/'Powerbi Source'!$G19,0)</f>
        <v>5.598930793</v>
      </c>
    </row>
    <row r="20" ht="14.25" customHeight="1">
      <c r="A20" s="58">
        <v>2025.0</v>
      </c>
      <c r="B20" s="58">
        <v>2.0</v>
      </c>
      <c r="C20" s="59">
        <v>20.0</v>
      </c>
      <c r="D20" s="58" t="s">
        <v>15</v>
      </c>
      <c r="E20" s="58" t="s">
        <v>37</v>
      </c>
      <c r="F20" s="58" t="s">
        <v>85</v>
      </c>
      <c r="G20" s="59">
        <f>'Hours &amp; volumes per subgroup'!D42</f>
        <v>9229</v>
      </c>
      <c r="H20" s="59">
        <f>H22*'Powerbi Source'!$G20/G22</f>
        <v>1586.816591</v>
      </c>
      <c r="I20" s="60">
        <f>I22*'Powerbi Source'!$G20/G22</f>
        <v>9.917603694</v>
      </c>
      <c r="J20" s="60">
        <v>28.703984696689687</v>
      </c>
      <c r="K20" s="58">
        <f>'Powerbi Source'!$H20*'Powerbi Source'!$J20</f>
        <v>45547.95915</v>
      </c>
      <c r="L20" s="58">
        <f>'Powerbi Source'!$G20/'Powerbi Source'!$H20</f>
        <v>5.816047079</v>
      </c>
      <c r="M20" s="58">
        <f>'Powerbi Source'!$G20/'Powerbi Source'!$C20</f>
        <v>461.45</v>
      </c>
      <c r="N20" s="58">
        <f>'Powerbi Source'!$G20/'Powerbi Source'!$I20</f>
        <v>930.5675327</v>
      </c>
      <c r="O20" s="58">
        <f>IFERROR('Powerbi Source'!$K20/'Powerbi Source'!$G20,0)</f>
        <v>4.935308175</v>
      </c>
    </row>
    <row r="21" ht="14.25" customHeight="1">
      <c r="A21" s="58">
        <v>2025.0</v>
      </c>
      <c r="B21" s="58">
        <v>2.0</v>
      </c>
      <c r="C21" s="59">
        <v>20.0</v>
      </c>
      <c r="D21" s="58" t="s">
        <v>18</v>
      </c>
      <c r="E21" s="58" t="s">
        <v>37</v>
      </c>
      <c r="F21" s="58" t="s">
        <v>85</v>
      </c>
      <c r="G21" s="59">
        <f>'Hours &amp; volumes per subgroup'!C43</f>
        <v>9813</v>
      </c>
      <c r="H21" s="59">
        <f>H23*'Powerbi Source'!$G21/G23</f>
        <v>1914.100375</v>
      </c>
      <c r="I21" s="60">
        <f>I23*'Powerbi Source'!$G21/G23</f>
        <v>11.96312734</v>
      </c>
      <c r="J21" s="60">
        <v>28.703984696689687</v>
      </c>
      <c r="K21" s="58">
        <f>'Powerbi Source'!$H21*'Powerbi Source'!$J21</f>
        <v>54942.30787</v>
      </c>
      <c r="L21" s="58">
        <f>'Powerbi Source'!$G21/'Powerbi Source'!$H21</f>
        <v>5.126690391</v>
      </c>
      <c r="M21" s="58">
        <f>'Powerbi Source'!$G21/'Powerbi Source'!$C21</f>
        <v>490.65</v>
      </c>
      <c r="N21" s="58">
        <f>'Powerbi Source'!$G21/'Powerbi Source'!$I21</f>
        <v>820.2704626</v>
      </c>
      <c r="O21" s="58">
        <f>IFERROR('Powerbi Source'!$K21/'Powerbi Source'!$G21,0)</f>
        <v>5.598930793</v>
      </c>
    </row>
    <row r="22" ht="14.25" customHeight="1">
      <c r="A22" s="58">
        <v>2025.0</v>
      </c>
      <c r="B22" s="58">
        <v>2.0</v>
      </c>
      <c r="C22" s="59">
        <v>20.0</v>
      </c>
      <c r="D22" s="58" t="s">
        <v>15</v>
      </c>
      <c r="E22" s="58" t="s">
        <v>37</v>
      </c>
      <c r="F22" s="58" t="s">
        <v>32</v>
      </c>
      <c r="G22" s="59">
        <f t="shared" ref="G22:G23" si="4">G18+G20</f>
        <v>20636</v>
      </c>
      <c r="H22" s="59">
        <f>'Hours &amp; volumes per subgroup'!D2</f>
        <v>3548.114332</v>
      </c>
      <c r="I22" s="60">
        <f>'Hours &amp; volumes per subgroup'!D20</f>
        <v>22.17571458</v>
      </c>
      <c r="J22" s="60">
        <v>28.703984696689687</v>
      </c>
      <c r="K22" s="58">
        <f>'Powerbi Source'!$H22*'Powerbi Source'!$J22</f>
        <v>101845.0195</v>
      </c>
      <c r="L22" s="58">
        <f>'Powerbi Source'!$G22/'Powerbi Source'!$H22</f>
        <v>5.816047079</v>
      </c>
      <c r="M22" s="58">
        <f>'Powerbi Source'!$G22/'Powerbi Source'!$C22</f>
        <v>1031.8</v>
      </c>
      <c r="N22" s="58">
        <f>'Powerbi Source'!$G22/'Powerbi Source'!$I22</f>
        <v>930.5675327</v>
      </c>
      <c r="O22" s="58">
        <f>IFERROR('Powerbi Source'!$K22/'Powerbi Source'!$G22,0)</f>
        <v>4.935308175</v>
      </c>
    </row>
    <row r="23" ht="14.25" customHeight="1">
      <c r="A23" s="58">
        <v>2025.0</v>
      </c>
      <c r="B23" s="58">
        <v>2.0</v>
      </c>
      <c r="C23" s="59">
        <v>20.0</v>
      </c>
      <c r="D23" s="58" t="s">
        <v>18</v>
      </c>
      <c r="E23" s="58" t="s">
        <v>37</v>
      </c>
      <c r="F23" s="58" t="s">
        <v>32</v>
      </c>
      <c r="G23" s="59">
        <f t="shared" si="4"/>
        <v>21609</v>
      </c>
      <c r="H23" s="59">
        <f>'Hours &amp; volumes per subgroup'!D3</f>
        <v>4215</v>
      </c>
      <c r="I23" s="60">
        <f>'Hours &amp; volumes per subgroup'!D21</f>
        <v>26.34375</v>
      </c>
      <c r="J23" s="60">
        <v>28.703984696689687</v>
      </c>
      <c r="K23" s="58">
        <f>'Powerbi Source'!$H23*'Powerbi Source'!$J23</f>
        <v>120987.2955</v>
      </c>
      <c r="L23" s="58">
        <f>'Powerbi Source'!$G23/'Powerbi Source'!$H23</f>
        <v>5.126690391</v>
      </c>
      <c r="M23" s="58">
        <f>'Powerbi Source'!$G23/'Powerbi Source'!$C23</f>
        <v>1080.45</v>
      </c>
      <c r="N23" s="58">
        <f>'Powerbi Source'!$G23/'Powerbi Source'!$I23</f>
        <v>820.2704626</v>
      </c>
      <c r="O23" s="58">
        <f>IFERROR('Powerbi Source'!$K23/'Powerbi Source'!$G23,0)</f>
        <v>5.598930793</v>
      </c>
    </row>
    <row r="24" ht="14.25" customHeight="1">
      <c r="A24" s="58">
        <v>2025.0</v>
      </c>
      <c r="B24" s="58">
        <v>2.0</v>
      </c>
      <c r="C24" s="59">
        <v>20.0</v>
      </c>
      <c r="D24" s="58" t="s">
        <v>15</v>
      </c>
      <c r="E24" s="58" t="s">
        <v>42</v>
      </c>
      <c r="F24" s="58" t="s">
        <v>84</v>
      </c>
      <c r="G24" s="59">
        <f>'Hours &amp; volumes per subgroup'!D46</f>
        <v>28111.875</v>
      </c>
      <c r="H24" s="59">
        <f>H28*'Powerbi Source'!$G24/G28</f>
        <v>10393.52233</v>
      </c>
      <c r="I24" s="60">
        <f>I28*'Powerbi Source'!$G24/G28</f>
        <v>64.95951457</v>
      </c>
      <c r="J24" s="60">
        <v>28.703984696689687</v>
      </c>
      <c r="K24" s="58">
        <f>'Powerbi Source'!$H24*'Powerbi Source'!$J24</f>
        <v>298335.5059</v>
      </c>
      <c r="L24" s="58">
        <f>'Powerbi Source'!$G24/'Powerbi Source'!$H24</f>
        <v>2.704749565</v>
      </c>
      <c r="M24" s="58">
        <f>'Powerbi Source'!$G24/'Powerbi Source'!$C24</f>
        <v>1405.59375</v>
      </c>
      <c r="N24" s="58">
        <f>'Powerbi Source'!$G24/'Powerbi Source'!$I24</f>
        <v>432.7599304</v>
      </c>
      <c r="O24" s="58">
        <f>IFERROR('Powerbi Source'!$K24/'Powerbi Source'!$G24,0)</f>
        <v>10.61243713</v>
      </c>
    </row>
    <row r="25" ht="14.25" customHeight="1">
      <c r="A25" s="58">
        <v>2025.0</v>
      </c>
      <c r="B25" s="58">
        <v>2.0</v>
      </c>
      <c r="C25" s="59">
        <v>20.0</v>
      </c>
      <c r="D25" s="58" t="s">
        <v>18</v>
      </c>
      <c r="E25" s="58" t="s">
        <v>42</v>
      </c>
      <c r="F25" s="58" t="s">
        <v>84</v>
      </c>
      <c r="G25" s="59">
        <f>'Hours &amp; volumes per subgroup'!D47</f>
        <v>25857</v>
      </c>
      <c r="H25" s="59">
        <f>H29*'Powerbi Source'!$G25/G29</f>
        <v>8660.445328</v>
      </c>
      <c r="I25" s="60">
        <f>I29*'Powerbi Source'!$G25/G29</f>
        <v>54.1277833</v>
      </c>
      <c r="J25" s="60">
        <v>28.703984696689687</v>
      </c>
      <c r="K25" s="58">
        <f>'Powerbi Source'!$H25*'Powerbi Source'!$J25</f>
        <v>248589.2902</v>
      </c>
      <c r="L25" s="58">
        <f>'Powerbi Source'!$G25/'Powerbi Source'!$H25</f>
        <v>2.985643234</v>
      </c>
      <c r="M25" s="58">
        <f>'Powerbi Source'!$G25/'Powerbi Source'!$C25</f>
        <v>1292.85</v>
      </c>
      <c r="N25" s="58">
        <f>'Powerbi Source'!$G25/'Powerbi Source'!$I25</f>
        <v>477.7029175</v>
      </c>
      <c r="O25" s="58">
        <f>IFERROR('Powerbi Source'!$K25/'Powerbi Source'!$G25,0)</f>
        <v>9.614003564</v>
      </c>
    </row>
    <row r="26" ht="14.25" customHeight="1">
      <c r="A26" s="58">
        <v>2025.0</v>
      </c>
      <c r="B26" s="58">
        <v>2.0</v>
      </c>
      <c r="C26" s="59">
        <v>20.0</v>
      </c>
      <c r="D26" s="58" t="s">
        <v>15</v>
      </c>
      <c r="E26" s="58" t="s">
        <v>42</v>
      </c>
      <c r="F26" s="58" t="s">
        <v>85</v>
      </c>
      <c r="G26" s="59">
        <f>'Hours &amp; volumes per subgroup'!D50/90</f>
        <v>28345.232</v>
      </c>
      <c r="H26" s="59">
        <f>H28*'Powerbi Source'!$G26/G28</f>
        <v>10479.79908</v>
      </c>
      <c r="I26" s="60">
        <f>I28*'Powerbi Source'!$G26/G28</f>
        <v>65.49874425</v>
      </c>
      <c r="J26" s="60">
        <v>28.703984696689687</v>
      </c>
      <c r="K26" s="58">
        <f>'Powerbi Source'!$H26*'Powerbi Source'!$J26</f>
        <v>300811.9924</v>
      </c>
      <c r="L26" s="58">
        <f>'Powerbi Source'!$G26/'Powerbi Source'!$H26</f>
        <v>2.704749565</v>
      </c>
      <c r="M26" s="58">
        <f>'Powerbi Source'!$G26/'Powerbi Source'!$C26</f>
        <v>1417.2616</v>
      </c>
      <c r="N26" s="58">
        <f>'Powerbi Source'!$G26/'Powerbi Source'!$I26</f>
        <v>432.7599304</v>
      </c>
      <c r="O26" s="58">
        <f>IFERROR('Powerbi Source'!$K26/'Powerbi Source'!$G26,0)</f>
        <v>10.61243713</v>
      </c>
    </row>
    <row r="27" ht="14.25" customHeight="1">
      <c r="A27" s="58">
        <v>2025.0</v>
      </c>
      <c r="B27" s="58">
        <v>2.0</v>
      </c>
      <c r="C27" s="59">
        <v>20.0</v>
      </c>
      <c r="D27" s="58" t="s">
        <v>18</v>
      </c>
      <c r="E27" s="58" t="s">
        <v>42</v>
      </c>
      <c r="F27" s="58" t="s">
        <v>85</v>
      </c>
      <c r="G27" s="59">
        <f>'Hours &amp; volumes per subgroup'!D53</f>
        <v>32372</v>
      </c>
      <c r="H27" s="59">
        <f>H29*'Powerbi Source'!$G27/G29</f>
        <v>10842.55467</v>
      </c>
      <c r="I27" s="60">
        <f>I29*'Powerbi Source'!$G27/G29</f>
        <v>67.7659667</v>
      </c>
      <c r="J27" s="60">
        <v>28.703984696689687</v>
      </c>
      <c r="K27" s="58">
        <f>'Powerbi Source'!$H27*'Powerbi Source'!$J27</f>
        <v>311224.5234</v>
      </c>
      <c r="L27" s="58">
        <f>'Powerbi Source'!$G27/'Powerbi Source'!$H27</f>
        <v>2.985643234</v>
      </c>
      <c r="M27" s="58">
        <f>'Powerbi Source'!$G27/'Powerbi Source'!$C27</f>
        <v>1618.6</v>
      </c>
      <c r="N27" s="58">
        <f>'Powerbi Source'!$G27/'Powerbi Source'!$I27</f>
        <v>477.7029175</v>
      </c>
      <c r="O27" s="58">
        <f>IFERROR('Powerbi Source'!$K27/'Powerbi Source'!$G27,0)</f>
        <v>9.614003564</v>
      </c>
    </row>
    <row r="28" ht="14.25" customHeight="1">
      <c r="A28" s="58">
        <v>2025.0</v>
      </c>
      <c r="B28" s="58">
        <v>2.0</v>
      </c>
      <c r="C28" s="59">
        <v>20.0</v>
      </c>
      <c r="D28" s="58" t="s">
        <v>15</v>
      </c>
      <c r="E28" s="58" t="s">
        <v>42</v>
      </c>
      <c r="F28" s="58" t="s">
        <v>32</v>
      </c>
      <c r="G28" s="59">
        <f t="shared" ref="G28:G29" si="5">G24+G26</f>
        <v>56457.107</v>
      </c>
      <c r="H28" s="59">
        <f>'Hours &amp; volumes per subgroup'!D10</f>
        <v>20873.32141</v>
      </c>
      <c r="I28" s="60">
        <f>'Hours &amp; volumes per subgroup'!D28</f>
        <v>130.4582588</v>
      </c>
      <c r="J28" s="60">
        <v>28.703984696689687</v>
      </c>
      <c r="K28" s="58">
        <f>'Powerbi Source'!$H28*'Powerbi Source'!$J28</f>
        <v>599147.4983</v>
      </c>
      <c r="L28" s="58">
        <f>'Powerbi Source'!$G28/'Powerbi Source'!$H28</f>
        <v>2.704749565</v>
      </c>
      <c r="M28" s="58">
        <f>'Powerbi Source'!$G28/'Powerbi Source'!$C28</f>
        <v>2822.85535</v>
      </c>
      <c r="N28" s="58">
        <f>'Powerbi Source'!$G28/'Powerbi Source'!$I28</f>
        <v>432.7599304</v>
      </c>
      <c r="O28" s="58">
        <f>IFERROR('Powerbi Source'!$K28/'Powerbi Source'!$G28,0)</f>
        <v>10.61243713</v>
      </c>
    </row>
    <row r="29" ht="14.25" customHeight="1">
      <c r="A29" s="58">
        <v>2025.0</v>
      </c>
      <c r="B29" s="58">
        <v>2.0</v>
      </c>
      <c r="C29" s="59">
        <v>20.0</v>
      </c>
      <c r="D29" s="58" t="s">
        <v>18</v>
      </c>
      <c r="E29" s="58" t="s">
        <v>42</v>
      </c>
      <c r="F29" s="58" t="s">
        <v>32</v>
      </c>
      <c r="G29" s="59">
        <f t="shared" si="5"/>
        <v>58229</v>
      </c>
      <c r="H29" s="59">
        <f>'Hours &amp; volumes per subgroup'!D11</f>
        <v>19503</v>
      </c>
      <c r="I29" s="60">
        <f>'Hours &amp; volumes per subgroup'!D29</f>
        <v>121.89375</v>
      </c>
      <c r="J29" s="60">
        <v>28.703984696689687</v>
      </c>
      <c r="K29" s="58">
        <f>'Powerbi Source'!$H29*'Powerbi Source'!$J29</f>
        <v>559813.8135</v>
      </c>
      <c r="L29" s="58">
        <f>'Powerbi Source'!$G29/'Powerbi Source'!$H29</f>
        <v>2.985643234</v>
      </c>
      <c r="M29" s="58">
        <f>'Powerbi Source'!$G29/'Powerbi Source'!$C29</f>
        <v>2911.45</v>
      </c>
      <c r="N29" s="58">
        <f>'Powerbi Source'!$G29/'Powerbi Source'!$I29</f>
        <v>477.7029175</v>
      </c>
      <c r="O29" s="58">
        <f>IFERROR('Powerbi Source'!$K29/'Powerbi Source'!$G29,0)</f>
        <v>9.614003564</v>
      </c>
    </row>
    <row r="30" ht="14.25" customHeight="1">
      <c r="A30" s="58">
        <v>2025.0</v>
      </c>
      <c r="B30" s="58">
        <v>2.0</v>
      </c>
      <c r="C30" s="59">
        <v>20.0</v>
      </c>
      <c r="D30" s="58" t="s">
        <v>15</v>
      </c>
      <c r="E30" s="58" t="s">
        <v>41</v>
      </c>
      <c r="F30" s="58" t="s">
        <v>32</v>
      </c>
      <c r="G30" s="59">
        <f>'Hours &amp; volumes per subgroup'!D55</f>
        <v>219409</v>
      </c>
      <c r="H30" s="59">
        <f>'Hours &amp; volumes per subgroup'!D6</f>
        <v>6505.710341</v>
      </c>
      <c r="I30" s="60">
        <f>'Hours &amp; volumes per subgroup'!D24</f>
        <v>40.66068963</v>
      </c>
      <c r="J30" s="60">
        <v>28.703984696689687</v>
      </c>
      <c r="K30" s="58">
        <f>'Powerbi Source'!$H30*'Powerbi Source'!$J30</f>
        <v>186739.8101</v>
      </c>
      <c r="L30" s="58">
        <f>'Powerbi Source'!$G30/'Powerbi Source'!$H30</f>
        <v>33.72560235</v>
      </c>
      <c r="M30" s="58">
        <f>'Powerbi Source'!$G30/'Powerbi Source'!$C30</f>
        <v>10970.45</v>
      </c>
      <c r="N30" s="58">
        <f>'Powerbi Source'!$G30/'Powerbi Source'!$I30</f>
        <v>5396.096377</v>
      </c>
      <c r="O30" s="58">
        <f>IFERROR('Powerbi Source'!$K30/'Powerbi Source'!$G30,0)</f>
        <v>0.8511036926</v>
      </c>
    </row>
    <row r="31" ht="14.25" customHeight="1">
      <c r="A31" s="58">
        <v>2025.0</v>
      </c>
      <c r="B31" s="58">
        <v>2.0</v>
      </c>
      <c r="C31" s="59">
        <v>20.0</v>
      </c>
      <c r="D31" s="58" t="s">
        <v>18</v>
      </c>
      <c r="E31" s="58" t="s">
        <v>41</v>
      </c>
      <c r="F31" s="58" t="s">
        <v>32</v>
      </c>
      <c r="G31" s="59">
        <f>'Hours &amp; volumes per subgroup'!D56</f>
        <v>180990</v>
      </c>
      <c r="H31" s="59">
        <f>'Hours &amp; volumes per subgroup'!D7</f>
        <v>5875</v>
      </c>
      <c r="I31" s="60">
        <f>'Hours &amp; volumes per subgroup'!D25</f>
        <v>36.71875</v>
      </c>
      <c r="J31" s="60">
        <v>28.703984696689687</v>
      </c>
      <c r="K31" s="58">
        <f>'Powerbi Source'!$H31*'Powerbi Source'!$J31</f>
        <v>168635.9101</v>
      </c>
      <c r="L31" s="58">
        <f>'Powerbi Source'!$G31/'Powerbi Source'!$H31</f>
        <v>30.80680851</v>
      </c>
      <c r="M31" s="58">
        <f>'Powerbi Source'!$G31/'Powerbi Source'!$C31</f>
        <v>9049.5</v>
      </c>
      <c r="N31" s="58">
        <f>'Powerbi Source'!$G31/'Powerbi Source'!$I31</f>
        <v>4929.089362</v>
      </c>
      <c r="O31" s="58">
        <f>IFERROR('Powerbi Source'!$K31/'Powerbi Source'!$G31,0)</f>
        <v>0.9317415884</v>
      </c>
    </row>
    <row r="32" ht="14.25" customHeight="1">
      <c r="A32" s="58">
        <v>2025.0</v>
      </c>
      <c r="B32" s="58">
        <v>2.0</v>
      </c>
      <c r="C32" s="59">
        <v>20.0</v>
      </c>
      <c r="D32" s="58" t="s">
        <v>15</v>
      </c>
      <c r="E32" s="58" t="s">
        <v>86</v>
      </c>
      <c r="F32" s="58" t="s">
        <v>32</v>
      </c>
      <c r="G32" s="59">
        <v>0.0</v>
      </c>
      <c r="H32" s="59">
        <f>'Hours &amp; volumes per subgroup'!D14</f>
        <v>2302.020582</v>
      </c>
      <c r="I32" s="60">
        <f>'Hours &amp; volumes per subgroup'!D32</f>
        <v>14.38762864</v>
      </c>
      <c r="J32" s="60">
        <v>28.703984696689687</v>
      </c>
      <c r="K32" s="58">
        <f>'Powerbi Source'!$H32*'Powerbi Source'!$J32</f>
        <v>66077.16357</v>
      </c>
      <c r="L32" s="58">
        <f>'Powerbi Source'!$G32/'Powerbi Source'!$H32</f>
        <v>0</v>
      </c>
      <c r="M32" s="58">
        <f>'Powerbi Source'!$G32/'Powerbi Source'!$C32</f>
        <v>0</v>
      </c>
      <c r="N32" s="58">
        <f>'Powerbi Source'!$G32/'Powerbi Source'!$I32</f>
        <v>0</v>
      </c>
      <c r="O32" s="58">
        <f>IFERROR('Powerbi Source'!$K32/'Powerbi Source'!$G32,0)</f>
        <v>0</v>
      </c>
    </row>
    <row r="33" ht="14.25" customHeight="1">
      <c r="A33" s="58">
        <v>2025.0</v>
      </c>
      <c r="B33" s="58">
        <v>2.0</v>
      </c>
      <c r="C33" s="59">
        <v>20.0</v>
      </c>
      <c r="D33" s="58" t="s">
        <v>18</v>
      </c>
      <c r="E33" s="58" t="s">
        <v>86</v>
      </c>
      <c r="F33" s="58" t="s">
        <v>32</v>
      </c>
      <c r="G33" s="59">
        <v>0.0</v>
      </c>
      <c r="H33" s="59">
        <f>'Hours &amp; volumes per subgroup'!D15</f>
        <v>1250</v>
      </c>
      <c r="I33" s="60">
        <f>'Hours &amp; volumes per subgroup'!D33</f>
        <v>7.8125</v>
      </c>
      <c r="J33" s="60">
        <v>28.703984696689687</v>
      </c>
      <c r="K33" s="58">
        <f>'Powerbi Source'!$H33*'Powerbi Source'!$J33</f>
        <v>35879.98087</v>
      </c>
      <c r="L33" s="58">
        <f>'Powerbi Source'!$G33/'Powerbi Source'!$H33</f>
        <v>0</v>
      </c>
      <c r="M33" s="58">
        <f>'Powerbi Source'!$G33/'Powerbi Source'!$C33</f>
        <v>0</v>
      </c>
      <c r="N33" s="58">
        <f>'Powerbi Source'!$G33/'Powerbi Source'!$I33</f>
        <v>0</v>
      </c>
      <c r="O33" s="58">
        <f>IFERROR('Powerbi Source'!$K33/'Powerbi Source'!$G33,0)</f>
        <v>0</v>
      </c>
    </row>
    <row r="34" ht="14.25" customHeight="1">
      <c r="A34" s="58">
        <v>2025.0</v>
      </c>
      <c r="B34" s="58">
        <v>3.0</v>
      </c>
      <c r="C34" s="59">
        <v>21.0</v>
      </c>
      <c r="D34" s="58" t="s">
        <v>15</v>
      </c>
      <c r="E34" s="58" t="s">
        <v>37</v>
      </c>
      <c r="F34" s="58" t="s">
        <v>84</v>
      </c>
      <c r="G34" s="59">
        <f>'Hours &amp; volumes per subgroup'!E38</f>
        <v>11407</v>
      </c>
      <c r="H34" s="59">
        <f>H38*'Powerbi Source'!$G34/G38</f>
        <v>1961.297741</v>
      </c>
      <c r="I34" s="60">
        <f>I38*'Powerbi Source'!$G34/G38</f>
        <v>11.67439132</v>
      </c>
      <c r="J34" s="60">
        <v>29.049874383548897</v>
      </c>
      <c r="K34" s="58">
        <f>'Powerbi Source'!$H34*'Powerbi Source'!$J34</f>
        <v>56975.45301</v>
      </c>
      <c r="L34" s="58">
        <f>'Powerbi Source'!$G34/'Powerbi Source'!$H34</f>
        <v>5.816047079</v>
      </c>
      <c r="M34" s="58">
        <f>'Powerbi Source'!$G34/'Powerbi Source'!$C34</f>
        <v>543.1904762</v>
      </c>
      <c r="N34" s="58">
        <f>'Powerbi Source'!$G34/'Powerbi Source'!$I34</f>
        <v>977.0959093</v>
      </c>
      <c r="O34" s="58">
        <f>IFERROR('Powerbi Source'!$K34/'Powerbi Source'!$G34,0)</f>
        <v>4.994779785</v>
      </c>
    </row>
    <row r="35" ht="14.25" customHeight="1">
      <c r="A35" s="58">
        <v>2025.0</v>
      </c>
      <c r="B35" s="58">
        <v>3.0</v>
      </c>
      <c r="C35" s="59">
        <v>21.0</v>
      </c>
      <c r="D35" s="58" t="s">
        <v>18</v>
      </c>
      <c r="E35" s="58" t="s">
        <v>37</v>
      </c>
      <c r="F35" s="58" t="s">
        <v>84</v>
      </c>
      <c r="G35" s="59">
        <f>'Hours &amp; volumes per subgroup'!E39</f>
        <v>13061</v>
      </c>
      <c r="H35" s="59">
        <f>H39*'Powerbi Source'!$G35/G39</f>
        <v>2268.571817</v>
      </c>
      <c r="I35" s="60">
        <f>I39*'Powerbi Source'!$G35/G39</f>
        <v>13.50340368</v>
      </c>
      <c r="J35" s="60">
        <v>29.049874383548897</v>
      </c>
      <c r="K35" s="58">
        <f>'Powerbi Source'!$H35*'Powerbi Source'!$J35</f>
        <v>65901.72633</v>
      </c>
      <c r="L35" s="58">
        <f>'Powerbi Source'!$G35/'Powerbi Source'!$H35</f>
        <v>5.757366771</v>
      </c>
      <c r="M35" s="58">
        <f>'Powerbi Source'!$G35/'Powerbi Source'!$C35</f>
        <v>621.952381</v>
      </c>
      <c r="N35" s="58">
        <f>'Powerbi Source'!$G35/'Powerbi Source'!$I35</f>
        <v>967.2376176</v>
      </c>
      <c r="O35" s="58">
        <f>IFERROR('Powerbi Source'!$K35/'Powerbi Source'!$G35,0)</f>
        <v>5.045687645</v>
      </c>
    </row>
    <row r="36" ht="14.25" customHeight="1">
      <c r="A36" s="58">
        <v>2025.0</v>
      </c>
      <c r="B36" s="58">
        <v>3.0</v>
      </c>
      <c r="C36" s="59">
        <v>21.0</v>
      </c>
      <c r="D36" s="58" t="s">
        <v>15</v>
      </c>
      <c r="E36" s="58" t="s">
        <v>37</v>
      </c>
      <c r="F36" s="58" t="s">
        <v>85</v>
      </c>
      <c r="G36" s="59">
        <f>'Hours &amp; volumes per subgroup'!E42</f>
        <v>9229</v>
      </c>
      <c r="H36" s="59">
        <f>H38*'Powerbi Source'!$G36/G38</f>
        <v>1586.816591</v>
      </c>
      <c r="I36" s="60">
        <f>I38*'Powerbi Source'!$G36/G38</f>
        <v>9.445336852</v>
      </c>
      <c r="J36" s="60">
        <v>29.049874383548897</v>
      </c>
      <c r="K36" s="58">
        <f>'Powerbi Source'!$H36*'Powerbi Source'!$J36</f>
        <v>46096.82264</v>
      </c>
      <c r="L36" s="58">
        <f>'Powerbi Source'!$G36/'Powerbi Source'!$H36</f>
        <v>5.816047079</v>
      </c>
      <c r="M36" s="58">
        <f>'Powerbi Source'!$G36/'Powerbi Source'!$C36</f>
        <v>439.4761905</v>
      </c>
      <c r="N36" s="58">
        <f>'Powerbi Source'!$G36/'Powerbi Source'!$I36</f>
        <v>977.0959093</v>
      </c>
      <c r="O36" s="58">
        <f>IFERROR('Powerbi Source'!$K36/'Powerbi Source'!$G36,0)</f>
        <v>4.994779785</v>
      </c>
    </row>
    <row r="37" ht="14.25" customHeight="1">
      <c r="A37" s="58">
        <v>2025.0</v>
      </c>
      <c r="B37" s="58">
        <v>3.0</v>
      </c>
      <c r="C37" s="59">
        <v>21.0</v>
      </c>
      <c r="D37" s="58" t="s">
        <v>18</v>
      </c>
      <c r="E37" s="58" t="s">
        <v>37</v>
      </c>
      <c r="F37" s="58" t="s">
        <v>85</v>
      </c>
      <c r="G37" s="59">
        <f>'Hours &amp; volumes per subgroup'!E43</f>
        <v>14488</v>
      </c>
      <c r="H37" s="59">
        <f>H39*'Powerbi Source'!$G37/G39</f>
        <v>2516.428183</v>
      </c>
      <c r="I37" s="60">
        <f>I39*'Powerbi Source'!$G37/G39</f>
        <v>14.97873918</v>
      </c>
      <c r="J37" s="60">
        <v>29.049874383548897</v>
      </c>
      <c r="K37" s="58">
        <f>'Powerbi Source'!$H37*'Powerbi Source'!$J37</f>
        <v>73101.9226</v>
      </c>
      <c r="L37" s="58">
        <f>'Powerbi Source'!$G37/'Powerbi Source'!$H37</f>
        <v>5.757366771</v>
      </c>
      <c r="M37" s="58">
        <f>'Powerbi Source'!$G37/'Powerbi Source'!$C37</f>
        <v>689.9047619</v>
      </c>
      <c r="N37" s="58">
        <f>'Powerbi Source'!$G37/'Powerbi Source'!$I37</f>
        <v>967.2376176</v>
      </c>
      <c r="O37" s="58">
        <f>IFERROR('Powerbi Source'!$K37/'Powerbi Source'!$G37,0)</f>
        <v>5.045687645</v>
      </c>
    </row>
    <row r="38" ht="14.25" customHeight="1">
      <c r="A38" s="58">
        <v>2025.0</v>
      </c>
      <c r="B38" s="58">
        <v>3.0</v>
      </c>
      <c r="C38" s="59">
        <v>21.0</v>
      </c>
      <c r="D38" s="58" t="s">
        <v>15</v>
      </c>
      <c r="E38" s="58" t="s">
        <v>37</v>
      </c>
      <c r="F38" s="58" t="s">
        <v>32</v>
      </c>
      <c r="G38" s="59">
        <f t="shared" ref="G38:G39" si="6">G34+G36</f>
        <v>20636</v>
      </c>
      <c r="H38" s="59">
        <f>'Hours &amp; volumes per subgroup'!E2</f>
        <v>3548.114332</v>
      </c>
      <c r="I38" s="60">
        <f>'Hours &amp; volumes per subgroup'!E20</f>
        <v>21.11972817</v>
      </c>
      <c r="J38" s="60">
        <v>29.049874383548897</v>
      </c>
      <c r="K38" s="58">
        <f>'Powerbi Source'!$H38*'Powerbi Source'!$J38</f>
        <v>103072.2757</v>
      </c>
      <c r="L38" s="58">
        <f>'Powerbi Source'!$G38/'Powerbi Source'!$H38</f>
        <v>5.816047079</v>
      </c>
      <c r="M38" s="58">
        <f>'Powerbi Source'!$G38/'Powerbi Source'!$C38</f>
        <v>982.6666667</v>
      </c>
      <c r="N38" s="58">
        <f>'Powerbi Source'!$G38/'Powerbi Source'!$I38</f>
        <v>977.0959093</v>
      </c>
      <c r="O38" s="58">
        <f>IFERROR('Powerbi Source'!$K38/'Powerbi Source'!$G38,0)</f>
        <v>4.994779785</v>
      </c>
    </row>
    <row r="39" ht="14.25" customHeight="1">
      <c r="A39" s="58">
        <v>2025.0</v>
      </c>
      <c r="B39" s="58">
        <v>3.0</v>
      </c>
      <c r="C39" s="59">
        <v>21.0</v>
      </c>
      <c r="D39" s="58" t="s">
        <v>18</v>
      </c>
      <c r="E39" s="58" t="s">
        <v>37</v>
      </c>
      <c r="F39" s="58" t="s">
        <v>32</v>
      </c>
      <c r="G39" s="59">
        <f t="shared" si="6"/>
        <v>27549</v>
      </c>
      <c r="H39" s="59">
        <f>'Hours &amp; volumes per subgroup'!E3</f>
        <v>4785</v>
      </c>
      <c r="I39" s="60">
        <f>'Hours &amp; volumes per subgroup'!E21</f>
        <v>28.48214286</v>
      </c>
      <c r="J39" s="60">
        <v>29.049874383548897</v>
      </c>
      <c r="K39" s="58">
        <f>'Powerbi Source'!$H39*'Powerbi Source'!$J39</f>
        <v>139003.6489</v>
      </c>
      <c r="L39" s="58">
        <f>'Powerbi Source'!$G39/'Powerbi Source'!$H39</f>
        <v>5.757366771</v>
      </c>
      <c r="M39" s="58">
        <f>'Powerbi Source'!$G39/'Powerbi Source'!$C39</f>
        <v>1311.857143</v>
      </c>
      <c r="N39" s="58">
        <f>'Powerbi Source'!$G39/'Powerbi Source'!$I39</f>
        <v>967.2376176</v>
      </c>
      <c r="O39" s="58">
        <f>IFERROR('Powerbi Source'!$K39/'Powerbi Source'!$G39,0)</f>
        <v>5.045687645</v>
      </c>
    </row>
    <row r="40" ht="14.25" customHeight="1">
      <c r="A40" s="58">
        <v>2025.0</v>
      </c>
      <c r="B40" s="58">
        <v>3.0</v>
      </c>
      <c r="C40" s="59">
        <v>21.0</v>
      </c>
      <c r="D40" s="58" t="s">
        <v>15</v>
      </c>
      <c r="E40" s="58" t="s">
        <v>42</v>
      </c>
      <c r="F40" s="58" t="s">
        <v>84</v>
      </c>
      <c r="G40" s="59">
        <f>'Hours &amp; volumes per subgroup'!E46</f>
        <v>28111.875</v>
      </c>
      <c r="H40" s="59">
        <f>H44*'Powerbi Source'!$G40/G44</f>
        <v>10393.52233</v>
      </c>
      <c r="I40" s="60">
        <f>I44*'Powerbi Source'!$G40/G44</f>
        <v>61.86620435</v>
      </c>
      <c r="J40" s="60">
        <v>29.049874383548897</v>
      </c>
      <c r="K40" s="58">
        <f>'Powerbi Source'!$H40*'Powerbi Source'!$J40</f>
        <v>301930.5181</v>
      </c>
      <c r="L40" s="58">
        <f>'Powerbi Source'!$G40/'Powerbi Source'!$H40</f>
        <v>2.704749565</v>
      </c>
      <c r="M40" s="58">
        <f>'Powerbi Source'!$G40/'Powerbi Source'!$C40</f>
        <v>1338.660714</v>
      </c>
      <c r="N40" s="58">
        <f>'Powerbi Source'!$G40/'Powerbi Source'!$I40</f>
        <v>454.3979269</v>
      </c>
      <c r="O40" s="58">
        <f>IFERROR('Powerbi Source'!$K40/'Powerbi Source'!$G40,0)</f>
        <v>10.74031946</v>
      </c>
    </row>
    <row r="41" ht="14.25" customHeight="1">
      <c r="A41" s="58">
        <v>2025.0</v>
      </c>
      <c r="B41" s="58">
        <v>3.0</v>
      </c>
      <c r="C41" s="59">
        <v>21.0</v>
      </c>
      <c r="D41" s="58" t="s">
        <v>18</v>
      </c>
      <c r="E41" s="58" t="s">
        <v>42</v>
      </c>
      <c r="F41" s="58" t="s">
        <v>84</v>
      </c>
      <c r="G41" s="59">
        <f>'Hours &amp; volumes per subgroup'!E47</f>
        <v>26704</v>
      </c>
      <c r="H41" s="59">
        <f>H45*'Powerbi Source'!$G41/G45</f>
        <v>8935.266601</v>
      </c>
      <c r="I41" s="60">
        <f>I45*'Powerbi Source'!$G41/G45</f>
        <v>53.18611072</v>
      </c>
      <c r="J41" s="60">
        <v>29.049874383548897</v>
      </c>
      <c r="K41" s="58">
        <f>'Powerbi Source'!$H41*'Powerbi Source'!$J41</f>
        <v>259568.3723</v>
      </c>
      <c r="L41" s="58">
        <f>'Powerbi Source'!$G41/'Powerbi Source'!$H41</f>
        <v>2.988606965</v>
      </c>
      <c r="M41" s="58">
        <f>'Powerbi Source'!$G41/'Powerbi Source'!$C41</f>
        <v>1271.619048</v>
      </c>
      <c r="N41" s="58">
        <f>'Powerbi Source'!$G41/'Powerbi Source'!$I41</f>
        <v>502.0859701</v>
      </c>
      <c r="O41" s="58">
        <f>IFERROR('Powerbi Source'!$K41/'Powerbi Source'!$G41,0)</f>
        <v>9.720205675</v>
      </c>
    </row>
    <row r="42" ht="14.25" customHeight="1">
      <c r="A42" s="58">
        <v>2025.0</v>
      </c>
      <c r="B42" s="58">
        <v>3.0</v>
      </c>
      <c r="C42" s="59">
        <v>21.0</v>
      </c>
      <c r="D42" s="58" t="s">
        <v>15</v>
      </c>
      <c r="E42" s="58" t="s">
        <v>42</v>
      </c>
      <c r="F42" s="58" t="s">
        <v>85</v>
      </c>
      <c r="G42" s="59">
        <f>'Hours &amp; volumes per subgroup'!E50/90</f>
        <v>28345.232</v>
      </c>
      <c r="H42" s="59">
        <f>H44*'Powerbi Source'!$G42/G44</f>
        <v>10479.79908</v>
      </c>
      <c r="I42" s="60">
        <f>I44*'Powerbi Source'!$G42/G44</f>
        <v>62.37975643</v>
      </c>
      <c r="J42" s="60">
        <v>29.049874383548897</v>
      </c>
      <c r="K42" s="58">
        <f>'Powerbi Source'!$H42*'Powerbi Source'!$J42</f>
        <v>304436.8468</v>
      </c>
      <c r="L42" s="58">
        <f>'Powerbi Source'!$G42/'Powerbi Source'!$H42</f>
        <v>2.704749565</v>
      </c>
      <c r="M42" s="58">
        <f>'Powerbi Source'!$G42/'Powerbi Source'!$C42</f>
        <v>1349.772952</v>
      </c>
      <c r="N42" s="58">
        <f>'Powerbi Source'!$G42/'Powerbi Source'!$I42</f>
        <v>454.3979269</v>
      </c>
      <c r="O42" s="58">
        <f>IFERROR('Powerbi Source'!$K42/'Powerbi Source'!$G42,0)</f>
        <v>10.74031946</v>
      </c>
    </row>
    <row r="43" ht="14.25" customHeight="1">
      <c r="A43" s="58">
        <v>2025.0</v>
      </c>
      <c r="B43" s="58">
        <v>3.0</v>
      </c>
      <c r="C43" s="59">
        <v>21.0</v>
      </c>
      <c r="D43" s="58" t="s">
        <v>18</v>
      </c>
      <c r="E43" s="58" t="s">
        <v>42</v>
      </c>
      <c r="F43" s="58" t="s">
        <v>85</v>
      </c>
      <c r="G43" s="59">
        <f>'Hours &amp; volumes per subgroup'!E53</f>
        <v>33367</v>
      </c>
      <c r="H43" s="59">
        <f>H45*'Powerbi Source'!$G43/G45</f>
        <v>11164.7334</v>
      </c>
      <c r="I43" s="60">
        <f>I45*'Powerbi Source'!$G43/G45</f>
        <v>66.45674642</v>
      </c>
      <c r="J43" s="60">
        <v>29.049874383548897</v>
      </c>
      <c r="K43" s="58">
        <f>'Powerbi Source'!$H43*'Powerbi Source'!$J43</f>
        <v>324334.1028</v>
      </c>
      <c r="L43" s="58">
        <f>'Powerbi Source'!$G43/'Powerbi Source'!$H43</f>
        <v>2.988606965</v>
      </c>
      <c r="M43" s="58">
        <f>'Powerbi Source'!$G43/'Powerbi Source'!$C43</f>
        <v>1588.904762</v>
      </c>
      <c r="N43" s="58">
        <f>'Powerbi Source'!$G43/'Powerbi Source'!$I43</f>
        <v>502.0859701</v>
      </c>
      <c r="O43" s="58">
        <f>IFERROR('Powerbi Source'!$K43/'Powerbi Source'!$G43,0)</f>
        <v>9.720205675</v>
      </c>
    </row>
    <row r="44" ht="14.25" customHeight="1">
      <c r="A44" s="58">
        <v>2025.0</v>
      </c>
      <c r="B44" s="58">
        <v>3.0</v>
      </c>
      <c r="C44" s="59">
        <v>21.0</v>
      </c>
      <c r="D44" s="58" t="s">
        <v>15</v>
      </c>
      <c r="E44" s="58" t="s">
        <v>42</v>
      </c>
      <c r="F44" s="58" t="s">
        <v>32</v>
      </c>
      <c r="G44" s="59">
        <f t="shared" ref="G44:G45" si="7">G40+G42</f>
        <v>56457.107</v>
      </c>
      <c r="H44" s="59">
        <f>'Hours &amp; volumes per subgroup'!E10</f>
        <v>20873.32141</v>
      </c>
      <c r="I44" s="60">
        <f>'Hours &amp; volumes per subgroup'!E28</f>
        <v>124.2459608</v>
      </c>
      <c r="J44" s="60">
        <v>29.049874383548897</v>
      </c>
      <c r="K44" s="58">
        <f>'Powerbi Source'!$H44*'Powerbi Source'!$J44</f>
        <v>606367.3649</v>
      </c>
      <c r="L44" s="58">
        <f>'Powerbi Source'!$G44/'Powerbi Source'!$H44</f>
        <v>2.704749565</v>
      </c>
      <c r="M44" s="58">
        <f>'Powerbi Source'!$G44/'Powerbi Source'!$C44</f>
        <v>2688.433667</v>
      </c>
      <c r="N44" s="58">
        <f>'Powerbi Source'!$G44/'Powerbi Source'!$I44</f>
        <v>454.3979269</v>
      </c>
      <c r="O44" s="58">
        <f>IFERROR('Powerbi Source'!$K44/'Powerbi Source'!$G44,0)</f>
        <v>10.74031946</v>
      </c>
    </row>
    <row r="45" ht="14.25" customHeight="1">
      <c r="A45" s="58">
        <v>2025.0</v>
      </c>
      <c r="B45" s="58">
        <v>3.0</v>
      </c>
      <c r="C45" s="59">
        <v>21.0</v>
      </c>
      <c r="D45" s="58" t="s">
        <v>18</v>
      </c>
      <c r="E45" s="58" t="s">
        <v>42</v>
      </c>
      <c r="F45" s="58" t="s">
        <v>32</v>
      </c>
      <c r="G45" s="59">
        <f t="shared" si="7"/>
        <v>60071</v>
      </c>
      <c r="H45" s="59">
        <f>'Hours &amp; volumes per subgroup'!E11</f>
        <v>20100</v>
      </c>
      <c r="I45" s="60">
        <f>'Hours &amp; volumes per subgroup'!E29</f>
        <v>119.6428571</v>
      </c>
      <c r="J45" s="60">
        <v>29.049874383548897</v>
      </c>
      <c r="K45" s="58">
        <f>'Powerbi Source'!$H45*'Powerbi Source'!$J45</f>
        <v>583902.4751</v>
      </c>
      <c r="L45" s="58">
        <f>'Powerbi Source'!$G45/'Powerbi Source'!$H45</f>
        <v>2.988606965</v>
      </c>
      <c r="M45" s="58">
        <f>'Powerbi Source'!$G45/'Powerbi Source'!$C45</f>
        <v>2860.52381</v>
      </c>
      <c r="N45" s="58">
        <f>'Powerbi Source'!$G45/'Powerbi Source'!$I45</f>
        <v>502.0859701</v>
      </c>
      <c r="O45" s="58">
        <f>IFERROR('Powerbi Source'!$K45/'Powerbi Source'!$G45,0)</f>
        <v>9.720205675</v>
      </c>
    </row>
    <row r="46" ht="14.25" customHeight="1">
      <c r="A46" s="58">
        <v>2025.0</v>
      </c>
      <c r="B46" s="58">
        <v>3.0</v>
      </c>
      <c r="C46" s="59">
        <v>21.0</v>
      </c>
      <c r="D46" s="58" t="s">
        <v>15</v>
      </c>
      <c r="E46" s="58" t="s">
        <v>41</v>
      </c>
      <c r="F46" s="58" t="s">
        <v>32</v>
      </c>
      <c r="G46" s="59">
        <f>'Hours &amp; volumes per subgroup'!E55</f>
        <v>219409</v>
      </c>
      <c r="H46" s="59">
        <f>'Hours &amp; volumes per subgroup'!E6</f>
        <v>6505.710341</v>
      </c>
      <c r="I46" s="60">
        <f>'Hours &amp; volumes per subgroup'!E24</f>
        <v>38.72446632</v>
      </c>
      <c r="J46" s="60">
        <v>29.049874383548897</v>
      </c>
      <c r="K46" s="58">
        <f>'Powerbi Source'!$H46*'Powerbi Source'!$J46</f>
        <v>188990.0682</v>
      </c>
      <c r="L46" s="58">
        <f>'Powerbi Source'!$G46/'Powerbi Source'!$H46</f>
        <v>33.72560235</v>
      </c>
      <c r="M46" s="58">
        <f>'Powerbi Source'!$G46/'Powerbi Source'!$C46</f>
        <v>10448.04762</v>
      </c>
      <c r="N46" s="58">
        <f>'Powerbi Source'!$G46/'Powerbi Source'!$I46</f>
        <v>5665.901195</v>
      </c>
      <c r="O46" s="58">
        <f>IFERROR('Powerbi Source'!$K46/'Powerbi Source'!$G46,0)</f>
        <v>0.8613596899</v>
      </c>
    </row>
    <row r="47" ht="14.25" customHeight="1">
      <c r="A47" s="58">
        <v>2025.0</v>
      </c>
      <c r="B47" s="58">
        <v>3.0</v>
      </c>
      <c r="C47" s="59">
        <v>21.0</v>
      </c>
      <c r="D47" s="58" t="s">
        <v>18</v>
      </c>
      <c r="E47" s="58" t="s">
        <v>41</v>
      </c>
      <c r="F47" s="58" t="s">
        <v>32</v>
      </c>
      <c r="G47" s="59">
        <f>'Hours &amp; volumes per subgroup'!E56</f>
        <v>206128</v>
      </c>
      <c r="H47" s="59">
        <f>'Hours &amp; volumes per subgroup'!E7</f>
        <v>6341</v>
      </c>
      <c r="I47" s="60">
        <f>'Hours &amp; volumes per subgroup'!E25</f>
        <v>37.74404762</v>
      </c>
      <c r="J47" s="60">
        <v>29.049874383548897</v>
      </c>
      <c r="K47" s="58">
        <f>'Powerbi Source'!$H47*'Powerbi Source'!$J47</f>
        <v>184205.2535</v>
      </c>
      <c r="L47" s="58">
        <f>'Powerbi Source'!$G47/'Powerbi Source'!$H47</f>
        <v>32.50717552</v>
      </c>
      <c r="M47" s="58">
        <f>'Powerbi Source'!$G47/'Powerbi Source'!$C47</f>
        <v>9815.619048</v>
      </c>
      <c r="N47" s="58">
        <f>'Powerbi Source'!$G47/'Powerbi Source'!$I47</f>
        <v>5461.205488</v>
      </c>
      <c r="O47" s="58">
        <f>IFERROR('Powerbi Source'!$K47/'Powerbi Source'!$G47,0)</f>
        <v>0.893644985</v>
      </c>
    </row>
    <row r="48" ht="14.25" customHeight="1">
      <c r="A48" s="58">
        <v>2025.0</v>
      </c>
      <c r="B48" s="58">
        <v>3.0</v>
      </c>
      <c r="C48" s="59">
        <v>21.0</v>
      </c>
      <c r="D48" s="58" t="s">
        <v>15</v>
      </c>
      <c r="E48" s="58" t="s">
        <v>86</v>
      </c>
      <c r="F48" s="58" t="s">
        <v>32</v>
      </c>
      <c r="G48" s="59">
        <v>0.0</v>
      </c>
      <c r="H48" s="59">
        <f>'Hours &amp; volumes per subgroup'!E14</f>
        <v>2302.020582</v>
      </c>
      <c r="I48" s="60">
        <f>'Hours &amp; volumes per subgroup'!E32</f>
        <v>13.70250347</v>
      </c>
      <c r="J48" s="60">
        <v>29.049874383548897</v>
      </c>
      <c r="K48" s="58">
        <f>'Powerbi Source'!$H48*'Powerbi Source'!$J48</f>
        <v>66873.40875</v>
      </c>
      <c r="L48" s="58">
        <f>'Powerbi Source'!$G48/'Powerbi Source'!$H48</f>
        <v>0</v>
      </c>
      <c r="M48" s="58">
        <f>'Powerbi Source'!$G48/'Powerbi Source'!$C48</f>
        <v>0</v>
      </c>
      <c r="N48" s="58">
        <f>'Powerbi Source'!$G48/'Powerbi Source'!$I48</f>
        <v>0</v>
      </c>
      <c r="O48" s="58">
        <f>IFERROR('Powerbi Source'!$K48/'Powerbi Source'!$G48,0)</f>
        <v>0</v>
      </c>
    </row>
    <row r="49" ht="14.25" customHeight="1">
      <c r="A49" s="58">
        <v>2025.0</v>
      </c>
      <c r="B49" s="58">
        <v>3.0</v>
      </c>
      <c r="C49" s="59">
        <v>21.0</v>
      </c>
      <c r="D49" s="58" t="s">
        <v>18</v>
      </c>
      <c r="E49" s="58" t="s">
        <v>86</v>
      </c>
      <c r="F49" s="58" t="s">
        <v>32</v>
      </c>
      <c r="G49" s="59">
        <v>0.0</v>
      </c>
      <c r="H49" s="59">
        <f>'Hours &amp; volumes per subgroup'!E15</f>
        <v>1016</v>
      </c>
      <c r="I49" s="60">
        <f>'Hours &amp; volumes per subgroup'!E33</f>
        <v>6.047619048</v>
      </c>
      <c r="J49" s="60">
        <v>29.049874383548897</v>
      </c>
      <c r="K49" s="58">
        <f>'Powerbi Source'!$H49*'Powerbi Source'!$J49</f>
        <v>29514.67237</v>
      </c>
      <c r="L49" s="58">
        <f>'Powerbi Source'!$G49/'Powerbi Source'!$H49</f>
        <v>0</v>
      </c>
      <c r="M49" s="58">
        <f>'Powerbi Source'!$G49/'Powerbi Source'!$C49</f>
        <v>0</v>
      </c>
      <c r="N49" s="58">
        <f>'Powerbi Source'!$G49/'Powerbi Source'!$I49</f>
        <v>0</v>
      </c>
      <c r="O49" s="58">
        <f>IFERROR('Powerbi Source'!$K49/'Powerbi Source'!$G49,0)</f>
        <v>0</v>
      </c>
    </row>
    <row r="50" ht="14.25" customHeight="1">
      <c r="A50" s="58">
        <v>2025.0</v>
      </c>
      <c r="B50" s="58">
        <v>4.0</v>
      </c>
      <c r="C50" s="59">
        <v>21.0</v>
      </c>
      <c r="D50" s="58" t="s">
        <v>15</v>
      </c>
      <c r="E50" s="58" t="s">
        <v>37</v>
      </c>
      <c r="F50" s="58" t="s">
        <v>84</v>
      </c>
      <c r="G50" s="59">
        <f>'Hours &amp; volumes per subgroup'!F38</f>
        <v>11407</v>
      </c>
      <c r="H50" s="59">
        <f>H54*'Powerbi Source'!$G50/G54</f>
        <v>1961.297741</v>
      </c>
      <c r="I50" s="60">
        <f>I54*'Powerbi Source'!$G50/G54</f>
        <v>11.67439132</v>
      </c>
      <c r="J50" s="60">
        <v>29.22623866860425</v>
      </c>
      <c r="K50" s="58">
        <f>'Powerbi Source'!$H50*'Powerbi Source'!$J50</f>
        <v>57321.35589</v>
      </c>
      <c r="L50" s="58">
        <f>'Powerbi Source'!$G50/'Powerbi Source'!$H50</f>
        <v>5.816047079</v>
      </c>
      <c r="M50" s="58">
        <f>'Powerbi Source'!$G50/'Powerbi Source'!$C50</f>
        <v>543.1904762</v>
      </c>
      <c r="N50" s="58">
        <f>'Powerbi Source'!$G50/'Powerbi Source'!$I50</f>
        <v>977.0959093</v>
      </c>
      <c r="O50" s="58">
        <f>IFERROR('Powerbi Source'!$K50/'Powerbi Source'!$G50,0)</f>
        <v>5.025103523</v>
      </c>
    </row>
    <row r="51" ht="14.25" customHeight="1">
      <c r="A51" s="58">
        <v>2025.0</v>
      </c>
      <c r="B51" s="58">
        <v>4.0</v>
      </c>
      <c r="C51" s="59">
        <v>21.0</v>
      </c>
      <c r="D51" s="58" t="s">
        <v>18</v>
      </c>
      <c r="E51" s="58" t="s">
        <v>37</v>
      </c>
      <c r="F51" s="58" t="s">
        <v>84</v>
      </c>
      <c r="G51" s="59">
        <f>'Hours &amp; volumes per subgroup'!F39</f>
        <v>12720</v>
      </c>
      <c r="H51" s="59">
        <f>H55*'Powerbi Source'!$G51/G55</f>
        <v>2348.524335</v>
      </c>
      <c r="I51" s="60">
        <f>I55*'Powerbi Source'!$G51/G55</f>
        <v>13.97931152</v>
      </c>
      <c r="J51" s="60">
        <v>29.22623866860425</v>
      </c>
      <c r="K51" s="58">
        <f>'Powerbi Source'!$H51*'Powerbi Source'!$J51</f>
        <v>68638.53273</v>
      </c>
      <c r="L51" s="58">
        <f>'Powerbi Source'!$G51/'Powerbi Source'!$H51</f>
        <v>5.416167</v>
      </c>
      <c r="M51" s="58">
        <f>'Powerbi Source'!$G51/'Powerbi Source'!$C51</f>
        <v>605.7142857</v>
      </c>
      <c r="N51" s="58">
        <f>'Powerbi Source'!$G51/'Powerbi Source'!$I51</f>
        <v>909.916056</v>
      </c>
      <c r="O51" s="58">
        <f>IFERROR('Powerbi Source'!$K51/'Powerbi Source'!$G51,0)</f>
        <v>5.396111063</v>
      </c>
    </row>
    <row r="52" ht="14.25" customHeight="1">
      <c r="A52" s="58">
        <v>2025.0</v>
      </c>
      <c r="B52" s="58">
        <v>4.0</v>
      </c>
      <c r="C52" s="59">
        <v>21.0</v>
      </c>
      <c r="D52" s="58" t="s">
        <v>15</v>
      </c>
      <c r="E52" s="58" t="s">
        <v>37</v>
      </c>
      <c r="F52" s="58" t="s">
        <v>85</v>
      </c>
      <c r="G52" s="59">
        <f>'Hours &amp; volumes per subgroup'!F42</f>
        <v>9229</v>
      </c>
      <c r="H52" s="59">
        <f>H54*'Powerbi Source'!$G52/G54</f>
        <v>1586.816591</v>
      </c>
      <c r="I52" s="60">
        <f>I54*'Powerbi Source'!$G52/G54</f>
        <v>9.445336852</v>
      </c>
      <c r="J52" s="60">
        <v>29.22623866860425</v>
      </c>
      <c r="K52" s="58">
        <f>'Powerbi Source'!$H52*'Powerbi Source'!$J52</f>
        <v>46376.68041</v>
      </c>
      <c r="L52" s="58">
        <f>'Powerbi Source'!$G52/'Powerbi Source'!$H52</f>
        <v>5.816047079</v>
      </c>
      <c r="M52" s="58">
        <f>'Powerbi Source'!$G52/'Powerbi Source'!$C52</f>
        <v>439.4761905</v>
      </c>
      <c r="N52" s="58">
        <f>'Powerbi Source'!$G52/'Powerbi Source'!$I52</f>
        <v>977.0959093</v>
      </c>
      <c r="O52" s="58">
        <f>IFERROR('Powerbi Source'!$K52/'Powerbi Source'!$G52,0)</f>
        <v>5.025103523</v>
      </c>
    </row>
    <row r="53" ht="14.25" customHeight="1">
      <c r="A53" s="58">
        <v>2025.0</v>
      </c>
      <c r="B53" s="58">
        <v>4.0</v>
      </c>
      <c r="C53" s="59">
        <v>21.0</v>
      </c>
      <c r="D53" s="58" t="s">
        <v>18</v>
      </c>
      <c r="E53" s="58" t="s">
        <v>37</v>
      </c>
      <c r="F53" s="58" t="s">
        <v>85</v>
      </c>
      <c r="G53" s="59">
        <f>'Hours &amp; volumes per subgroup'!F43</f>
        <v>11669</v>
      </c>
      <c r="H53" s="59">
        <f>H55*'Powerbi Source'!$G53/G55</f>
        <v>2154.475665</v>
      </c>
      <c r="I53" s="60">
        <f>I55*'Powerbi Source'!$G53/G55</f>
        <v>12.82425991</v>
      </c>
      <c r="J53" s="60">
        <v>29.22623866860425</v>
      </c>
      <c r="K53" s="58">
        <f>'Powerbi Source'!$H53*'Powerbi Source'!$J53</f>
        <v>62967.22</v>
      </c>
      <c r="L53" s="58">
        <f>'Powerbi Source'!$G53/'Powerbi Source'!$H53</f>
        <v>5.416167</v>
      </c>
      <c r="M53" s="58">
        <f>'Powerbi Source'!$G53/'Powerbi Source'!$C53</f>
        <v>555.6666667</v>
      </c>
      <c r="N53" s="58">
        <f>'Powerbi Source'!$G53/'Powerbi Source'!$I53</f>
        <v>909.916056</v>
      </c>
      <c r="O53" s="58">
        <f>IFERROR('Powerbi Source'!$K53/'Powerbi Source'!$G53,0)</f>
        <v>5.396111063</v>
      </c>
    </row>
    <row r="54" ht="14.25" customHeight="1">
      <c r="A54" s="58">
        <v>2025.0</v>
      </c>
      <c r="B54" s="58">
        <v>4.0</v>
      </c>
      <c r="C54" s="59">
        <v>21.0</v>
      </c>
      <c r="D54" s="58" t="s">
        <v>15</v>
      </c>
      <c r="E54" s="58" t="s">
        <v>37</v>
      </c>
      <c r="F54" s="58" t="s">
        <v>32</v>
      </c>
      <c r="G54" s="59">
        <f t="shared" ref="G54:G55" si="8">G50+G52</f>
        <v>20636</v>
      </c>
      <c r="H54" s="59">
        <f>'Hours &amp; volumes per subgroup'!F2</f>
        <v>3548.114332</v>
      </c>
      <c r="I54" s="60">
        <f>'Hours &amp; volumes per subgroup'!F20</f>
        <v>21.11972817</v>
      </c>
      <c r="J54" s="60">
        <v>29.22623866860425</v>
      </c>
      <c r="K54" s="58">
        <f>'Powerbi Source'!$H54*'Powerbi Source'!$J54</f>
        <v>103698.0363</v>
      </c>
      <c r="L54" s="58">
        <f>'Powerbi Source'!$G54/'Powerbi Source'!$H54</f>
        <v>5.816047079</v>
      </c>
      <c r="M54" s="58">
        <f>'Powerbi Source'!$G54/'Powerbi Source'!$C54</f>
        <v>982.6666667</v>
      </c>
      <c r="N54" s="58">
        <f>'Powerbi Source'!$G54/'Powerbi Source'!$I54</f>
        <v>977.0959093</v>
      </c>
      <c r="O54" s="58">
        <f>IFERROR('Powerbi Source'!$K54/'Powerbi Source'!$G54,0)</f>
        <v>5.025103523</v>
      </c>
    </row>
    <row r="55" ht="14.25" customHeight="1">
      <c r="A55" s="58">
        <v>2025.0</v>
      </c>
      <c r="B55" s="58">
        <v>4.0</v>
      </c>
      <c r="C55" s="59">
        <v>21.0</v>
      </c>
      <c r="D55" s="58" t="s">
        <v>18</v>
      </c>
      <c r="E55" s="58" t="s">
        <v>37</v>
      </c>
      <c r="F55" s="58" t="s">
        <v>32</v>
      </c>
      <c r="G55" s="59">
        <f t="shared" si="8"/>
        <v>24389</v>
      </c>
      <c r="H55" s="59">
        <f>'Hours &amp; volumes per subgroup'!F3</f>
        <v>4503</v>
      </c>
      <c r="I55" s="60">
        <f>'Hours &amp; volumes per subgroup'!F21</f>
        <v>26.80357143</v>
      </c>
      <c r="J55" s="60">
        <v>29.22623866860425</v>
      </c>
      <c r="K55" s="58">
        <f>'Powerbi Source'!$H55*'Powerbi Source'!$J55</f>
        <v>131605.7527</v>
      </c>
      <c r="L55" s="58">
        <f>'Powerbi Source'!$G55/'Powerbi Source'!$H55</f>
        <v>5.416167</v>
      </c>
      <c r="M55" s="58">
        <f>'Powerbi Source'!$G55/'Powerbi Source'!$C55</f>
        <v>1161.380952</v>
      </c>
      <c r="N55" s="58">
        <f>'Powerbi Source'!$G55/'Powerbi Source'!$I55</f>
        <v>909.916056</v>
      </c>
      <c r="O55" s="58">
        <f>IFERROR('Powerbi Source'!$K55/'Powerbi Source'!$G55,0)</f>
        <v>5.396111063</v>
      </c>
    </row>
    <row r="56" ht="14.25" customHeight="1">
      <c r="A56" s="58">
        <v>2025.0</v>
      </c>
      <c r="B56" s="58">
        <v>4.0</v>
      </c>
      <c r="C56" s="59">
        <v>21.0</v>
      </c>
      <c r="D56" s="58" t="s">
        <v>15</v>
      </c>
      <c r="E56" s="58" t="s">
        <v>42</v>
      </c>
      <c r="F56" s="58" t="s">
        <v>84</v>
      </c>
      <c r="G56" s="59">
        <f>'Hours &amp; volumes per subgroup'!F46</f>
        <v>28111.875</v>
      </c>
      <c r="H56" s="59">
        <f>H60*'Powerbi Source'!$G56/G60</f>
        <v>9207.445151</v>
      </c>
      <c r="I56" s="60">
        <f>I60*'Powerbi Source'!$G56/G60</f>
        <v>54.80622114</v>
      </c>
      <c r="J56" s="60">
        <v>29.22623866860425</v>
      </c>
      <c r="K56" s="58">
        <f>'Powerbi Source'!$H56*'Powerbi Source'!$J56</f>
        <v>269098.9895</v>
      </c>
      <c r="L56" s="58">
        <f>'Powerbi Source'!$G56/'Powerbi Source'!$H56</f>
        <v>3.053167794</v>
      </c>
      <c r="M56" s="58">
        <f>'Powerbi Source'!$G56/'Powerbi Source'!$C56</f>
        <v>1338.660714</v>
      </c>
      <c r="N56" s="58">
        <f>'Powerbi Source'!$G56/'Powerbi Source'!$I56</f>
        <v>512.9321894</v>
      </c>
      <c r="O56" s="58">
        <f>IFERROR('Powerbi Source'!$K56/'Powerbi Source'!$G56,0)</f>
        <v>9.572431206</v>
      </c>
    </row>
    <row r="57" ht="14.25" customHeight="1">
      <c r="A57" s="58">
        <v>2025.0</v>
      </c>
      <c r="B57" s="58">
        <v>4.0</v>
      </c>
      <c r="C57" s="59">
        <v>21.0</v>
      </c>
      <c r="D57" s="58" t="s">
        <v>18</v>
      </c>
      <c r="E57" s="58" t="s">
        <v>42</v>
      </c>
      <c r="F57" s="58" t="s">
        <v>84</v>
      </c>
      <c r="G57" s="59">
        <f>'Hours &amp; volumes per subgroup'!F47</f>
        <v>30455</v>
      </c>
      <c r="H57" s="59">
        <f>H61*'Powerbi Source'!$G57/G61</f>
        <v>8860.891744</v>
      </c>
      <c r="I57" s="60">
        <f>I61*'Powerbi Source'!$G57/G61</f>
        <v>52.74340324</v>
      </c>
      <c r="J57" s="60">
        <v>29.22623866860425</v>
      </c>
      <c r="K57" s="58">
        <f>'Powerbi Source'!$H57*'Powerbi Source'!$J57</f>
        <v>258970.5369</v>
      </c>
      <c r="L57" s="58">
        <f>'Powerbi Source'!$G57/'Powerbi Source'!$H57</f>
        <v>3.437012987</v>
      </c>
      <c r="M57" s="58">
        <f>'Powerbi Source'!$G57/'Powerbi Source'!$C57</f>
        <v>1450.238095</v>
      </c>
      <c r="N57" s="58">
        <f>'Powerbi Source'!$G57/'Powerbi Source'!$I57</f>
        <v>577.4181818</v>
      </c>
      <c r="O57" s="58">
        <f>IFERROR('Powerbi Source'!$K57/'Powerbi Source'!$G57,0)</f>
        <v>8.503383251</v>
      </c>
    </row>
    <row r="58" ht="14.25" customHeight="1">
      <c r="A58" s="58">
        <v>2025.0</v>
      </c>
      <c r="B58" s="58">
        <v>4.0</v>
      </c>
      <c r="C58" s="59">
        <v>21.0</v>
      </c>
      <c r="D58" s="58" t="s">
        <v>15</v>
      </c>
      <c r="E58" s="58" t="s">
        <v>42</v>
      </c>
      <c r="F58" s="58" t="s">
        <v>85</v>
      </c>
      <c r="G58" s="59">
        <f>'Hours &amp; volumes per subgroup'!F50/90</f>
        <v>28345.232</v>
      </c>
      <c r="H58" s="59">
        <f>H60*'Powerbi Source'!$G58/G60</f>
        <v>9283.87626</v>
      </c>
      <c r="I58" s="60">
        <f>I60*'Powerbi Source'!$G58/G60</f>
        <v>55.26116821</v>
      </c>
      <c r="J58" s="60">
        <v>29.22623866860425</v>
      </c>
      <c r="K58" s="58">
        <f>'Powerbi Source'!$H58*'Powerbi Source'!$J58</f>
        <v>271332.7833</v>
      </c>
      <c r="L58" s="58">
        <f>'Powerbi Source'!$G58/'Powerbi Source'!$H58</f>
        <v>3.053167794</v>
      </c>
      <c r="M58" s="58">
        <f>'Powerbi Source'!$G58/'Powerbi Source'!$C58</f>
        <v>1349.772952</v>
      </c>
      <c r="N58" s="58">
        <f>'Powerbi Source'!$G58/'Powerbi Source'!$I58</f>
        <v>512.9321894</v>
      </c>
      <c r="O58" s="58">
        <f>IFERROR('Powerbi Source'!$K58/'Powerbi Source'!$G58,0)</f>
        <v>9.572431206</v>
      </c>
    </row>
    <row r="59" ht="14.25" customHeight="1">
      <c r="A59" s="58">
        <v>2025.0</v>
      </c>
      <c r="B59" s="58">
        <v>4.0</v>
      </c>
      <c r="C59" s="59">
        <v>21.0</v>
      </c>
      <c r="D59" s="58" t="s">
        <v>18</v>
      </c>
      <c r="E59" s="58" t="s">
        <v>42</v>
      </c>
      <c r="F59" s="58" t="s">
        <v>85</v>
      </c>
      <c r="G59" s="59">
        <f>'Hours &amp; volumes per subgroup'!F53</f>
        <v>27768</v>
      </c>
      <c r="H59" s="59">
        <f>H61*'Powerbi Source'!$G59/G61</f>
        <v>8079.108256</v>
      </c>
      <c r="I59" s="60">
        <f>I61*'Powerbi Source'!$G59/G61</f>
        <v>48.0899301</v>
      </c>
      <c r="J59" s="60">
        <v>29.22623866860425</v>
      </c>
      <c r="K59" s="58">
        <f>'Powerbi Source'!$H59*'Powerbi Source'!$J59</f>
        <v>236121.9461</v>
      </c>
      <c r="L59" s="58">
        <f>'Powerbi Source'!$G59/'Powerbi Source'!$H59</f>
        <v>3.437012987</v>
      </c>
      <c r="M59" s="58">
        <f>'Powerbi Source'!$G59/'Powerbi Source'!$C59</f>
        <v>1322.285714</v>
      </c>
      <c r="N59" s="58">
        <f>'Powerbi Source'!$G59/'Powerbi Source'!$I59</f>
        <v>577.4181818</v>
      </c>
      <c r="O59" s="58">
        <f>IFERROR('Powerbi Source'!$K59/'Powerbi Source'!$G59,0)</f>
        <v>8.503383251</v>
      </c>
    </row>
    <row r="60" ht="14.25" customHeight="1">
      <c r="A60" s="58">
        <v>2025.0</v>
      </c>
      <c r="B60" s="58">
        <v>4.0</v>
      </c>
      <c r="C60" s="59">
        <v>21.0</v>
      </c>
      <c r="D60" s="58" t="s">
        <v>15</v>
      </c>
      <c r="E60" s="58" t="s">
        <v>42</v>
      </c>
      <c r="F60" s="58" t="s">
        <v>32</v>
      </c>
      <c r="G60" s="59">
        <f t="shared" ref="G60:G61" si="9">G56+G58</f>
        <v>56457.107</v>
      </c>
      <c r="H60" s="59">
        <f>'Hours &amp; volumes per subgroup'!F10</f>
        <v>18491.32141</v>
      </c>
      <c r="I60" s="60">
        <f>'Hours &amp; volumes per subgroup'!F28</f>
        <v>110.0673893</v>
      </c>
      <c r="J60" s="60">
        <v>29.22623866860425</v>
      </c>
      <c r="K60" s="58">
        <f>'Powerbi Source'!$H60*'Powerbi Source'!$J60</f>
        <v>540431.7728</v>
      </c>
      <c r="L60" s="58">
        <f>'Powerbi Source'!$G60/'Powerbi Source'!$H60</f>
        <v>3.053167794</v>
      </c>
      <c r="M60" s="58">
        <f>'Powerbi Source'!$G60/'Powerbi Source'!$C60</f>
        <v>2688.433667</v>
      </c>
      <c r="N60" s="58">
        <f>'Powerbi Source'!$G60/'Powerbi Source'!$I60</f>
        <v>512.9321894</v>
      </c>
      <c r="O60" s="58">
        <f>IFERROR('Powerbi Source'!$K60/'Powerbi Source'!$G60,0)</f>
        <v>9.572431206</v>
      </c>
    </row>
    <row r="61" ht="14.25" customHeight="1">
      <c r="A61" s="58">
        <v>2025.0</v>
      </c>
      <c r="B61" s="58">
        <v>4.0</v>
      </c>
      <c r="C61" s="59">
        <v>21.0</v>
      </c>
      <c r="D61" s="58" t="s">
        <v>18</v>
      </c>
      <c r="E61" s="58" t="s">
        <v>42</v>
      </c>
      <c r="F61" s="58" t="s">
        <v>32</v>
      </c>
      <c r="G61" s="59">
        <f t="shared" si="9"/>
        <v>58223</v>
      </c>
      <c r="H61" s="59">
        <f>'Hours &amp; volumes per subgroup'!F11</f>
        <v>16940</v>
      </c>
      <c r="I61" s="60">
        <f>'Hours &amp; volumes per subgroup'!F29</f>
        <v>100.8333333</v>
      </c>
      <c r="J61" s="60">
        <v>29.22623866860425</v>
      </c>
      <c r="K61" s="58">
        <f>'Powerbi Source'!$H61*'Powerbi Source'!$J61</f>
        <v>495092.483</v>
      </c>
      <c r="L61" s="58">
        <f>'Powerbi Source'!$G61/'Powerbi Source'!$H61</f>
        <v>3.437012987</v>
      </c>
      <c r="M61" s="58">
        <f>'Powerbi Source'!$G61/'Powerbi Source'!$C61</f>
        <v>2772.52381</v>
      </c>
      <c r="N61" s="58">
        <f>'Powerbi Source'!$G61/'Powerbi Source'!$I61</f>
        <v>577.4181818</v>
      </c>
      <c r="O61" s="58">
        <f>IFERROR('Powerbi Source'!$K61/'Powerbi Source'!$G61,0)</f>
        <v>8.503383251</v>
      </c>
    </row>
    <row r="62" ht="14.25" customHeight="1">
      <c r="A62" s="58">
        <v>2025.0</v>
      </c>
      <c r="B62" s="58">
        <v>4.0</v>
      </c>
      <c r="C62" s="59">
        <v>21.0</v>
      </c>
      <c r="D62" s="58" t="s">
        <v>15</v>
      </c>
      <c r="E62" s="58" t="s">
        <v>41</v>
      </c>
      <c r="F62" s="58" t="s">
        <v>32</v>
      </c>
      <c r="G62" s="59">
        <f>'Hours &amp; volumes per subgroup'!F55</f>
        <v>219409</v>
      </c>
      <c r="H62" s="59">
        <f>'Hours &amp; volumes per subgroup'!F6</f>
        <v>6505.710341</v>
      </c>
      <c r="I62" s="60">
        <f>'Hours &amp; volumes per subgroup'!F24</f>
        <v>38.72446632</v>
      </c>
      <c r="J62" s="60">
        <v>29.22623866860425</v>
      </c>
      <c r="K62" s="58">
        <f>'Powerbi Source'!$H62*'Powerbi Source'!$J62</f>
        <v>190137.4431</v>
      </c>
      <c r="L62" s="58">
        <f>'Powerbi Source'!$G62/'Powerbi Source'!$H62</f>
        <v>33.72560235</v>
      </c>
      <c r="M62" s="58">
        <f>'Powerbi Source'!$G62/'Powerbi Source'!$C62</f>
        <v>10448.04762</v>
      </c>
      <c r="N62" s="58">
        <f>'Powerbi Source'!$G62/'Powerbi Source'!$I62</f>
        <v>5665.901195</v>
      </c>
      <c r="O62" s="58">
        <f>IFERROR('Powerbi Source'!$K62/'Powerbi Source'!$G62,0)</f>
        <v>0.8665890786</v>
      </c>
    </row>
    <row r="63" ht="14.25" customHeight="1">
      <c r="A63" s="58">
        <v>2025.0</v>
      </c>
      <c r="B63" s="58">
        <v>4.0</v>
      </c>
      <c r="C63" s="59">
        <v>21.0</v>
      </c>
      <c r="D63" s="58" t="s">
        <v>18</v>
      </c>
      <c r="E63" s="58" t="s">
        <v>41</v>
      </c>
      <c r="F63" s="58" t="s">
        <v>32</v>
      </c>
      <c r="G63" s="59">
        <f>'Hours &amp; volumes per subgroup'!F56</f>
        <v>188678</v>
      </c>
      <c r="H63" s="59">
        <f>'Hours &amp; volumes per subgroup'!F7</f>
        <v>6515</v>
      </c>
      <c r="I63" s="60">
        <f>'Hours &amp; volumes per subgroup'!F25</f>
        <v>38.7797619</v>
      </c>
      <c r="J63" s="60">
        <v>29.22623866860425</v>
      </c>
      <c r="K63" s="58">
        <f>'Powerbi Source'!$H63*'Powerbi Source'!$J63</f>
        <v>190408.9449</v>
      </c>
      <c r="L63" s="58">
        <f>'Powerbi Source'!$G63/'Powerbi Source'!$H63</f>
        <v>28.96055257</v>
      </c>
      <c r="M63" s="58">
        <f>'Powerbi Source'!$G63/'Powerbi Source'!$C63</f>
        <v>8984.666667</v>
      </c>
      <c r="N63" s="58">
        <f>'Powerbi Source'!$G63/'Powerbi Source'!$I63</f>
        <v>4865.372832</v>
      </c>
      <c r="O63" s="58">
        <f>IFERROR('Powerbi Source'!$K63/'Powerbi Source'!$G63,0)</f>
        <v>1.009174069</v>
      </c>
    </row>
    <row r="64" ht="14.25" customHeight="1">
      <c r="A64" s="58">
        <v>2025.0</v>
      </c>
      <c r="B64" s="58">
        <v>4.0</v>
      </c>
      <c r="C64" s="59">
        <v>21.0</v>
      </c>
      <c r="D64" s="58" t="s">
        <v>15</v>
      </c>
      <c r="E64" s="58" t="s">
        <v>86</v>
      </c>
      <c r="F64" s="58" t="s">
        <v>32</v>
      </c>
      <c r="G64" s="59">
        <v>0.0</v>
      </c>
      <c r="H64" s="59">
        <f>'Hours &amp; volumes per subgroup'!F14</f>
        <v>2302.020582</v>
      </c>
      <c r="I64" s="60">
        <f>'Hours &amp; volumes per subgroup'!F32</f>
        <v>13.70250347</v>
      </c>
      <c r="J64" s="60">
        <v>29.22623866860425</v>
      </c>
      <c r="K64" s="58">
        <f>'Powerbi Source'!$H64*'Powerbi Source'!$J64</f>
        <v>67279.40296</v>
      </c>
      <c r="L64" s="58">
        <f>'Powerbi Source'!$G64/'Powerbi Source'!$H64</f>
        <v>0</v>
      </c>
      <c r="M64" s="58">
        <f>'Powerbi Source'!$G64/'Powerbi Source'!$C64</f>
        <v>0</v>
      </c>
      <c r="N64" s="58">
        <f>'Powerbi Source'!$G64/'Powerbi Source'!$I64</f>
        <v>0</v>
      </c>
      <c r="O64" s="58">
        <f>IFERROR('Powerbi Source'!$K64/'Powerbi Source'!$G64,0)</f>
        <v>0</v>
      </c>
    </row>
    <row r="65" ht="14.25" customHeight="1">
      <c r="A65" s="58">
        <v>2025.0</v>
      </c>
      <c r="B65" s="58">
        <v>4.0</v>
      </c>
      <c r="C65" s="59">
        <v>21.0</v>
      </c>
      <c r="D65" s="58" t="s">
        <v>18</v>
      </c>
      <c r="E65" s="58" t="s">
        <v>86</v>
      </c>
      <c r="F65" s="58" t="s">
        <v>32</v>
      </c>
      <c r="G65" s="59">
        <v>0.0</v>
      </c>
      <c r="H65" s="59">
        <f>'Hours &amp; volumes per subgroup'!F15</f>
        <v>943</v>
      </c>
      <c r="I65" s="60">
        <f>'Hours &amp; volumes per subgroup'!F33</f>
        <v>5.613095238</v>
      </c>
      <c r="J65" s="60">
        <v>29.22623866860425</v>
      </c>
      <c r="K65" s="58">
        <f>'Powerbi Source'!$H65*'Powerbi Source'!$J65</f>
        <v>27560.34306</v>
      </c>
      <c r="L65" s="58">
        <f>'Powerbi Source'!$G65/'Powerbi Source'!$H65</f>
        <v>0</v>
      </c>
      <c r="M65" s="58">
        <f>'Powerbi Source'!$G65/'Powerbi Source'!$C65</f>
        <v>0</v>
      </c>
      <c r="N65" s="58">
        <f>'Powerbi Source'!$G65/'Powerbi Source'!$I65</f>
        <v>0</v>
      </c>
      <c r="O65" s="58">
        <f>IFERROR('Powerbi Source'!$K65/'Powerbi Source'!$G65,0)</f>
        <v>0</v>
      </c>
    </row>
    <row r="66" ht="14.25" customHeight="1">
      <c r="A66" s="58">
        <v>2025.0</v>
      </c>
      <c r="B66" s="58">
        <v>5.0</v>
      </c>
      <c r="C66" s="59">
        <v>20.0</v>
      </c>
      <c r="D66" s="58" t="s">
        <v>15</v>
      </c>
      <c r="E66" s="58" t="s">
        <v>37</v>
      </c>
      <c r="F66" s="58" t="s">
        <v>84</v>
      </c>
      <c r="G66" s="59">
        <f>'Hours &amp; volumes per subgroup'!G38</f>
        <v>11407</v>
      </c>
      <c r="H66" s="59">
        <f>H70*'Powerbi Source'!$G66/G70</f>
        <v>1961.297741</v>
      </c>
      <c r="I66" s="60">
        <f>I70*'Powerbi Source'!$G66/G70</f>
        <v>12.25811088</v>
      </c>
      <c r="J66" s="60">
        <v>29.74634898572502</v>
      </c>
      <c r="K66" s="58">
        <f>'Powerbi Source'!$H66*'Powerbi Source'!$J66</f>
        <v>58341.44708</v>
      </c>
      <c r="L66" s="58">
        <f>'Powerbi Source'!$G66/'Powerbi Source'!$H66</f>
        <v>5.816047079</v>
      </c>
      <c r="M66" s="58">
        <f>'Powerbi Source'!$G66/'Powerbi Source'!$C66</f>
        <v>570.35</v>
      </c>
      <c r="N66" s="58">
        <f>'Powerbi Source'!$G66/'Powerbi Source'!$I66</f>
        <v>930.5675327</v>
      </c>
      <c r="O66" s="58">
        <f>IFERROR('Powerbi Source'!$K66/'Powerbi Source'!$G66,0)</f>
        <v>5.114530295</v>
      </c>
    </row>
    <row r="67" ht="14.25" customHeight="1">
      <c r="A67" s="58">
        <v>2025.0</v>
      </c>
      <c r="B67" s="58">
        <v>5.0</v>
      </c>
      <c r="C67" s="59">
        <v>20.0</v>
      </c>
      <c r="D67" s="58" t="s">
        <v>18</v>
      </c>
      <c r="E67" s="58" t="s">
        <v>37</v>
      </c>
      <c r="F67" s="58" t="s">
        <v>84</v>
      </c>
      <c r="G67" s="59">
        <f>'Hours &amp; volumes per subgroup'!G39</f>
        <v>13513</v>
      </c>
      <c r="H67" s="59">
        <f>H71*'Powerbi Source'!$G67/G71</f>
        <v>2196.00232</v>
      </c>
      <c r="I67" s="60">
        <f>I71*'Powerbi Source'!$G67/G71</f>
        <v>13.7250145</v>
      </c>
      <c r="J67" s="60">
        <v>29.74634898572502</v>
      </c>
      <c r="K67" s="58">
        <f>'Powerbi Source'!$H67*'Powerbi Source'!$J67</f>
        <v>65323.05139</v>
      </c>
      <c r="L67" s="58">
        <f>'Powerbi Source'!$G67/'Powerbi Source'!$H67</f>
        <v>6.153454337</v>
      </c>
      <c r="M67" s="58">
        <f>'Powerbi Source'!$G67/'Powerbi Source'!$C67</f>
        <v>675.65</v>
      </c>
      <c r="N67" s="58">
        <f>'Powerbi Source'!$G67/'Powerbi Source'!$I67</f>
        <v>984.5526939</v>
      </c>
      <c r="O67" s="58">
        <f>IFERROR('Powerbi Source'!$K67/'Powerbi Source'!$G67,0)</f>
        <v>4.834089498</v>
      </c>
    </row>
    <row r="68" ht="14.25" customHeight="1">
      <c r="A68" s="58">
        <v>2025.0</v>
      </c>
      <c r="B68" s="58">
        <v>5.0</v>
      </c>
      <c r="C68" s="59">
        <v>20.0</v>
      </c>
      <c r="D68" s="58" t="s">
        <v>15</v>
      </c>
      <c r="E68" s="58" t="s">
        <v>37</v>
      </c>
      <c r="F68" s="58" t="s">
        <v>85</v>
      </c>
      <c r="G68" s="59">
        <f>'Hours &amp; volumes per subgroup'!G42</f>
        <v>9229</v>
      </c>
      <c r="H68" s="59">
        <f>H70*'Powerbi Source'!$G68/G70</f>
        <v>1586.816591</v>
      </c>
      <c r="I68" s="60">
        <f>I70*'Powerbi Source'!$G68/G70</f>
        <v>9.917603694</v>
      </c>
      <c r="J68" s="60">
        <v>29.74634898572502</v>
      </c>
      <c r="K68" s="58">
        <f>'Powerbi Source'!$H68*'Powerbi Source'!$J68</f>
        <v>47202.00009</v>
      </c>
      <c r="L68" s="58">
        <f>'Powerbi Source'!$G68/'Powerbi Source'!$H68</f>
        <v>5.816047079</v>
      </c>
      <c r="M68" s="58">
        <f>'Powerbi Source'!$G68/'Powerbi Source'!$C68</f>
        <v>461.45</v>
      </c>
      <c r="N68" s="58">
        <f>'Powerbi Source'!$G68/'Powerbi Source'!$I68</f>
        <v>930.5675327</v>
      </c>
      <c r="O68" s="58">
        <f>IFERROR('Powerbi Source'!$K68/'Powerbi Source'!$G68,0)</f>
        <v>5.114530295</v>
      </c>
    </row>
    <row r="69" ht="14.25" customHeight="1">
      <c r="A69" s="58">
        <v>2025.0</v>
      </c>
      <c r="B69" s="58">
        <v>5.0</v>
      </c>
      <c r="C69" s="59">
        <v>20.0</v>
      </c>
      <c r="D69" s="58" t="s">
        <v>18</v>
      </c>
      <c r="E69" s="58" t="s">
        <v>37</v>
      </c>
      <c r="F69" s="58" t="s">
        <v>85</v>
      </c>
      <c r="G69" s="59">
        <f>'Hours &amp; volumes per subgroup'!G43</f>
        <v>15078</v>
      </c>
      <c r="H69" s="59">
        <f>H71*'Powerbi Source'!$G69/G71</f>
        <v>2450.331013</v>
      </c>
      <c r="I69" s="60">
        <f>I71*'Powerbi Source'!$G69/G71</f>
        <v>15.31456883</v>
      </c>
      <c r="J69" s="60">
        <v>29.74634898572502</v>
      </c>
      <c r="K69" s="58">
        <f>'Powerbi Source'!$H69*'Powerbi Source'!$J69</f>
        <v>72888.40145</v>
      </c>
      <c r="L69" s="58">
        <f>'Powerbi Source'!$G69/'Powerbi Source'!$H69</f>
        <v>6.153454337</v>
      </c>
      <c r="M69" s="58">
        <f>'Powerbi Source'!$G69/'Powerbi Source'!$C69</f>
        <v>753.9</v>
      </c>
      <c r="N69" s="58">
        <f>'Powerbi Source'!$G69/'Powerbi Source'!$I69</f>
        <v>984.5526939</v>
      </c>
      <c r="O69" s="58">
        <f>IFERROR('Powerbi Source'!$K69/'Powerbi Source'!$G69,0)</f>
        <v>4.834089498</v>
      </c>
    </row>
    <row r="70" ht="14.25" customHeight="1">
      <c r="A70" s="58">
        <v>2025.0</v>
      </c>
      <c r="B70" s="58">
        <v>5.0</v>
      </c>
      <c r="C70" s="59">
        <v>20.0</v>
      </c>
      <c r="D70" s="58" t="s">
        <v>15</v>
      </c>
      <c r="E70" s="58" t="s">
        <v>37</v>
      </c>
      <c r="F70" s="58" t="s">
        <v>32</v>
      </c>
      <c r="G70" s="59">
        <f t="shared" ref="G70:G71" si="10">G66+G68</f>
        <v>20636</v>
      </c>
      <c r="H70" s="59">
        <f>'Hours &amp; volumes per subgroup'!G2</f>
        <v>3548.114332</v>
      </c>
      <c r="I70" s="60">
        <f>'Hours &amp; volumes per subgroup'!G20</f>
        <v>22.17571458</v>
      </c>
      <c r="J70" s="60">
        <v>29.74634898572502</v>
      </c>
      <c r="K70" s="58">
        <f>'Powerbi Source'!$H70*'Powerbi Source'!$J70</f>
        <v>105543.4472</v>
      </c>
      <c r="L70" s="58">
        <f>'Powerbi Source'!$G70/'Powerbi Source'!$H70</f>
        <v>5.816047079</v>
      </c>
      <c r="M70" s="58">
        <f>'Powerbi Source'!$G70/'Powerbi Source'!$C70</f>
        <v>1031.8</v>
      </c>
      <c r="N70" s="58">
        <f>'Powerbi Source'!$G70/'Powerbi Source'!$I70</f>
        <v>930.5675327</v>
      </c>
      <c r="O70" s="58">
        <f>IFERROR('Powerbi Source'!$K70/'Powerbi Source'!$G70,0)</f>
        <v>5.114530295</v>
      </c>
    </row>
    <row r="71" ht="14.25" customHeight="1">
      <c r="A71" s="58">
        <v>2025.0</v>
      </c>
      <c r="B71" s="58">
        <v>5.0</v>
      </c>
      <c r="C71" s="59">
        <v>20.0</v>
      </c>
      <c r="D71" s="58" t="s">
        <v>18</v>
      </c>
      <c r="E71" s="58" t="s">
        <v>37</v>
      </c>
      <c r="F71" s="58" t="s">
        <v>32</v>
      </c>
      <c r="G71" s="59">
        <f t="shared" si="10"/>
        <v>28591</v>
      </c>
      <c r="H71" s="59">
        <f>'Hours &amp; volumes per subgroup'!G3</f>
        <v>4646.333333</v>
      </c>
      <c r="I71" s="60">
        <f>'Hours &amp; volumes per subgroup'!G21</f>
        <v>29.03958333</v>
      </c>
      <c r="J71" s="60">
        <v>29.74634898572502</v>
      </c>
      <c r="K71" s="58">
        <f>'Powerbi Source'!$H71*'Powerbi Source'!$J71</f>
        <v>138211.4528</v>
      </c>
      <c r="L71" s="58">
        <f>'Powerbi Source'!$G71/'Powerbi Source'!$H71</f>
        <v>6.153454337</v>
      </c>
      <c r="M71" s="58">
        <f>'Powerbi Source'!$G71/'Powerbi Source'!$C71</f>
        <v>1429.55</v>
      </c>
      <c r="N71" s="58">
        <f>'Powerbi Source'!$G71/'Powerbi Source'!$I71</f>
        <v>984.5526939</v>
      </c>
      <c r="O71" s="58">
        <f>IFERROR('Powerbi Source'!$K71/'Powerbi Source'!$G71,0)</f>
        <v>4.834089498</v>
      </c>
    </row>
    <row r="72" ht="14.25" customHeight="1">
      <c r="A72" s="58">
        <v>2025.0</v>
      </c>
      <c r="B72" s="58">
        <v>5.0</v>
      </c>
      <c r="C72" s="59">
        <v>20.0</v>
      </c>
      <c r="D72" s="58" t="s">
        <v>15</v>
      </c>
      <c r="E72" s="58" t="s">
        <v>42</v>
      </c>
      <c r="F72" s="58" t="s">
        <v>84</v>
      </c>
      <c r="G72" s="59">
        <f>'Hours &amp; volumes per subgroup'!G46</f>
        <v>28111.875</v>
      </c>
      <c r="H72" s="59">
        <f>H76*'Powerbi Source'!$G72/G76</f>
        <v>9209.436884</v>
      </c>
      <c r="I72" s="60">
        <f>I76*'Powerbi Source'!$G72/G76</f>
        <v>57.55898053</v>
      </c>
      <c r="J72" s="60">
        <v>29.74634898572502</v>
      </c>
      <c r="K72" s="58">
        <f>'Powerbi Source'!$H72*'Powerbi Source'!$J72</f>
        <v>273947.1235</v>
      </c>
      <c r="L72" s="58">
        <f>'Powerbi Source'!$G72/'Powerbi Source'!$H72</f>
        <v>3.052507483</v>
      </c>
      <c r="M72" s="58">
        <f>'Powerbi Source'!$G72/'Powerbi Source'!$C72</f>
        <v>1405.59375</v>
      </c>
      <c r="N72" s="58">
        <f>'Powerbi Source'!$G72/'Powerbi Source'!$I72</f>
        <v>488.4011972</v>
      </c>
      <c r="O72" s="58">
        <f>IFERROR('Powerbi Source'!$K72/'Powerbi Source'!$G72,0)</f>
        <v>9.744889785</v>
      </c>
    </row>
    <row r="73" ht="14.25" customHeight="1">
      <c r="A73" s="58">
        <v>2025.0</v>
      </c>
      <c r="B73" s="58">
        <v>5.0</v>
      </c>
      <c r="C73" s="59">
        <v>20.0</v>
      </c>
      <c r="D73" s="58" t="s">
        <v>18</v>
      </c>
      <c r="E73" s="58" t="s">
        <v>42</v>
      </c>
      <c r="F73" s="58" t="s">
        <v>84</v>
      </c>
      <c r="G73" s="59">
        <f>'Hours &amp; volumes per subgroup'!G47</f>
        <v>32592</v>
      </c>
      <c r="H73" s="59">
        <f>H77*'Powerbi Source'!$G73/G77</f>
        <v>7969.055833</v>
      </c>
      <c r="I73" s="60">
        <f>I77*'Powerbi Source'!$G73/G77</f>
        <v>49.80659896</v>
      </c>
      <c r="J73" s="60">
        <v>29.74634898572502</v>
      </c>
      <c r="K73" s="58">
        <f>'Powerbi Source'!$H73*'Powerbi Source'!$J73</f>
        <v>237050.3159</v>
      </c>
      <c r="L73" s="58">
        <f>'Powerbi Source'!$G73/'Powerbi Source'!$H73</f>
        <v>4.089819507</v>
      </c>
      <c r="M73" s="58">
        <f>'Powerbi Source'!$G73/'Powerbi Source'!$C73</f>
        <v>1629.6</v>
      </c>
      <c r="N73" s="58">
        <f>'Powerbi Source'!$G73/'Powerbi Source'!$I73</f>
        <v>654.3711212</v>
      </c>
      <c r="O73" s="58">
        <f>IFERROR('Powerbi Source'!$K73/'Powerbi Source'!$G73,0)</f>
        <v>7.273266933</v>
      </c>
    </row>
    <row r="74" ht="14.25" customHeight="1">
      <c r="A74" s="58">
        <v>2025.0</v>
      </c>
      <c r="B74" s="58">
        <v>5.0</v>
      </c>
      <c r="C74" s="59">
        <v>20.0</v>
      </c>
      <c r="D74" s="58" t="s">
        <v>15</v>
      </c>
      <c r="E74" s="58" t="s">
        <v>42</v>
      </c>
      <c r="F74" s="58" t="s">
        <v>85</v>
      </c>
      <c r="G74" s="59">
        <f>'Hours &amp; volumes per subgroup'!G50/90</f>
        <v>28345.232</v>
      </c>
      <c r="H74" s="59">
        <f>H76*'Powerbi Source'!$G74/G76</f>
        <v>9285.884526</v>
      </c>
      <c r="I74" s="60">
        <f>I76*'Powerbi Source'!$G74/G76</f>
        <v>58.03677829</v>
      </c>
      <c r="J74" s="60">
        <v>29.74634898572502</v>
      </c>
      <c r="K74" s="58">
        <f>'Powerbi Source'!$H74*'Powerbi Source'!$J74</f>
        <v>276221.1618</v>
      </c>
      <c r="L74" s="58">
        <f>'Powerbi Source'!$G74/'Powerbi Source'!$H74</f>
        <v>3.052507483</v>
      </c>
      <c r="M74" s="58">
        <f>'Powerbi Source'!$G74/'Powerbi Source'!$C74</f>
        <v>1417.2616</v>
      </c>
      <c r="N74" s="58">
        <f>'Powerbi Source'!$G74/'Powerbi Source'!$I74</f>
        <v>488.4011972</v>
      </c>
      <c r="O74" s="58">
        <f>IFERROR('Powerbi Source'!$K74/'Powerbi Source'!$G74,0)</f>
        <v>9.744889785</v>
      </c>
    </row>
    <row r="75" ht="14.25" customHeight="1">
      <c r="A75" s="58">
        <v>2025.0</v>
      </c>
      <c r="B75" s="58">
        <v>5.0</v>
      </c>
      <c r="C75" s="59">
        <v>20.0</v>
      </c>
      <c r="D75" s="58" t="s">
        <v>18</v>
      </c>
      <c r="E75" s="58" t="s">
        <v>42</v>
      </c>
      <c r="F75" s="58" t="s">
        <v>85</v>
      </c>
      <c r="G75" s="59">
        <f>'Hours &amp; volumes per subgroup'!G53</f>
        <v>29683</v>
      </c>
      <c r="H75" s="59">
        <f>H77*'Powerbi Source'!$G75/G77</f>
        <v>7257.7775</v>
      </c>
      <c r="I75" s="60">
        <f>I77*'Powerbi Source'!$G75/G77</f>
        <v>45.36110938</v>
      </c>
      <c r="J75" s="60">
        <v>29.74634898572502</v>
      </c>
      <c r="K75" s="58">
        <f>'Powerbi Source'!$H75*'Powerbi Source'!$J75</f>
        <v>215892.3824</v>
      </c>
      <c r="L75" s="58">
        <f>'Powerbi Source'!$G75/'Powerbi Source'!$H75</f>
        <v>4.089819507</v>
      </c>
      <c r="M75" s="58">
        <f>'Powerbi Source'!$G75/'Powerbi Source'!$C75</f>
        <v>1484.15</v>
      </c>
      <c r="N75" s="58">
        <f>'Powerbi Source'!$G75/'Powerbi Source'!$I75</f>
        <v>654.3711212</v>
      </c>
      <c r="O75" s="58">
        <f>IFERROR('Powerbi Source'!$K75/'Powerbi Source'!$G75,0)</f>
        <v>7.273266933</v>
      </c>
    </row>
    <row r="76" ht="14.25" customHeight="1">
      <c r="A76" s="58">
        <v>2025.0</v>
      </c>
      <c r="B76" s="58">
        <v>5.0</v>
      </c>
      <c r="C76" s="59">
        <v>20.0</v>
      </c>
      <c r="D76" s="58" t="s">
        <v>15</v>
      </c>
      <c r="E76" s="58" t="s">
        <v>42</v>
      </c>
      <c r="F76" s="58" t="s">
        <v>32</v>
      </c>
      <c r="G76" s="59">
        <f t="shared" ref="G76:G77" si="11">G72+G74</f>
        <v>56457.107</v>
      </c>
      <c r="H76" s="59">
        <f>'Hours &amp; volumes per subgroup'!G10</f>
        <v>18495.32141</v>
      </c>
      <c r="I76" s="60">
        <f>'Hours &amp; volumes per subgroup'!G28</f>
        <v>115.5957588</v>
      </c>
      <c r="J76" s="60">
        <v>29.74634898572502</v>
      </c>
      <c r="K76" s="58">
        <f>'Powerbi Source'!$H76*'Powerbi Source'!$J76</f>
        <v>550168.2853</v>
      </c>
      <c r="L76" s="58">
        <f>'Powerbi Source'!$G76/'Powerbi Source'!$H76</f>
        <v>3.052507483</v>
      </c>
      <c r="M76" s="58">
        <f>'Powerbi Source'!$G76/'Powerbi Source'!$C76</f>
        <v>2822.85535</v>
      </c>
      <c r="N76" s="58">
        <f>'Powerbi Source'!$G76/'Powerbi Source'!$I76</f>
        <v>488.4011972</v>
      </c>
      <c r="O76" s="58">
        <f>IFERROR('Powerbi Source'!$K76/'Powerbi Source'!$G76,0)</f>
        <v>9.744889785</v>
      </c>
    </row>
    <row r="77" ht="14.25" customHeight="1">
      <c r="A77" s="58">
        <v>2025.0</v>
      </c>
      <c r="B77" s="58">
        <v>5.0</v>
      </c>
      <c r="C77" s="59">
        <v>20.0</v>
      </c>
      <c r="D77" s="58" t="s">
        <v>18</v>
      </c>
      <c r="E77" s="58" t="s">
        <v>42</v>
      </c>
      <c r="F77" s="58" t="s">
        <v>32</v>
      </c>
      <c r="G77" s="59">
        <f t="shared" si="11"/>
        <v>62275</v>
      </c>
      <c r="H77" s="59">
        <f>'Hours &amp; volumes per subgroup'!G11</f>
        <v>15226.83333</v>
      </c>
      <c r="I77" s="60">
        <f>'Hours &amp; volumes per subgroup'!G29</f>
        <v>95.16770833</v>
      </c>
      <c r="J77" s="60">
        <v>29.74634898572502</v>
      </c>
      <c r="K77" s="58">
        <f>'Powerbi Source'!$H77*'Powerbi Source'!$J77</f>
        <v>452942.6983</v>
      </c>
      <c r="L77" s="58">
        <f>'Powerbi Source'!$G77/'Powerbi Source'!$H77</f>
        <v>4.089819507</v>
      </c>
      <c r="M77" s="58">
        <f>'Powerbi Source'!$G77/'Powerbi Source'!$C77</f>
        <v>3113.75</v>
      </c>
      <c r="N77" s="58">
        <f>'Powerbi Source'!$G77/'Powerbi Source'!$I77</f>
        <v>654.3711212</v>
      </c>
      <c r="O77" s="58">
        <f>IFERROR('Powerbi Source'!$K77/'Powerbi Source'!$G77,0)</f>
        <v>7.273266933</v>
      </c>
    </row>
    <row r="78" ht="14.25" customHeight="1">
      <c r="A78" s="58">
        <v>2025.0</v>
      </c>
      <c r="B78" s="58">
        <v>5.0</v>
      </c>
      <c r="C78" s="59">
        <v>20.0</v>
      </c>
      <c r="D78" s="58" t="s">
        <v>15</v>
      </c>
      <c r="E78" s="58" t="s">
        <v>41</v>
      </c>
      <c r="F78" s="58" t="s">
        <v>32</v>
      </c>
      <c r="G78" s="59">
        <f>'Hours &amp; volumes per subgroup'!G55</f>
        <v>219409</v>
      </c>
      <c r="H78" s="59">
        <f>'Hours &amp; volumes per subgroup'!G6</f>
        <v>6505.710341</v>
      </c>
      <c r="I78" s="60">
        <f>'Hours &amp; volumes per subgroup'!G24</f>
        <v>40.66068963</v>
      </c>
      <c r="J78" s="60">
        <v>29.74634898572502</v>
      </c>
      <c r="K78" s="58">
        <f>'Powerbi Source'!$H78*'Powerbi Source'!$J78</f>
        <v>193521.1302</v>
      </c>
      <c r="L78" s="58">
        <f>'Powerbi Source'!$G78/'Powerbi Source'!$H78</f>
        <v>33.72560235</v>
      </c>
      <c r="M78" s="58">
        <f>'Powerbi Source'!$G78/'Powerbi Source'!$C78</f>
        <v>10970.45</v>
      </c>
      <c r="N78" s="58">
        <f>'Powerbi Source'!$G78/'Powerbi Source'!$I78</f>
        <v>5396.096377</v>
      </c>
      <c r="O78" s="58">
        <f>IFERROR('Powerbi Source'!$K78/'Powerbi Source'!$G78,0)</f>
        <v>0.882010903</v>
      </c>
    </row>
    <row r="79" ht="14.25" customHeight="1">
      <c r="A79" s="58">
        <v>2025.0</v>
      </c>
      <c r="B79" s="58">
        <v>5.0</v>
      </c>
      <c r="C79" s="59">
        <v>20.0</v>
      </c>
      <c r="D79" s="58" t="s">
        <v>18</v>
      </c>
      <c r="E79" s="58" t="s">
        <v>41</v>
      </c>
      <c r="F79" s="58" t="s">
        <v>32</v>
      </c>
      <c r="G79" s="59">
        <f>'Hours &amp; volumes per subgroup'!G56</f>
        <v>212569</v>
      </c>
      <c r="H79" s="59">
        <f>'Hours &amp; volumes per subgroup'!G7</f>
        <v>5906</v>
      </c>
      <c r="I79" s="60">
        <f>'Hours &amp; volumes per subgroup'!G25</f>
        <v>36.9125</v>
      </c>
      <c r="J79" s="60">
        <v>29.74634898572502</v>
      </c>
      <c r="K79" s="58">
        <f>'Powerbi Source'!$H79*'Powerbi Source'!$J79</f>
        <v>175681.9371</v>
      </c>
      <c r="L79" s="58">
        <f>'Powerbi Source'!$G79/'Powerbi Source'!$H79</f>
        <v>35.99204199</v>
      </c>
      <c r="M79" s="58">
        <f>'Powerbi Source'!$G79/'Powerbi Source'!$C79</f>
        <v>10628.45</v>
      </c>
      <c r="N79" s="58">
        <f>'Powerbi Source'!$G79/'Powerbi Source'!$I79</f>
        <v>5758.726719</v>
      </c>
      <c r="O79" s="58">
        <f>IFERROR('Powerbi Source'!$K79/'Powerbi Source'!$G79,0)</f>
        <v>0.8264701678</v>
      </c>
    </row>
    <row r="80" ht="14.25" customHeight="1">
      <c r="A80" s="58">
        <v>2025.0</v>
      </c>
      <c r="B80" s="58">
        <v>5.0</v>
      </c>
      <c r="C80" s="59">
        <v>20.0</v>
      </c>
      <c r="D80" s="58" t="s">
        <v>15</v>
      </c>
      <c r="E80" s="58" t="s">
        <v>86</v>
      </c>
      <c r="F80" s="58" t="s">
        <v>32</v>
      </c>
      <c r="G80" s="59">
        <v>0.0</v>
      </c>
      <c r="H80" s="59">
        <f>'Hours &amp; volumes per subgroup'!G14</f>
        <v>2302.020582</v>
      </c>
      <c r="I80" s="60">
        <f>'Hours &amp; volumes per subgroup'!G32</f>
        <v>14.38762864</v>
      </c>
      <c r="J80" s="60">
        <v>29.74634898572502</v>
      </c>
      <c r="K80" s="58">
        <f>'Powerbi Source'!$H80*'Powerbi Source'!$J80</f>
        <v>68476.70761</v>
      </c>
      <c r="L80" s="58">
        <f>'Powerbi Source'!$G80/'Powerbi Source'!$H80</f>
        <v>0</v>
      </c>
      <c r="M80" s="58">
        <f>'Powerbi Source'!$G80/'Powerbi Source'!$C80</f>
        <v>0</v>
      </c>
      <c r="N80" s="58">
        <f>'Powerbi Source'!$G80/'Powerbi Source'!$I80</f>
        <v>0</v>
      </c>
      <c r="O80" s="58">
        <f>IFERROR('Powerbi Source'!$K80/'Powerbi Source'!$G80,0)</f>
        <v>0</v>
      </c>
    </row>
    <row r="81" ht="14.25" customHeight="1">
      <c r="A81" s="58">
        <v>2025.0</v>
      </c>
      <c r="B81" s="58">
        <v>5.0</v>
      </c>
      <c r="C81" s="59">
        <v>20.0</v>
      </c>
      <c r="D81" s="58" t="s">
        <v>18</v>
      </c>
      <c r="E81" s="58" t="s">
        <v>86</v>
      </c>
      <c r="F81" s="58" t="s">
        <v>32</v>
      </c>
      <c r="G81" s="59">
        <v>0.0</v>
      </c>
      <c r="H81" s="59">
        <f>'Hours &amp; volumes per subgroup'!G15</f>
        <v>840</v>
      </c>
      <c r="I81" s="60">
        <f>'Hours &amp; volumes per subgroup'!G33</f>
        <v>5.25</v>
      </c>
      <c r="J81" s="60">
        <v>29.74634898572502</v>
      </c>
      <c r="K81" s="58">
        <f>'Powerbi Source'!$H81*'Powerbi Source'!$J81</f>
        <v>24986.93315</v>
      </c>
      <c r="L81" s="58">
        <f>'Powerbi Source'!$G81/'Powerbi Source'!$H81</f>
        <v>0</v>
      </c>
      <c r="M81" s="58">
        <f>'Powerbi Source'!$G81/'Powerbi Source'!$C81</f>
        <v>0</v>
      </c>
      <c r="N81" s="58">
        <f>'Powerbi Source'!$G81/'Powerbi Source'!$I81</f>
        <v>0</v>
      </c>
      <c r="O81" s="58">
        <f>IFERROR('Powerbi Source'!$K81/'Powerbi Source'!$G81,0)</f>
        <v>0</v>
      </c>
    </row>
    <row r="82" ht="14.25" customHeight="1">
      <c r="A82" s="58">
        <v>2025.0</v>
      </c>
      <c r="B82" s="58">
        <v>6.0</v>
      </c>
      <c r="C82" s="59">
        <v>20.0</v>
      </c>
      <c r="D82" s="58" t="s">
        <v>15</v>
      </c>
      <c r="E82" s="58" t="s">
        <v>37</v>
      </c>
      <c r="F82" s="58" t="s">
        <v>84</v>
      </c>
      <c r="G82" s="59">
        <f>'Hours &amp; volumes per subgroup'!H38</f>
        <v>11407</v>
      </c>
      <c r="H82" s="59">
        <f>H86*'Powerbi Source'!$G82/G86</f>
        <v>1961.297741</v>
      </c>
      <c r="I82" s="60">
        <f>I86*'Powerbi Source'!$G82/G86</f>
        <v>12.25811088</v>
      </c>
      <c r="J82" s="60">
        <v>29.960429000586167</v>
      </c>
      <c r="K82" s="58">
        <f>'Powerbi Source'!$H82*'Powerbi Source'!$J82</f>
        <v>58761.32173</v>
      </c>
      <c r="L82" s="58">
        <f>'Powerbi Source'!$G82/'Powerbi Source'!$H82</f>
        <v>5.816047079</v>
      </c>
      <c r="M82" s="58">
        <f>'Powerbi Source'!$G82/'Powerbi Source'!$C82</f>
        <v>570.35</v>
      </c>
      <c r="N82" s="58">
        <f>'Powerbi Source'!$G82/'Powerbi Source'!$I82</f>
        <v>930.5675327</v>
      </c>
      <c r="O82" s="58">
        <f>IFERROR('Powerbi Source'!$K82/'Powerbi Source'!$G82,0)</f>
        <v>5.151338803</v>
      </c>
    </row>
    <row r="83" ht="14.25" customHeight="1">
      <c r="A83" s="58">
        <v>2025.0</v>
      </c>
      <c r="B83" s="58">
        <v>6.0</v>
      </c>
      <c r="C83" s="59">
        <v>20.0</v>
      </c>
      <c r="D83" s="58" t="s">
        <v>18</v>
      </c>
      <c r="E83" s="58" t="s">
        <v>37</v>
      </c>
      <c r="F83" s="58" t="s">
        <v>84</v>
      </c>
      <c r="G83" s="59">
        <f>'Hours &amp; volumes per subgroup'!H39</f>
        <v>13250</v>
      </c>
      <c r="H83" s="59">
        <f>H87*'Powerbi Source'!$G83/G87</f>
        <v>2311.754885</v>
      </c>
      <c r="I83" s="60">
        <f>I87*'Powerbi Source'!$G83/G87</f>
        <v>14.44846803</v>
      </c>
      <c r="J83" s="60">
        <v>29.960429000586167</v>
      </c>
      <c r="K83" s="58">
        <f>'Powerbi Source'!$H83*'Powerbi Source'!$J83</f>
        <v>69261.16811</v>
      </c>
      <c r="L83" s="58">
        <f>'Powerbi Source'!$G83/'Powerbi Source'!$H83</f>
        <v>5.731576511</v>
      </c>
      <c r="M83" s="58">
        <f>'Powerbi Source'!$G83/'Powerbi Source'!$C83</f>
        <v>662.5</v>
      </c>
      <c r="N83" s="58">
        <f>'Powerbi Source'!$G83/'Powerbi Source'!$I83</f>
        <v>917.0522418</v>
      </c>
      <c r="O83" s="58">
        <f>IFERROR('Powerbi Source'!$K83/'Powerbi Source'!$G83,0)</f>
        <v>5.227257971</v>
      </c>
    </row>
    <row r="84" ht="14.25" customHeight="1">
      <c r="A84" s="58">
        <v>2025.0</v>
      </c>
      <c r="B84" s="58">
        <v>6.0</v>
      </c>
      <c r="C84" s="59">
        <v>20.0</v>
      </c>
      <c r="D84" s="58" t="s">
        <v>15</v>
      </c>
      <c r="E84" s="58" t="s">
        <v>37</v>
      </c>
      <c r="F84" s="58" t="s">
        <v>85</v>
      </c>
      <c r="G84" s="59">
        <f>'Hours &amp; volumes per subgroup'!H42</f>
        <v>9229</v>
      </c>
      <c r="H84" s="59">
        <f>H86*'Powerbi Source'!$G84/G86</f>
        <v>1586.816591</v>
      </c>
      <c r="I84" s="60">
        <f>I86*'Powerbi Source'!$G84/G86</f>
        <v>9.917603694</v>
      </c>
      <c r="J84" s="60">
        <v>29.960429000586167</v>
      </c>
      <c r="K84" s="58">
        <f>'Powerbi Source'!$H84*'Powerbi Source'!$J84</f>
        <v>47541.70581</v>
      </c>
      <c r="L84" s="58">
        <f>'Powerbi Source'!$G84/'Powerbi Source'!$H84</f>
        <v>5.816047079</v>
      </c>
      <c r="M84" s="58">
        <f>'Powerbi Source'!$G84/'Powerbi Source'!$C84</f>
        <v>461.45</v>
      </c>
      <c r="N84" s="58">
        <f>'Powerbi Source'!$G84/'Powerbi Source'!$I84</f>
        <v>930.5675327</v>
      </c>
      <c r="O84" s="58">
        <f>IFERROR('Powerbi Source'!$K84/'Powerbi Source'!$G84,0)</f>
        <v>5.151338803</v>
      </c>
    </row>
    <row r="85" ht="14.25" customHeight="1">
      <c r="A85" s="58">
        <v>2025.0</v>
      </c>
      <c r="B85" s="58">
        <v>6.0</v>
      </c>
      <c r="C85" s="59">
        <v>20.0</v>
      </c>
      <c r="D85" s="58" t="s">
        <v>18</v>
      </c>
      <c r="E85" s="58" t="s">
        <v>37</v>
      </c>
      <c r="F85" s="58" t="s">
        <v>85</v>
      </c>
      <c r="G85" s="59">
        <f>'Hours &amp; volumes per subgroup'!H43</f>
        <v>12132</v>
      </c>
      <c r="H85" s="59">
        <f>H87*'Powerbi Source'!$G85/G87</f>
        <v>2116.695115</v>
      </c>
      <c r="I85" s="60">
        <f>I87*'Powerbi Source'!$G85/G87</f>
        <v>13.22934447</v>
      </c>
      <c r="J85" s="60">
        <v>29.960429000586167</v>
      </c>
      <c r="K85" s="58">
        <f>'Powerbi Source'!$H85*'Powerbi Source'!$J85</f>
        <v>63417.0937</v>
      </c>
      <c r="L85" s="58">
        <f>'Powerbi Source'!$G85/'Powerbi Source'!$H85</f>
        <v>5.731576511</v>
      </c>
      <c r="M85" s="58">
        <f>'Powerbi Source'!$G85/'Powerbi Source'!$C85</f>
        <v>606.6</v>
      </c>
      <c r="N85" s="58">
        <f>'Powerbi Source'!$G85/'Powerbi Source'!$I85</f>
        <v>917.0522418</v>
      </c>
      <c r="O85" s="58">
        <f>IFERROR('Powerbi Source'!$K85/'Powerbi Source'!$G85,0)</f>
        <v>5.227257971</v>
      </c>
    </row>
    <row r="86" ht="14.25" customHeight="1">
      <c r="A86" s="58">
        <v>2025.0</v>
      </c>
      <c r="B86" s="58">
        <v>6.0</v>
      </c>
      <c r="C86" s="59">
        <v>20.0</v>
      </c>
      <c r="D86" s="58" t="s">
        <v>15</v>
      </c>
      <c r="E86" s="58" t="s">
        <v>37</v>
      </c>
      <c r="F86" s="58" t="s">
        <v>32</v>
      </c>
      <c r="G86" s="59">
        <f t="shared" ref="G86:G87" si="12">G82+G84</f>
        <v>20636</v>
      </c>
      <c r="H86" s="59">
        <f>'Hours &amp; volumes per subgroup'!H2</f>
        <v>3548.114332</v>
      </c>
      <c r="I86" s="60">
        <f>'Hours &amp; volumes per subgroup'!H20</f>
        <v>22.17571458</v>
      </c>
      <c r="J86" s="60">
        <v>29.960429000586167</v>
      </c>
      <c r="K86" s="58">
        <f>'Powerbi Source'!$H86*'Powerbi Source'!$J86</f>
        <v>106303.0275</v>
      </c>
      <c r="L86" s="58">
        <f>'Powerbi Source'!$G86/'Powerbi Source'!$H86</f>
        <v>5.816047079</v>
      </c>
      <c r="M86" s="58">
        <f>'Powerbi Source'!$G86/'Powerbi Source'!$C86</f>
        <v>1031.8</v>
      </c>
      <c r="N86" s="58">
        <f>'Powerbi Source'!$G86/'Powerbi Source'!$I86</f>
        <v>930.5675327</v>
      </c>
      <c r="O86" s="58">
        <f>IFERROR('Powerbi Source'!$K86/'Powerbi Source'!$G86,0)</f>
        <v>5.151338803</v>
      </c>
    </row>
    <row r="87" ht="14.25" customHeight="1">
      <c r="A87" s="58">
        <v>2025.0</v>
      </c>
      <c r="B87" s="58">
        <v>6.0</v>
      </c>
      <c r="C87" s="59">
        <v>20.0</v>
      </c>
      <c r="D87" s="58" t="s">
        <v>18</v>
      </c>
      <c r="E87" s="58" t="s">
        <v>37</v>
      </c>
      <c r="F87" s="58" t="s">
        <v>32</v>
      </c>
      <c r="G87" s="59">
        <f t="shared" si="12"/>
        <v>25382</v>
      </c>
      <c r="H87" s="59">
        <f>'Hours &amp; volumes per subgroup'!H3</f>
        <v>4428.45</v>
      </c>
      <c r="I87" s="60">
        <f>'Hours &amp; volumes per subgroup'!H21</f>
        <v>27.6778125</v>
      </c>
      <c r="J87" s="60">
        <v>29.960429000586167</v>
      </c>
      <c r="K87" s="58">
        <f>'Powerbi Source'!$H87*'Powerbi Source'!$J87</f>
        <v>132678.2618</v>
      </c>
      <c r="L87" s="58">
        <f>'Powerbi Source'!$G87/'Powerbi Source'!$H87</f>
        <v>5.731576511</v>
      </c>
      <c r="M87" s="58">
        <f>'Powerbi Source'!$G87/'Powerbi Source'!$C87</f>
        <v>1269.1</v>
      </c>
      <c r="N87" s="58">
        <f>'Powerbi Source'!$G87/'Powerbi Source'!$I87</f>
        <v>917.0522418</v>
      </c>
      <c r="O87" s="58">
        <f>IFERROR('Powerbi Source'!$K87/'Powerbi Source'!$G87,0)</f>
        <v>5.227257971</v>
      </c>
    </row>
    <row r="88" ht="14.25" customHeight="1">
      <c r="A88" s="58">
        <v>2025.0</v>
      </c>
      <c r="B88" s="58">
        <v>6.0</v>
      </c>
      <c r="C88" s="59">
        <v>20.0</v>
      </c>
      <c r="D88" s="58" t="s">
        <v>15</v>
      </c>
      <c r="E88" s="58" t="s">
        <v>42</v>
      </c>
      <c r="F88" s="58" t="s">
        <v>84</v>
      </c>
      <c r="G88" s="59">
        <f>'Hours &amp; volumes per subgroup'!H46</f>
        <v>28111.875</v>
      </c>
      <c r="H88" s="59">
        <f>H92*'Powerbi Source'!$G88/G92</f>
        <v>9205.951351</v>
      </c>
      <c r="I88" s="60">
        <f>I92*'Powerbi Source'!$G88/G92</f>
        <v>57.53719594</v>
      </c>
      <c r="J88" s="60">
        <v>29.960429000586167</v>
      </c>
      <c r="K88" s="58">
        <f>'Powerbi Source'!$H88*'Powerbi Source'!$J88</f>
        <v>275814.2518</v>
      </c>
      <c r="L88" s="58">
        <f>'Powerbi Source'!$G88/'Powerbi Source'!$H88</f>
        <v>3.053663215</v>
      </c>
      <c r="M88" s="58">
        <f>'Powerbi Source'!$G88/'Powerbi Source'!$C88</f>
        <v>1405.59375</v>
      </c>
      <c r="N88" s="58">
        <f>'Powerbi Source'!$G88/'Powerbi Source'!$I88</f>
        <v>488.5861144</v>
      </c>
      <c r="O88" s="58">
        <f>IFERROR('Powerbi Source'!$K88/'Powerbi Source'!$G88,0)</f>
        <v>9.811307564</v>
      </c>
    </row>
    <row r="89" ht="14.25" customHeight="1">
      <c r="A89" s="58">
        <v>2025.0</v>
      </c>
      <c r="B89" s="58">
        <v>6.0</v>
      </c>
      <c r="C89" s="59">
        <v>20.0</v>
      </c>
      <c r="D89" s="58" t="s">
        <v>18</v>
      </c>
      <c r="E89" s="58" t="s">
        <v>42</v>
      </c>
      <c r="F89" s="58" t="s">
        <v>84</v>
      </c>
      <c r="G89" s="59">
        <f>'Hours &amp; volumes per subgroup'!H47</f>
        <v>26875</v>
      </c>
      <c r="H89" s="59">
        <f>H93*'Powerbi Source'!$G89/G93</f>
        <v>7391.229841</v>
      </c>
      <c r="I89" s="60">
        <f>I93*'Powerbi Source'!$G89/G93</f>
        <v>46.19518651</v>
      </c>
      <c r="J89" s="60">
        <v>29.960429000586167</v>
      </c>
      <c r="K89" s="58">
        <f>'Powerbi Source'!$H89*'Powerbi Source'!$J89</f>
        <v>221444.4169</v>
      </c>
      <c r="L89" s="58">
        <f>'Powerbi Source'!$G89/'Powerbi Source'!$H89</f>
        <v>3.636066064</v>
      </c>
      <c r="M89" s="58">
        <f>'Powerbi Source'!$G89/'Powerbi Source'!$C89</f>
        <v>1343.75</v>
      </c>
      <c r="N89" s="58">
        <f>'Powerbi Source'!$G89/'Powerbi Source'!$I89</f>
        <v>581.7705703</v>
      </c>
      <c r="O89" s="58">
        <f>IFERROR('Powerbi Source'!$K89/'Powerbi Source'!$G89,0)</f>
        <v>8.239792256</v>
      </c>
    </row>
    <row r="90" ht="14.25" customHeight="1">
      <c r="A90" s="58">
        <v>2025.0</v>
      </c>
      <c r="B90" s="58">
        <v>6.0</v>
      </c>
      <c r="C90" s="59">
        <v>20.0</v>
      </c>
      <c r="D90" s="58" t="s">
        <v>15</v>
      </c>
      <c r="E90" s="58" t="s">
        <v>42</v>
      </c>
      <c r="F90" s="58" t="s">
        <v>85</v>
      </c>
      <c r="G90" s="59">
        <f>'Hours &amp; volumes per subgroup'!H50/90</f>
        <v>28345.232</v>
      </c>
      <c r="H90" s="59">
        <f>H92*'Powerbi Source'!$G90/G92</f>
        <v>9282.37006</v>
      </c>
      <c r="I90" s="60">
        <f>I92*'Powerbi Source'!$G90/G92</f>
        <v>58.01481287</v>
      </c>
      <c r="J90" s="60">
        <v>29.960429000586167</v>
      </c>
      <c r="K90" s="58">
        <f>'Powerbi Source'!$H90*'Powerbi Source'!$J90</f>
        <v>278103.7891</v>
      </c>
      <c r="L90" s="58">
        <f>'Powerbi Source'!$G90/'Powerbi Source'!$H90</f>
        <v>3.053663215</v>
      </c>
      <c r="M90" s="58">
        <f>'Powerbi Source'!$G90/'Powerbi Source'!$C90</f>
        <v>1417.2616</v>
      </c>
      <c r="N90" s="58">
        <f>'Powerbi Source'!$G90/'Powerbi Source'!$I90</f>
        <v>488.5861144</v>
      </c>
      <c r="O90" s="58">
        <f>IFERROR('Powerbi Source'!$K90/'Powerbi Source'!$G90,0)</f>
        <v>9.811307564</v>
      </c>
    </row>
    <row r="91" ht="14.25" customHeight="1">
      <c r="A91" s="58">
        <v>2025.0</v>
      </c>
      <c r="B91" s="58">
        <v>6.0</v>
      </c>
      <c r="C91" s="59">
        <v>20.0</v>
      </c>
      <c r="D91" s="58" t="s">
        <v>18</v>
      </c>
      <c r="E91" s="58" t="s">
        <v>42</v>
      </c>
      <c r="F91" s="58" t="s">
        <v>85</v>
      </c>
      <c r="G91" s="59">
        <f>'Hours &amp; volumes per subgroup'!H53</f>
        <v>29407</v>
      </c>
      <c r="H91" s="59">
        <f>H93*'Powerbi Source'!$G91/G93</f>
        <v>8087.586826</v>
      </c>
      <c r="I91" s="60">
        <f>I93*'Powerbi Source'!$G91/G93</f>
        <v>50.54741766</v>
      </c>
      <c r="J91" s="60">
        <v>29.960429000586167</v>
      </c>
      <c r="K91" s="58">
        <f>'Powerbi Source'!$H91*'Powerbi Source'!$J91</f>
        <v>242307.5709</v>
      </c>
      <c r="L91" s="58">
        <f>'Powerbi Source'!$G91/'Powerbi Source'!$H91</f>
        <v>3.636066064</v>
      </c>
      <c r="M91" s="58">
        <f>'Powerbi Source'!$G91/'Powerbi Source'!$C91</f>
        <v>1470.35</v>
      </c>
      <c r="N91" s="58">
        <f>'Powerbi Source'!$G91/'Powerbi Source'!$I91</f>
        <v>581.7705703</v>
      </c>
      <c r="O91" s="58">
        <f>IFERROR('Powerbi Source'!$K91/'Powerbi Source'!$G91,0)</f>
        <v>8.239792256</v>
      </c>
    </row>
    <row r="92" ht="14.25" customHeight="1">
      <c r="A92" s="58">
        <v>2025.0</v>
      </c>
      <c r="B92" s="58">
        <v>6.0</v>
      </c>
      <c r="C92" s="59">
        <v>20.0</v>
      </c>
      <c r="D92" s="58" t="s">
        <v>15</v>
      </c>
      <c r="E92" s="58" t="s">
        <v>42</v>
      </c>
      <c r="F92" s="58" t="s">
        <v>32</v>
      </c>
      <c r="G92" s="59">
        <f t="shared" ref="G92:G93" si="13">G88+G90</f>
        <v>56457.107</v>
      </c>
      <c r="H92" s="59">
        <f>'Hours &amp; volumes per subgroup'!H10</f>
        <v>18488.32141</v>
      </c>
      <c r="I92" s="60">
        <f>'Hours &amp; volumes per subgroup'!H28</f>
        <v>115.5520088</v>
      </c>
      <c r="J92" s="60">
        <v>29.960429000586167</v>
      </c>
      <c r="K92" s="58">
        <f>'Powerbi Source'!$H92*'Powerbi Source'!$J92</f>
        <v>553918.041</v>
      </c>
      <c r="L92" s="58">
        <f>'Powerbi Source'!$G92/'Powerbi Source'!$H92</f>
        <v>3.053663215</v>
      </c>
      <c r="M92" s="58">
        <f>'Powerbi Source'!$G92/'Powerbi Source'!$C92</f>
        <v>2822.85535</v>
      </c>
      <c r="N92" s="58">
        <f>'Powerbi Source'!$G92/'Powerbi Source'!$I92</f>
        <v>488.5861144</v>
      </c>
      <c r="O92" s="58">
        <f>IFERROR('Powerbi Source'!$K92/'Powerbi Source'!$G92,0)</f>
        <v>9.811307564</v>
      </c>
    </row>
    <row r="93" ht="14.25" customHeight="1">
      <c r="A93" s="58">
        <v>2025.0</v>
      </c>
      <c r="B93" s="58">
        <v>6.0</v>
      </c>
      <c r="C93" s="59">
        <v>20.0</v>
      </c>
      <c r="D93" s="58" t="s">
        <v>18</v>
      </c>
      <c r="E93" s="58" t="s">
        <v>42</v>
      </c>
      <c r="F93" s="58" t="s">
        <v>32</v>
      </c>
      <c r="G93" s="59">
        <f t="shared" si="13"/>
        <v>56282</v>
      </c>
      <c r="H93" s="59">
        <f>'Hours &amp; volumes per subgroup'!H11</f>
        <v>15478.81667</v>
      </c>
      <c r="I93" s="60">
        <f>'Hours &amp; volumes per subgroup'!H29</f>
        <v>96.74260417</v>
      </c>
      <c r="J93" s="60">
        <v>29.960429000586167</v>
      </c>
      <c r="K93" s="58">
        <f>'Powerbi Source'!$H93*'Powerbi Source'!$J93</f>
        <v>463751.9878</v>
      </c>
      <c r="L93" s="58">
        <f>'Powerbi Source'!$G93/'Powerbi Source'!$H93</f>
        <v>3.636066064</v>
      </c>
      <c r="M93" s="58">
        <f>'Powerbi Source'!$G93/'Powerbi Source'!$C93</f>
        <v>2814.1</v>
      </c>
      <c r="N93" s="58">
        <f>'Powerbi Source'!$G93/'Powerbi Source'!$I93</f>
        <v>581.7705703</v>
      </c>
      <c r="O93" s="58">
        <f>IFERROR('Powerbi Source'!$K93/'Powerbi Source'!$G93,0)</f>
        <v>8.239792256</v>
      </c>
    </row>
    <row r="94" ht="14.25" customHeight="1">
      <c r="A94" s="58">
        <v>2025.0</v>
      </c>
      <c r="B94" s="58">
        <v>6.0</v>
      </c>
      <c r="C94" s="59">
        <v>20.0</v>
      </c>
      <c r="D94" s="58" t="s">
        <v>15</v>
      </c>
      <c r="E94" s="58" t="s">
        <v>41</v>
      </c>
      <c r="F94" s="58" t="s">
        <v>32</v>
      </c>
      <c r="G94" s="59">
        <f>'Hours &amp; volumes per subgroup'!H55</f>
        <v>219409</v>
      </c>
      <c r="H94" s="59">
        <f>'Hours &amp; volumes per subgroup'!H6</f>
        <v>6505.710341</v>
      </c>
      <c r="I94" s="60">
        <f>'Hours &amp; volumes per subgroup'!H24</f>
        <v>40.66068963</v>
      </c>
      <c r="J94" s="60">
        <v>29.960429000586167</v>
      </c>
      <c r="K94" s="58">
        <f>'Powerbi Source'!$H94*'Powerbi Source'!$J94</f>
        <v>194913.8728</v>
      </c>
      <c r="L94" s="58">
        <f>'Powerbi Source'!$G94/'Powerbi Source'!$H94</f>
        <v>33.72560235</v>
      </c>
      <c r="M94" s="58">
        <f>'Powerbi Source'!$G94/'Powerbi Source'!$C94</f>
        <v>10970.45</v>
      </c>
      <c r="N94" s="58">
        <f>'Powerbi Source'!$G94/'Powerbi Source'!$I94</f>
        <v>5396.096377</v>
      </c>
      <c r="O94" s="58">
        <f>IFERROR('Powerbi Source'!$K94/'Powerbi Source'!$G94,0)</f>
        <v>0.8883586033</v>
      </c>
    </row>
    <row r="95" ht="14.25" customHeight="1">
      <c r="A95" s="58">
        <v>2025.0</v>
      </c>
      <c r="B95" s="58">
        <v>6.0</v>
      </c>
      <c r="C95" s="59">
        <v>20.0</v>
      </c>
      <c r="D95" s="58" t="s">
        <v>18</v>
      </c>
      <c r="E95" s="58" t="s">
        <v>41</v>
      </c>
      <c r="F95" s="58" t="s">
        <v>32</v>
      </c>
      <c r="G95" s="59">
        <f>'Hours &amp; volumes per subgroup'!H56</f>
        <v>206428</v>
      </c>
      <c r="H95" s="59">
        <f>'Hours &amp; volumes per subgroup'!H7</f>
        <v>6375.683333</v>
      </c>
      <c r="I95" s="60">
        <f>'Hours &amp; volumes per subgroup'!H25</f>
        <v>39.84802083</v>
      </c>
      <c r="J95" s="60">
        <v>29.960429000586167</v>
      </c>
      <c r="K95" s="58">
        <f>'Powerbi Source'!$H95*'Powerbi Source'!$J95</f>
        <v>191018.2078</v>
      </c>
      <c r="L95" s="58">
        <f>'Powerbi Source'!$G95/'Powerbi Source'!$H95</f>
        <v>32.37739223</v>
      </c>
      <c r="M95" s="58">
        <f>'Powerbi Source'!$G95/'Powerbi Source'!$C95</f>
        <v>10321.4</v>
      </c>
      <c r="N95" s="58">
        <f>'Powerbi Source'!$G95/'Powerbi Source'!$I95</f>
        <v>5180.382756</v>
      </c>
      <c r="O95" s="58">
        <f>IFERROR('Powerbi Source'!$K95/'Powerbi Source'!$G95,0)</f>
        <v>0.9253502812</v>
      </c>
    </row>
    <row r="96" ht="14.25" customHeight="1">
      <c r="A96" s="58">
        <v>2025.0</v>
      </c>
      <c r="B96" s="58">
        <v>6.0</v>
      </c>
      <c r="C96" s="59">
        <v>20.0</v>
      </c>
      <c r="D96" s="58" t="s">
        <v>15</v>
      </c>
      <c r="E96" s="58" t="s">
        <v>86</v>
      </c>
      <c r="F96" s="58" t="s">
        <v>32</v>
      </c>
      <c r="G96" s="59">
        <v>0.0</v>
      </c>
      <c r="H96" s="59">
        <f>'Hours &amp; volumes per subgroup'!H14</f>
        <v>2302.020582</v>
      </c>
      <c r="I96" s="60">
        <f>'Hours &amp; volumes per subgroup'!H32</f>
        <v>14.38762864</v>
      </c>
      <c r="J96" s="60">
        <v>29.960429000586167</v>
      </c>
      <c r="K96" s="58">
        <f>'Powerbi Source'!$H96*'Powerbi Source'!$J96</f>
        <v>68969.52421</v>
      </c>
      <c r="L96" s="58">
        <f>'Powerbi Source'!$G96/'Powerbi Source'!$H96</f>
        <v>0</v>
      </c>
      <c r="M96" s="58">
        <f>'Powerbi Source'!$G96/'Powerbi Source'!$C96</f>
        <v>0</v>
      </c>
      <c r="N96" s="58">
        <f>'Powerbi Source'!$G96/'Powerbi Source'!$I96</f>
        <v>0</v>
      </c>
      <c r="O96" s="58">
        <f>IFERROR('Powerbi Source'!$K96/'Powerbi Source'!$G96,0)</f>
        <v>0</v>
      </c>
    </row>
    <row r="97" ht="14.25" customHeight="1">
      <c r="A97" s="58">
        <v>2025.0</v>
      </c>
      <c r="B97" s="58">
        <v>6.0</v>
      </c>
      <c r="C97" s="59">
        <v>20.0</v>
      </c>
      <c r="D97" s="58" t="s">
        <v>18</v>
      </c>
      <c r="E97" s="58" t="s">
        <v>86</v>
      </c>
      <c r="F97" s="58" t="s">
        <v>32</v>
      </c>
      <c r="G97" s="59">
        <v>0.0</v>
      </c>
      <c r="H97" s="59">
        <f>'Hours &amp; volumes per subgroup'!H15</f>
        <v>1013.05</v>
      </c>
      <c r="I97" s="60">
        <f>'Hours &amp; volumes per subgroup'!H33</f>
        <v>6.3315625</v>
      </c>
      <c r="J97" s="60">
        <v>29.960429000586167</v>
      </c>
      <c r="K97" s="58">
        <f>'Powerbi Source'!$H97*'Powerbi Source'!$J97</f>
        <v>30351.4126</v>
      </c>
      <c r="L97" s="58">
        <f>'Powerbi Source'!$G97/'Powerbi Source'!$H97</f>
        <v>0</v>
      </c>
      <c r="M97" s="58">
        <f>'Powerbi Source'!$G97/'Powerbi Source'!$C97</f>
        <v>0</v>
      </c>
      <c r="N97" s="58">
        <f>'Powerbi Source'!$G97/'Powerbi Source'!$I97</f>
        <v>0</v>
      </c>
      <c r="O97" s="58">
        <f>IFERROR('Powerbi Source'!$K97/'Powerbi Source'!$G97,0)</f>
        <v>0</v>
      </c>
    </row>
    <row r="98" ht="14.25" customHeight="1">
      <c r="A98" s="58">
        <v>2025.0</v>
      </c>
      <c r="B98" s="58">
        <v>7.0</v>
      </c>
      <c r="C98" s="59">
        <v>23.0</v>
      </c>
      <c r="D98" s="58" t="s">
        <v>15</v>
      </c>
      <c r="E98" s="58" t="s">
        <v>37</v>
      </c>
      <c r="F98" s="58" t="s">
        <v>84</v>
      </c>
      <c r="G98" s="59">
        <f>'Hours &amp; volumes per subgroup'!I38</f>
        <v>11407</v>
      </c>
      <c r="H98" s="59">
        <f>H102*'Powerbi Source'!$G98/G102</f>
        <v>1959.368873</v>
      </c>
      <c r="I98" s="60">
        <f>I102*'Powerbi Source'!$G98/G102</f>
        <v>10.64874387</v>
      </c>
      <c r="J98" s="60">
        <v>30.80378286318992</v>
      </c>
      <c r="K98" s="58">
        <f>'Powerbi Source'!$H98*'Powerbi Source'!$J98</f>
        <v>60355.9733</v>
      </c>
      <c r="L98" s="58">
        <f>'Powerbi Source'!$G98/'Powerbi Source'!$H98</f>
        <v>5.821772592</v>
      </c>
      <c r="M98" s="58">
        <f>'Powerbi Source'!$G98/'Powerbi Source'!$C98</f>
        <v>495.9565217</v>
      </c>
      <c r="N98" s="58">
        <f>'Powerbi Source'!$G98/'Powerbi Source'!$I98</f>
        <v>1071.206157</v>
      </c>
      <c r="O98" s="58">
        <f>IFERROR('Powerbi Source'!$K98/'Powerbi Source'!$G98,0)</f>
        <v>5.291134681</v>
      </c>
    </row>
    <row r="99" ht="14.25" customHeight="1">
      <c r="A99" s="58">
        <v>2025.0</v>
      </c>
      <c r="B99" s="58">
        <v>7.0</v>
      </c>
      <c r="C99" s="59">
        <v>23.0</v>
      </c>
      <c r="D99" s="58" t="s">
        <v>18</v>
      </c>
      <c r="E99" s="58" t="s">
        <v>37</v>
      </c>
      <c r="F99" s="58" t="s">
        <v>84</v>
      </c>
      <c r="G99" s="59">
        <f>'Hours &amp; volumes per subgroup'!I39</f>
        <v>14918</v>
      </c>
      <c r="H99" s="59">
        <f>H103*'Powerbi Source'!$G99/G103</f>
        <v>2615.022731</v>
      </c>
      <c r="I99" s="60">
        <f>I103*'Powerbi Source'!$G99/G103</f>
        <v>14.21208006</v>
      </c>
      <c r="J99" s="60">
        <v>30.80378286318992</v>
      </c>
      <c r="K99" s="58">
        <f>'Powerbi Source'!$H99*'Powerbi Source'!$J99</f>
        <v>80552.5924</v>
      </c>
      <c r="L99" s="58">
        <f>'Powerbi Source'!$G99/'Powerbi Source'!$H99</f>
        <v>5.704730525</v>
      </c>
      <c r="M99" s="58">
        <f>'Powerbi Source'!$G99/'Powerbi Source'!$C99</f>
        <v>648.6086957</v>
      </c>
      <c r="N99" s="58">
        <f>'Powerbi Source'!$G99/'Powerbi Source'!$I99</f>
        <v>1049.670417</v>
      </c>
      <c r="O99" s="58">
        <f>IFERROR('Powerbi Source'!$K99/'Powerbi Source'!$G99,0)</f>
        <v>5.399691138</v>
      </c>
    </row>
    <row r="100" ht="14.25" customHeight="1">
      <c r="A100" s="58">
        <v>2025.0</v>
      </c>
      <c r="B100" s="58">
        <v>7.0</v>
      </c>
      <c r="C100" s="59">
        <v>23.0</v>
      </c>
      <c r="D100" s="58" t="s">
        <v>15</v>
      </c>
      <c r="E100" s="58" t="s">
        <v>37</v>
      </c>
      <c r="F100" s="58" t="s">
        <v>85</v>
      </c>
      <c r="G100" s="59">
        <f>'Hours &amp; volumes per subgroup'!I42</f>
        <v>9229</v>
      </c>
      <c r="H100" s="59">
        <f>H102*'Powerbi Source'!$G100/G102</f>
        <v>1585.256012</v>
      </c>
      <c r="I100" s="60">
        <f>I102*'Powerbi Source'!$G100/G102</f>
        <v>8.615521803</v>
      </c>
      <c r="J100" s="60">
        <v>30.80378286318992</v>
      </c>
      <c r="K100" s="58">
        <f>'Powerbi Source'!$H100*'Powerbi Source'!$J100</f>
        <v>48831.88197</v>
      </c>
      <c r="L100" s="58">
        <f>'Powerbi Source'!$G100/'Powerbi Source'!$H100</f>
        <v>5.821772592</v>
      </c>
      <c r="M100" s="58">
        <f>'Powerbi Source'!$G100/'Powerbi Source'!$C100</f>
        <v>401.2608696</v>
      </c>
      <c r="N100" s="58">
        <f>'Powerbi Source'!$G100/'Powerbi Source'!$I100</f>
        <v>1071.206157</v>
      </c>
      <c r="O100" s="58">
        <f>IFERROR('Powerbi Source'!$K100/'Powerbi Source'!$G100,0)</f>
        <v>5.291134681</v>
      </c>
    </row>
    <row r="101" ht="14.25" customHeight="1">
      <c r="A101" s="58">
        <v>2025.0</v>
      </c>
      <c r="B101" s="58">
        <v>7.0</v>
      </c>
      <c r="C101" s="59">
        <v>23.0</v>
      </c>
      <c r="D101" s="58" t="s">
        <v>18</v>
      </c>
      <c r="E101" s="58" t="s">
        <v>37</v>
      </c>
      <c r="F101" s="58" t="s">
        <v>85</v>
      </c>
      <c r="G101" s="59">
        <f>'Hours &amp; volumes per subgroup'!I43</f>
        <v>13910</v>
      </c>
      <c r="H101" s="59">
        <f>H103*'Powerbi Source'!$G101/G103</f>
        <v>2438.327269</v>
      </c>
      <c r="I101" s="60">
        <f>I103*'Powerbi Source'!$G101/G103</f>
        <v>13.25177863</v>
      </c>
      <c r="J101" s="60">
        <v>30.80378286318992</v>
      </c>
      <c r="K101" s="58">
        <f>'Powerbi Source'!$H101*'Powerbi Source'!$J101</f>
        <v>75109.70373</v>
      </c>
      <c r="L101" s="58">
        <f>'Powerbi Source'!$G101/'Powerbi Source'!$H101</f>
        <v>5.704730525</v>
      </c>
      <c r="M101" s="58">
        <f>'Powerbi Source'!$G101/'Powerbi Source'!$C101</f>
        <v>604.7826087</v>
      </c>
      <c r="N101" s="58">
        <f>'Powerbi Source'!$G101/'Powerbi Source'!$I101</f>
        <v>1049.670417</v>
      </c>
      <c r="O101" s="58">
        <f>IFERROR('Powerbi Source'!$K101/'Powerbi Source'!$G101,0)</f>
        <v>5.399691138</v>
      </c>
    </row>
    <row r="102" ht="14.25" customHeight="1">
      <c r="A102" s="58">
        <v>2025.0</v>
      </c>
      <c r="B102" s="58">
        <v>7.0</v>
      </c>
      <c r="C102" s="59">
        <v>23.0</v>
      </c>
      <c r="D102" s="58" t="s">
        <v>15</v>
      </c>
      <c r="E102" s="58" t="s">
        <v>37</v>
      </c>
      <c r="F102" s="58" t="s">
        <v>32</v>
      </c>
      <c r="G102" s="59">
        <f t="shared" ref="G102:G103" si="14">G98+G100</f>
        <v>20636</v>
      </c>
      <c r="H102" s="59">
        <f>'Hours &amp; volumes per subgroup'!I2</f>
        <v>3544.624884</v>
      </c>
      <c r="I102" s="60">
        <f>'Hours &amp; volumes per subgroup'!I20</f>
        <v>19.26426568</v>
      </c>
      <c r="J102" s="60">
        <v>30.80378286318992</v>
      </c>
      <c r="K102" s="58">
        <f>'Powerbi Source'!$H102*'Powerbi Source'!$J102</f>
        <v>109187.8553</v>
      </c>
      <c r="L102" s="58">
        <f>'Powerbi Source'!$G102/'Powerbi Source'!$H102</f>
        <v>5.821772592</v>
      </c>
      <c r="M102" s="58">
        <f>'Powerbi Source'!$G102/'Powerbi Source'!$C102</f>
        <v>897.2173913</v>
      </c>
      <c r="N102" s="58">
        <f>'Powerbi Source'!$G102/'Powerbi Source'!$I102</f>
        <v>1071.206157</v>
      </c>
      <c r="O102" s="58">
        <f>IFERROR('Powerbi Source'!$K102/'Powerbi Source'!$G102,0)</f>
        <v>5.291134681</v>
      </c>
    </row>
    <row r="103" ht="14.25" customHeight="1">
      <c r="A103" s="58">
        <v>2025.0</v>
      </c>
      <c r="B103" s="58">
        <v>7.0</v>
      </c>
      <c r="C103" s="59">
        <v>23.0</v>
      </c>
      <c r="D103" s="58" t="s">
        <v>18</v>
      </c>
      <c r="E103" s="58" t="s">
        <v>37</v>
      </c>
      <c r="F103" s="58" t="s">
        <v>32</v>
      </c>
      <c r="G103" s="59">
        <f t="shared" si="14"/>
        <v>28828</v>
      </c>
      <c r="H103" s="59">
        <f>'Hours &amp; volumes per subgroup'!I3</f>
        <v>5053.35</v>
      </c>
      <c r="I103" s="60">
        <f>'Hours &amp; volumes per subgroup'!I21</f>
        <v>27.4638587</v>
      </c>
      <c r="J103" s="60">
        <v>30.80378286318992</v>
      </c>
      <c r="K103" s="58">
        <f>'Powerbi Source'!$H103*'Powerbi Source'!$J103</f>
        <v>155662.2961</v>
      </c>
      <c r="L103" s="58">
        <f>'Powerbi Source'!$G103/'Powerbi Source'!$H103</f>
        <v>5.704730525</v>
      </c>
      <c r="M103" s="58">
        <f>'Powerbi Source'!$G103/'Powerbi Source'!$C103</f>
        <v>1253.391304</v>
      </c>
      <c r="N103" s="58">
        <f>'Powerbi Source'!$G103/'Powerbi Source'!$I103</f>
        <v>1049.670417</v>
      </c>
      <c r="O103" s="58">
        <f>IFERROR('Powerbi Source'!$K103/'Powerbi Source'!$G103,0)</f>
        <v>5.399691138</v>
      </c>
    </row>
    <row r="104" ht="14.25" customHeight="1">
      <c r="A104" s="58">
        <v>2025.0</v>
      </c>
      <c r="B104" s="58">
        <v>7.0</v>
      </c>
      <c r="C104" s="59">
        <v>23.0</v>
      </c>
      <c r="D104" s="58" t="s">
        <v>15</v>
      </c>
      <c r="E104" s="58" t="s">
        <v>42</v>
      </c>
      <c r="F104" s="58" t="s">
        <v>84</v>
      </c>
      <c r="G104" s="59">
        <f>'Hours &amp; volumes per subgroup'!I46</f>
        <v>28111.875</v>
      </c>
      <c r="H104" s="59">
        <f>H108*'Powerbi Source'!$G104/G108</f>
        <v>9205.951351</v>
      </c>
      <c r="I104" s="60">
        <f>I108*'Powerbi Source'!$G104/G108</f>
        <v>50.3394171</v>
      </c>
      <c r="J104" s="60">
        <v>30.80378286318992</v>
      </c>
      <c r="K104" s="58">
        <f>'Powerbi Source'!$H104*'Powerbi Source'!$J104</f>
        <v>283578.1265</v>
      </c>
      <c r="L104" s="58">
        <f>'Powerbi Source'!$G104/'Powerbi Source'!$H104</f>
        <v>3.053663215</v>
      </c>
      <c r="M104" s="58">
        <f>'Powerbi Source'!$G104/'Powerbi Source'!$C104</f>
        <v>1222.255435</v>
      </c>
      <c r="N104" s="58">
        <f>'Powerbi Source'!$G104/'Powerbi Source'!$I104</f>
        <v>558.4465737</v>
      </c>
      <c r="O104" s="58">
        <f>IFERROR('Powerbi Source'!$K104/'Powerbi Source'!$G104,0)</f>
        <v>10.08748532</v>
      </c>
    </row>
    <row r="105" ht="14.25" customHeight="1">
      <c r="A105" s="58">
        <v>2025.0</v>
      </c>
      <c r="B105" s="58">
        <v>7.0</v>
      </c>
      <c r="C105" s="59">
        <v>23.0</v>
      </c>
      <c r="D105" s="58" t="s">
        <v>18</v>
      </c>
      <c r="E105" s="58" t="s">
        <v>42</v>
      </c>
      <c r="F105" s="58" t="s">
        <v>84</v>
      </c>
      <c r="G105" s="59">
        <f>'Hours &amp; volumes per subgroup'!I47</f>
        <v>32309</v>
      </c>
      <c r="H105" s="59">
        <f>H109*'Powerbi Source'!$G105/G109</f>
        <v>7849.464586</v>
      </c>
      <c r="I105" s="60">
        <f>I109*'Powerbi Source'!$G105/G109</f>
        <v>48.80985437</v>
      </c>
      <c r="J105" s="60">
        <v>30.80378286318992</v>
      </c>
      <c r="K105" s="58">
        <f>'Powerbi Source'!$H105*'Powerbi Source'!$J105</f>
        <v>241793.2027</v>
      </c>
      <c r="L105" s="58">
        <f>'Powerbi Source'!$G105/'Powerbi Source'!$H105</f>
        <v>4.116076918</v>
      </c>
      <c r="M105" s="58">
        <f>'Powerbi Source'!$G105/'Powerbi Source'!$C105</f>
        <v>1404.73913</v>
      </c>
      <c r="N105" s="58">
        <f>'Powerbi Source'!$G105/'Powerbi Source'!$I105</f>
        <v>661.9360048</v>
      </c>
      <c r="O105" s="58">
        <f>IFERROR('Powerbi Source'!$K105/'Powerbi Source'!$G105,0)</f>
        <v>7.483772407</v>
      </c>
    </row>
    <row r="106" ht="14.25" customHeight="1">
      <c r="A106" s="58">
        <v>2025.0</v>
      </c>
      <c r="B106" s="58">
        <v>7.0</v>
      </c>
      <c r="C106" s="59">
        <v>23.0</v>
      </c>
      <c r="D106" s="58" t="s">
        <v>15</v>
      </c>
      <c r="E106" s="58" t="s">
        <v>42</v>
      </c>
      <c r="F106" s="58" t="s">
        <v>85</v>
      </c>
      <c r="G106" s="59">
        <f>'Hours &amp; volumes per subgroup'!I50/90</f>
        <v>28345.232</v>
      </c>
      <c r="H106" s="59">
        <f>H108*'Powerbi Source'!$G106/G108</f>
        <v>9282.37006</v>
      </c>
      <c r="I106" s="60">
        <f>I108*'Powerbi Source'!$G106/G108</f>
        <v>50.75728518</v>
      </c>
      <c r="J106" s="60">
        <v>30.80378286318992</v>
      </c>
      <c r="K106" s="58">
        <f>'Powerbi Source'!$H106*'Powerbi Source'!$J106</f>
        <v>285932.1118</v>
      </c>
      <c r="L106" s="58">
        <f>'Powerbi Source'!$G106/'Powerbi Source'!$H106</f>
        <v>3.053663215</v>
      </c>
      <c r="M106" s="58">
        <f>'Powerbi Source'!$G106/'Powerbi Source'!$C106</f>
        <v>1232.401391</v>
      </c>
      <c r="N106" s="58">
        <f>'Powerbi Source'!$G106/'Powerbi Source'!$I106</f>
        <v>558.4465737</v>
      </c>
      <c r="O106" s="58">
        <f>IFERROR('Powerbi Source'!$K106/'Powerbi Source'!$G106,0)</f>
        <v>10.08748532</v>
      </c>
    </row>
    <row r="107" ht="14.25" customHeight="1">
      <c r="A107" s="58">
        <v>2025.0</v>
      </c>
      <c r="B107" s="58">
        <v>7.0</v>
      </c>
      <c r="C107" s="59">
        <v>23.0</v>
      </c>
      <c r="D107" s="58" t="s">
        <v>18</v>
      </c>
      <c r="E107" s="58" t="s">
        <v>42</v>
      </c>
      <c r="F107" s="58" t="s">
        <v>85</v>
      </c>
      <c r="G107" s="59">
        <f>'Hours &amp; volumes per subgroup'!I53</f>
        <v>31403</v>
      </c>
      <c r="H107" s="59">
        <f>H109*'Powerbi Source'!$G107/G109</f>
        <v>7629.352081</v>
      </c>
      <c r="I107" s="60">
        <f>I109*'Powerbi Source'!$G107/G109</f>
        <v>47.441142</v>
      </c>
      <c r="J107" s="60">
        <v>30.80378286318992</v>
      </c>
      <c r="K107" s="58">
        <f>'Powerbi Source'!$H107*'Powerbi Source'!$J107</f>
        <v>235012.9049</v>
      </c>
      <c r="L107" s="58">
        <f>'Powerbi Source'!$G107/'Powerbi Source'!$H107</f>
        <v>4.116076918</v>
      </c>
      <c r="M107" s="58">
        <f>'Powerbi Source'!$G107/'Powerbi Source'!$C107</f>
        <v>1365.347826</v>
      </c>
      <c r="N107" s="58">
        <f>'Powerbi Source'!$G107/'Powerbi Source'!$I107</f>
        <v>661.9360048</v>
      </c>
      <c r="O107" s="58">
        <f>IFERROR('Powerbi Source'!$K107/'Powerbi Source'!$G107,0)</f>
        <v>7.483772407</v>
      </c>
    </row>
    <row r="108" ht="14.25" customHeight="1">
      <c r="A108" s="58">
        <v>2025.0</v>
      </c>
      <c r="B108" s="58">
        <v>7.0</v>
      </c>
      <c r="C108" s="59">
        <v>23.0</v>
      </c>
      <c r="D108" s="58" t="s">
        <v>15</v>
      </c>
      <c r="E108" s="58" t="s">
        <v>42</v>
      </c>
      <c r="F108" s="58" t="s">
        <v>32</v>
      </c>
      <c r="G108" s="59">
        <f t="shared" ref="G108:G109" si="15">G104+G106</f>
        <v>56457.107</v>
      </c>
      <c r="H108" s="59">
        <f>'Hours &amp; volumes per subgroup'!H10</f>
        <v>18488.32141</v>
      </c>
      <c r="I108" s="60">
        <f>'Hours &amp; volumes per subgroup'!I28</f>
        <v>101.0967023</v>
      </c>
      <c r="J108" s="60">
        <v>30.80378286318992</v>
      </c>
      <c r="K108" s="58">
        <f>'Powerbi Source'!$H108*'Powerbi Source'!$J108</f>
        <v>569510.2382</v>
      </c>
      <c r="L108" s="58">
        <f>'Powerbi Source'!$G108/'Powerbi Source'!$H108</f>
        <v>3.053663215</v>
      </c>
      <c r="M108" s="58">
        <f>'Powerbi Source'!$G108/'Powerbi Source'!$C108</f>
        <v>2454.656826</v>
      </c>
      <c r="N108" s="58">
        <f>'Powerbi Source'!$G108/'Powerbi Source'!$I108</f>
        <v>558.4465737</v>
      </c>
      <c r="O108" s="58">
        <f>IFERROR('Powerbi Source'!$K108/'Powerbi Source'!$G108,0)</f>
        <v>10.08748532</v>
      </c>
    </row>
    <row r="109" ht="14.25" customHeight="1">
      <c r="A109" s="58">
        <v>2025.0</v>
      </c>
      <c r="B109" s="58">
        <v>7.0</v>
      </c>
      <c r="C109" s="59">
        <v>23.0</v>
      </c>
      <c r="D109" s="58" t="s">
        <v>18</v>
      </c>
      <c r="E109" s="58" t="s">
        <v>42</v>
      </c>
      <c r="F109" s="58" t="s">
        <v>32</v>
      </c>
      <c r="G109" s="59">
        <f t="shared" si="15"/>
        <v>63712</v>
      </c>
      <c r="H109" s="59">
        <f>'Hours &amp; volumes per subgroup'!H11</f>
        <v>15478.81667</v>
      </c>
      <c r="I109" s="60">
        <f>'Hours &amp; volumes per subgroup'!I29</f>
        <v>96.25099638</v>
      </c>
      <c r="J109" s="60">
        <v>30.80378286318992</v>
      </c>
      <c r="K109" s="58">
        <f>'Powerbi Source'!$H109*'Powerbi Source'!$J109</f>
        <v>476806.1076</v>
      </c>
      <c r="L109" s="58">
        <f>'Powerbi Source'!$G109/'Powerbi Source'!$H109</f>
        <v>4.116076918</v>
      </c>
      <c r="M109" s="58">
        <f>'Powerbi Source'!$G109/'Powerbi Source'!$C109</f>
        <v>2770.086957</v>
      </c>
      <c r="N109" s="58">
        <f>'Powerbi Source'!$G109/'Powerbi Source'!$I109</f>
        <v>661.9360048</v>
      </c>
      <c r="O109" s="58">
        <f>IFERROR('Powerbi Source'!$K109/'Powerbi Source'!$G109,0)</f>
        <v>7.483772407</v>
      </c>
    </row>
    <row r="110" ht="14.25" customHeight="1">
      <c r="A110" s="58">
        <v>2025.0</v>
      </c>
      <c r="B110" s="58">
        <v>7.0</v>
      </c>
      <c r="C110" s="59">
        <v>23.0</v>
      </c>
      <c r="D110" s="58" t="s">
        <v>15</v>
      </c>
      <c r="E110" s="58" t="s">
        <v>41</v>
      </c>
      <c r="F110" s="58" t="s">
        <v>32</v>
      </c>
      <c r="G110" s="59">
        <f>'Hours &amp; volumes per subgroup'!I55</f>
        <v>219409</v>
      </c>
      <c r="H110" s="59">
        <f>'Hours &amp; volumes per subgroup'!I6</f>
        <v>6499.3122</v>
      </c>
      <c r="I110" s="60">
        <f>'Hours &amp; volumes per subgroup'!I24</f>
        <v>35.32234891</v>
      </c>
      <c r="J110" s="60">
        <v>30.80378286318992</v>
      </c>
      <c r="K110" s="58">
        <f>'Powerbi Source'!$H110*'Powerbi Source'!$J110</f>
        <v>200203.4018</v>
      </c>
      <c r="L110" s="58">
        <f>'Powerbi Source'!$G110/'Powerbi Source'!$H110</f>
        <v>33.75880297</v>
      </c>
      <c r="M110" s="58">
        <f>'Powerbi Source'!$G110/'Powerbi Source'!$C110</f>
        <v>9539.521739</v>
      </c>
      <c r="N110" s="58">
        <f>'Powerbi Source'!$G110/'Powerbi Source'!$I110</f>
        <v>6211.619747</v>
      </c>
      <c r="O110" s="58">
        <f>IFERROR('Powerbi Source'!$K110/'Powerbi Source'!$G110,0)</f>
        <v>0.9124666799</v>
      </c>
    </row>
    <row r="111" ht="14.25" customHeight="1">
      <c r="A111" s="58">
        <v>2025.0</v>
      </c>
      <c r="B111" s="58">
        <v>7.0</v>
      </c>
      <c r="C111" s="59">
        <v>23.0</v>
      </c>
      <c r="D111" s="58" t="s">
        <v>18</v>
      </c>
      <c r="E111" s="58" t="s">
        <v>41</v>
      </c>
      <c r="F111" s="58" t="s">
        <v>32</v>
      </c>
      <c r="G111" s="59">
        <f>'Hours &amp; volumes per subgroup'!I56</f>
        <v>215070</v>
      </c>
      <c r="H111" s="59">
        <f>'Hours &amp; volumes per subgroup'!I7</f>
        <v>6665.633333</v>
      </c>
      <c r="I111" s="60">
        <f>'Hours &amp; volumes per subgroup'!I25</f>
        <v>36.22626812</v>
      </c>
      <c r="J111" s="60">
        <v>30.80378286318992</v>
      </c>
      <c r="K111" s="58">
        <f>'Powerbi Source'!$H111*'Powerbi Source'!$J111</f>
        <v>205326.7218</v>
      </c>
      <c r="L111" s="58">
        <f>'Powerbi Source'!$G111/'Powerbi Source'!$H111</f>
        <v>32.26550115</v>
      </c>
      <c r="M111" s="58">
        <f>'Powerbi Source'!$G111/'Powerbi Source'!$C111</f>
        <v>9350.869565</v>
      </c>
      <c r="N111" s="58">
        <f>'Powerbi Source'!$G111/'Powerbi Source'!$I111</f>
        <v>5936.852212</v>
      </c>
      <c r="O111" s="58">
        <f>IFERROR('Powerbi Source'!$K111/'Powerbi Source'!$G111,0)</f>
        <v>0.9546971769</v>
      </c>
    </row>
    <row r="112" ht="14.25" customHeight="1">
      <c r="A112" s="58">
        <v>2025.0</v>
      </c>
      <c r="B112" s="58">
        <v>7.0</v>
      </c>
      <c r="C112" s="59">
        <v>23.0</v>
      </c>
      <c r="D112" s="58" t="s">
        <v>15</v>
      </c>
      <c r="E112" s="58" t="s">
        <v>86</v>
      </c>
      <c r="F112" s="58" t="s">
        <v>32</v>
      </c>
      <c r="G112" s="59">
        <v>0.0</v>
      </c>
      <c r="H112" s="59">
        <f>'Hours &amp; volumes per subgroup'!I14</f>
        <v>2299.756625</v>
      </c>
      <c r="I112" s="60">
        <f>'Hours &amp; volumes per subgroup'!I32</f>
        <v>12.49867731</v>
      </c>
      <c r="J112" s="60">
        <v>30.80378286318992</v>
      </c>
      <c r="K112" s="58">
        <f>'Powerbi Source'!$H112*'Powerbi Source'!$J112</f>
        <v>70841.2037</v>
      </c>
      <c r="L112" s="58">
        <f>'Powerbi Source'!$G112/'Powerbi Source'!$H112</f>
        <v>0</v>
      </c>
      <c r="M112" s="58">
        <f>'Powerbi Source'!$G112/'Powerbi Source'!$C112</f>
        <v>0</v>
      </c>
      <c r="N112" s="58">
        <f>'Powerbi Source'!$G112/'Powerbi Source'!$I112</f>
        <v>0</v>
      </c>
      <c r="O112" s="58">
        <f>IFERROR('Powerbi Source'!$K112/'Powerbi Source'!$G112,0)</f>
        <v>0</v>
      </c>
    </row>
    <row r="113" ht="14.25" customHeight="1">
      <c r="A113" s="58">
        <v>2025.0</v>
      </c>
      <c r="B113" s="58">
        <v>7.0</v>
      </c>
      <c r="C113" s="59">
        <v>23.0</v>
      </c>
      <c r="D113" s="58" t="s">
        <v>18</v>
      </c>
      <c r="E113" s="58" t="s">
        <v>86</v>
      </c>
      <c r="F113" s="58" t="s">
        <v>32</v>
      </c>
      <c r="G113" s="59">
        <v>0.0</v>
      </c>
      <c r="H113" s="59">
        <f>'Hours &amp; volumes per subgroup'!I15</f>
        <v>809.8333333</v>
      </c>
      <c r="I113" s="60">
        <f>'Hours &amp; volumes per subgroup'!I33</f>
        <v>4.401268116</v>
      </c>
      <c r="J113" s="60">
        <v>30.80378286318992</v>
      </c>
      <c r="K113" s="58">
        <f>'Powerbi Source'!$H113*'Powerbi Source'!$J113</f>
        <v>24945.93016</v>
      </c>
      <c r="L113" s="58">
        <f>'Powerbi Source'!$G113/'Powerbi Source'!$H113</f>
        <v>0</v>
      </c>
      <c r="M113" s="58">
        <f>'Powerbi Source'!$G113/'Powerbi Source'!$C113</f>
        <v>0</v>
      </c>
      <c r="N113" s="58">
        <f>'Powerbi Source'!$G113/'Powerbi Source'!$I113</f>
        <v>0</v>
      </c>
      <c r="O113" s="58">
        <f>IFERROR('Powerbi Source'!$K113/'Powerbi Source'!$G113,0)</f>
        <v>0</v>
      </c>
    </row>
    <row r="114" ht="14.25" customHeight="1">
      <c r="A114" s="58">
        <v>2025.0</v>
      </c>
      <c r="B114" s="58">
        <v>8.0</v>
      </c>
      <c r="C114" s="59">
        <v>21.0</v>
      </c>
      <c r="D114" s="58" t="s">
        <v>15</v>
      </c>
      <c r="E114" s="58" t="s">
        <v>37</v>
      </c>
      <c r="F114" s="58" t="s">
        <v>84</v>
      </c>
      <c r="G114" s="59">
        <f>'Hours &amp; volumes per subgroup'!J38</f>
        <v>11407</v>
      </c>
      <c r="H114" s="59">
        <f>H118*'Powerbi Source'!$G114/G118</f>
        <v>1959.368873</v>
      </c>
      <c r="I114" s="60">
        <f>I118*'Powerbi Source'!$G114/G118</f>
        <v>11.66290996</v>
      </c>
      <c r="J114" s="60">
        <v>30.94292773962377</v>
      </c>
      <c r="K114" s="58">
        <f>'Powerbi Source'!$H114*'Powerbi Source'!$J114</f>
        <v>60628.60944</v>
      </c>
      <c r="L114" s="58">
        <f>'Powerbi Source'!$G114/'Powerbi Source'!$H114</f>
        <v>5.821772592</v>
      </c>
      <c r="M114" s="58">
        <f>'Powerbi Source'!$G114/'Powerbi Source'!$C114</f>
        <v>543.1904762</v>
      </c>
      <c r="N114" s="58">
        <f>'Powerbi Source'!$G114/'Powerbi Source'!$I114</f>
        <v>978.0577954</v>
      </c>
      <c r="O114" s="58">
        <f>IFERROR('Powerbi Source'!$K114/'Powerbi Source'!$G114,0)</f>
        <v>5.315035456</v>
      </c>
    </row>
    <row r="115" ht="14.25" customHeight="1">
      <c r="A115" s="58">
        <v>2025.0</v>
      </c>
      <c r="B115" s="58">
        <v>8.0</v>
      </c>
      <c r="C115" s="59">
        <v>21.0</v>
      </c>
      <c r="D115" s="58" t="s">
        <v>18</v>
      </c>
      <c r="E115" s="58" t="s">
        <v>37</v>
      </c>
      <c r="F115" s="58" t="s">
        <v>84</v>
      </c>
      <c r="G115" s="59">
        <f>'Hours &amp; volumes per subgroup'!J39</f>
        <v>16157</v>
      </c>
      <c r="H115" s="59">
        <f>H119*'Powerbi Source'!$G115/G119</f>
        <v>2474.311172</v>
      </c>
      <c r="I115" s="60">
        <f>I119*'Powerbi Source'!$G115/G119</f>
        <v>14.72804269</v>
      </c>
      <c r="J115" s="60">
        <v>30.94292773962377</v>
      </c>
      <c r="K115" s="58">
        <f>'Powerbi Source'!$H115*'Powerbi Source'!$J115</f>
        <v>76562.43179</v>
      </c>
      <c r="L115" s="58">
        <f>'Powerbi Source'!$G115/'Powerbi Source'!$H115</f>
        <v>6.529898173</v>
      </c>
      <c r="M115" s="58">
        <f>'Powerbi Source'!$G115/'Powerbi Source'!$C115</f>
        <v>769.3809524</v>
      </c>
      <c r="N115" s="58">
        <f>'Powerbi Source'!$G115/'Powerbi Source'!$I115</f>
        <v>1097.022893</v>
      </c>
      <c r="O115" s="58">
        <f>IFERROR('Powerbi Source'!$K115/'Powerbi Source'!$G115,0)</f>
        <v>4.738653945</v>
      </c>
    </row>
    <row r="116" ht="14.25" customHeight="1">
      <c r="A116" s="58">
        <v>2025.0</v>
      </c>
      <c r="B116" s="58">
        <v>8.0</v>
      </c>
      <c r="C116" s="59">
        <v>21.0</v>
      </c>
      <c r="D116" s="58" t="s">
        <v>15</v>
      </c>
      <c r="E116" s="58" t="s">
        <v>37</v>
      </c>
      <c r="F116" s="58" t="s">
        <v>85</v>
      </c>
      <c r="G116" s="59">
        <f>'Hours &amp; volumes per subgroup'!J42</f>
        <v>9229</v>
      </c>
      <c r="H116" s="59">
        <f>H118*'Powerbi Source'!$G116/G118</f>
        <v>1585.256012</v>
      </c>
      <c r="I116" s="60">
        <f>I118*'Powerbi Source'!$G116/G118</f>
        <v>9.436047689</v>
      </c>
      <c r="J116" s="60">
        <v>30.94292773962377</v>
      </c>
      <c r="K116" s="58">
        <f>'Powerbi Source'!$H116*'Powerbi Source'!$J116</f>
        <v>49052.46222</v>
      </c>
      <c r="L116" s="58">
        <f>'Powerbi Source'!$G116/'Powerbi Source'!$H116</f>
        <v>5.821772592</v>
      </c>
      <c r="M116" s="58">
        <f>'Powerbi Source'!$G116/'Powerbi Source'!$C116</f>
        <v>439.4761905</v>
      </c>
      <c r="N116" s="58">
        <f>'Powerbi Source'!$G116/'Powerbi Source'!$I116</f>
        <v>978.0577954</v>
      </c>
      <c r="O116" s="58">
        <f>IFERROR('Powerbi Source'!$K116/'Powerbi Source'!$G116,0)</f>
        <v>5.315035456</v>
      </c>
    </row>
    <row r="117" ht="14.25" customHeight="1">
      <c r="A117" s="58">
        <v>2025.0</v>
      </c>
      <c r="B117" s="58">
        <v>8.0</v>
      </c>
      <c r="C117" s="59">
        <v>21.0</v>
      </c>
      <c r="D117" s="58" t="s">
        <v>18</v>
      </c>
      <c r="E117" s="58" t="s">
        <v>37</v>
      </c>
      <c r="F117" s="58" t="s">
        <v>85</v>
      </c>
      <c r="G117" s="59">
        <f>'Hours &amp; volumes per subgroup'!J43</f>
        <v>14325</v>
      </c>
      <c r="H117" s="59">
        <f>H119*'Powerbi Source'!$G117/G119</f>
        <v>2193.755495</v>
      </c>
      <c r="I117" s="60">
        <f>I119*'Powerbi Source'!$G117/G119</f>
        <v>13.05806842</v>
      </c>
      <c r="J117" s="60">
        <v>30.94292773962377</v>
      </c>
      <c r="K117" s="58">
        <f>'Powerbi Source'!$H117*'Powerbi Source'!$J117</f>
        <v>67881.21776</v>
      </c>
      <c r="L117" s="58">
        <f>'Powerbi Source'!$G117/'Powerbi Source'!$H117</f>
        <v>6.529898173</v>
      </c>
      <c r="M117" s="58">
        <f>'Powerbi Source'!$G117/'Powerbi Source'!$C117</f>
        <v>682.1428571</v>
      </c>
      <c r="N117" s="58">
        <f>'Powerbi Source'!$G117/'Powerbi Source'!$I117</f>
        <v>1097.022893</v>
      </c>
      <c r="O117" s="58">
        <f>IFERROR('Powerbi Source'!$K117/'Powerbi Source'!$G117,0)</f>
        <v>4.738653945</v>
      </c>
    </row>
    <row r="118" ht="14.25" customHeight="1">
      <c r="A118" s="58">
        <v>2025.0</v>
      </c>
      <c r="B118" s="58">
        <v>8.0</v>
      </c>
      <c r="C118" s="59">
        <v>21.0</v>
      </c>
      <c r="D118" s="58" t="s">
        <v>15</v>
      </c>
      <c r="E118" s="58" t="s">
        <v>37</v>
      </c>
      <c r="F118" s="58" t="s">
        <v>32</v>
      </c>
      <c r="G118" s="59">
        <f t="shared" ref="G118:G119" si="16">G114+G116</f>
        <v>20636</v>
      </c>
      <c r="H118" s="59">
        <f>'Hours &amp; volumes per subgroup'!J2</f>
        <v>3544.624884</v>
      </c>
      <c r="I118" s="60">
        <f>'Hours &amp; volumes per subgroup'!J20</f>
        <v>21.09895764</v>
      </c>
      <c r="J118" s="60">
        <v>30.94292773962377</v>
      </c>
      <c r="K118" s="58">
        <f>'Powerbi Source'!$H118*'Powerbi Source'!$J118</f>
        <v>109681.0717</v>
      </c>
      <c r="L118" s="58">
        <f>'Powerbi Source'!$G118/'Powerbi Source'!$H118</f>
        <v>5.821772592</v>
      </c>
      <c r="M118" s="58">
        <f>'Powerbi Source'!$G118/'Powerbi Source'!$C118</f>
        <v>982.6666667</v>
      </c>
      <c r="N118" s="58">
        <f>'Powerbi Source'!$G118/'Powerbi Source'!$I118</f>
        <v>978.0577954</v>
      </c>
      <c r="O118" s="58">
        <f>IFERROR('Powerbi Source'!$K118/'Powerbi Source'!$G118,0)</f>
        <v>5.315035456</v>
      </c>
    </row>
    <row r="119" ht="14.25" customHeight="1">
      <c r="A119" s="58">
        <v>2025.0</v>
      </c>
      <c r="B119" s="58">
        <v>8.0</v>
      </c>
      <c r="C119" s="59">
        <v>21.0</v>
      </c>
      <c r="D119" s="58" t="s">
        <v>18</v>
      </c>
      <c r="E119" s="58" t="s">
        <v>37</v>
      </c>
      <c r="F119" s="58" t="s">
        <v>32</v>
      </c>
      <c r="G119" s="59">
        <f t="shared" si="16"/>
        <v>30482</v>
      </c>
      <c r="H119" s="59">
        <f>'Hours &amp; volumes per subgroup'!J3</f>
        <v>4668.066667</v>
      </c>
      <c r="I119" s="60">
        <f>'Hours &amp; volumes per subgroup'!J21</f>
        <v>27.78611111</v>
      </c>
      <c r="J119" s="60">
        <v>30.94292773962377</v>
      </c>
      <c r="K119" s="58">
        <f>'Powerbi Source'!$H119*'Powerbi Source'!$J119</f>
        <v>144443.6496</v>
      </c>
      <c r="L119" s="58">
        <f>'Powerbi Source'!$G119/'Powerbi Source'!$H119</f>
        <v>6.529898173</v>
      </c>
      <c r="M119" s="58">
        <f>'Powerbi Source'!$G119/'Powerbi Source'!$C119</f>
        <v>1451.52381</v>
      </c>
      <c r="N119" s="58">
        <f>'Powerbi Source'!$G119/'Powerbi Source'!$I119</f>
        <v>1097.022893</v>
      </c>
      <c r="O119" s="58">
        <f>IFERROR('Powerbi Source'!$K119/'Powerbi Source'!$G119,0)</f>
        <v>4.738653945</v>
      </c>
    </row>
    <row r="120" ht="14.25" customHeight="1">
      <c r="A120" s="58">
        <v>2025.0</v>
      </c>
      <c r="B120" s="58">
        <v>8.0</v>
      </c>
      <c r="C120" s="59">
        <v>21.0</v>
      </c>
      <c r="D120" s="58" t="s">
        <v>15</v>
      </c>
      <c r="E120" s="58" t="s">
        <v>42</v>
      </c>
      <c r="F120" s="58" t="s">
        <v>84</v>
      </c>
      <c r="G120" s="59">
        <f>'Hours &amp; volumes per subgroup'!J46</f>
        <v>28111.875</v>
      </c>
      <c r="H120" s="59">
        <f>H124*'Powerbi Source'!$G120/G124</f>
        <v>9266.934146</v>
      </c>
      <c r="I120" s="60">
        <f>I124*'Powerbi Source'!$G120/G124</f>
        <v>55.1603223</v>
      </c>
      <c r="J120" s="60">
        <v>30.94292773962377</v>
      </c>
      <c r="K120" s="58">
        <f>'Powerbi Source'!$H120*'Powerbi Source'!$J120</f>
        <v>286746.0736</v>
      </c>
      <c r="L120" s="58">
        <f>'Powerbi Source'!$G120/'Powerbi Source'!$H120</f>
        <v>3.033568013</v>
      </c>
      <c r="M120" s="58">
        <f>'Powerbi Source'!$G120/'Powerbi Source'!$C120</f>
        <v>1338.660714</v>
      </c>
      <c r="N120" s="58">
        <f>'Powerbi Source'!$G120/'Powerbi Source'!$I120</f>
        <v>509.6394261</v>
      </c>
      <c r="O120" s="58">
        <f>IFERROR('Powerbi Source'!$K120/'Powerbi Source'!$G120,0)</f>
        <v>10.20017603</v>
      </c>
    </row>
    <row r="121" ht="14.25" customHeight="1">
      <c r="A121" s="58">
        <v>2025.0</v>
      </c>
      <c r="B121" s="58">
        <v>8.0</v>
      </c>
      <c r="C121" s="59">
        <v>21.0</v>
      </c>
      <c r="D121" s="58" t="s">
        <v>18</v>
      </c>
      <c r="E121" s="58" t="s">
        <v>42</v>
      </c>
      <c r="F121" s="58" t="s">
        <v>84</v>
      </c>
      <c r="G121" s="59">
        <f>'Hours &amp; volumes per subgroup'!J47</f>
        <v>27651</v>
      </c>
      <c r="H121" s="59">
        <f>H125*'Powerbi Source'!$G121/G125</f>
        <v>7348.220371</v>
      </c>
      <c r="I121" s="60">
        <f>I125*'Powerbi Source'!$G121/G125</f>
        <v>43.73940697</v>
      </c>
      <c r="J121" s="60">
        <v>30.94292773962377</v>
      </c>
      <c r="K121" s="58">
        <f>'Powerbi Source'!$H121*'Powerbi Source'!$J121</f>
        <v>227375.452</v>
      </c>
      <c r="L121" s="58">
        <f>'Powerbi Source'!$G121/'Powerbi Source'!$H121</f>
        <v>3.762951926</v>
      </c>
      <c r="M121" s="58">
        <f>'Powerbi Source'!$G121/'Powerbi Source'!$C121</f>
        <v>1316.714286</v>
      </c>
      <c r="N121" s="58">
        <f>'Powerbi Source'!$G121/'Powerbi Source'!$I121</f>
        <v>632.1759236</v>
      </c>
      <c r="O121" s="58">
        <f>IFERROR('Powerbi Source'!$K121/'Powerbi Source'!$G121,0)</f>
        <v>8.223046254</v>
      </c>
    </row>
    <row r="122" ht="14.25" customHeight="1">
      <c r="A122" s="58">
        <v>2025.0</v>
      </c>
      <c r="B122" s="58">
        <v>8.0</v>
      </c>
      <c r="C122" s="59">
        <v>21.0</v>
      </c>
      <c r="D122" s="58" t="s">
        <v>15</v>
      </c>
      <c r="E122" s="58" t="s">
        <v>42</v>
      </c>
      <c r="F122" s="58" t="s">
        <v>85</v>
      </c>
      <c r="G122" s="59">
        <f>'Hours &amp; volumes per subgroup'!J50/90</f>
        <v>28345.232</v>
      </c>
      <c r="H122" s="59">
        <f>H124*'Powerbi Source'!$G122/G124</f>
        <v>9343.859074</v>
      </c>
      <c r="I122" s="60">
        <f>I124*'Powerbi Source'!$G122/G124</f>
        <v>55.61820877</v>
      </c>
      <c r="J122" s="60">
        <v>30.94292773962377</v>
      </c>
      <c r="K122" s="58">
        <f>'Powerbi Source'!$H122*'Powerbi Source'!$J122</f>
        <v>289126.3561</v>
      </c>
      <c r="L122" s="58">
        <f>'Powerbi Source'!$G122/'Powerbi Source'!$H122</f>
        <v>3.033568013</v>
      </c>
      <c r="M122" s="58">
        <f>'Powerbi Source'!$G122/'Powerbi Source'!$C122</f>
        <v>1349.772952</v>
      </c>
      <c r="N122" s="58">
        <f>'Powerbi Source'!$G122/'Powerbi Source'!$I122</f>
        <v>509.6394261</v>
      </c>
      <c r="O122" s="58">
        <f>IFERROR('Powerbi Source'!$K122/'Powerbi Source'!$G122,0)</f>
        <v>10.20017603</v>
      </c>
    </row>
    <row r="123" ht="14.25" customHeight="1">
      <c r="A123" s="58">
        <v>2025.0</v>
      </c>
      <c r="B123" s="58">
        <v>8.0</v>
      </c>
      <c r="C123" s="59">
        <v>21.0</v>
      </c>
      <c r="D123" s="58" t="s">
        <v>18</v>
      </c>
      <c r="E123" s="58" t="s">
        <v>42</v>
      </c>
      <c r="F123" s="58" t="s">
        <v>85</v>
      </c>
      <c r="G123" s="59">
        <f>'Hours &amp; volumes per subgroup'!J53</f>
        <v>29257</v>
      </c>
      <c r="H123" s="59">
        <f>H125*'Powerbi Source'!$G123/G125</f>
        <v>7775.012962</v>
      </c>
      <c r="I123" s="60">
        <f>I125*'Powerbi Source'!$G123/G125</f>
        <v>46.27983906</v>
      </c>
      <c r="J123" s="60">
        <v>30.94292773962377</v>
      </c>
      <c r="K123" s="58">
        <f>'Powerbi Source'!$H123*'Powerbi Source'!$J123</f>
        <v>240581.6643</v>
      </c>
      <c r="L123" s="58">
        <f>'Powerbi Source'!$G123/'Powerbi Source'!$H123</f>
        <v>3.762951926</v>
      </c>
      <c r="M123" s="58">
        <f>'Powerbi Source'!$G123/'Powerbi Source'!$C123</f>
        <v>1393.190476</v>
      </c>
      <c r="N123" s="58">
        <f>'Powerbi Source'!$G123/'Powerbi Source'!$I123</f>
        <v>632.1759236</v>
      </c>
      <c r="O123" s="58">
        <f>IFERROR('Powerbi Source'!$K123/'Powerbi Source'!$G123,0)</f>
        <v>8.223046254</v>
      </c>
    </row>
    <row r="124" ht="14.25" customHeight="1">
      <c r="A124" s="58">
        <v>2025.0</v>
      </c>
      <c r="B124" s="58">
        <v>8.0</v>
      </c>
      <c r="C124" s="59">
        <v>21.0</v>
      </c>
      <c r="D124" s="58" t="s">
        <v>15</v>
      </c>
      <c r="E124" s="58" t="s">
        <v>42</v>
      </c>
      <c r="F124" s="58" t="s">
        <v>32</v>
      </c>
      <c r="G124" s="59">
        <f t="shared" ref="G124:G125" si="17">G120+G122</f>
        <v>56457.107</v>
      </c>
      <c r="H124" s="59">
        <f>'Hours &amp; volumes per subgroup'!J10</f>
        <v>18610.79322</v>
      </c>
      <c r="I124" s="60">
        <f>'Hours &amp; volumes per subgroup'!J28</f>
        <v>110.7785311</v>
      </c>
      <c r="J124" s="60">
        <v>30.94292773962377</v>
      </c>
      <c r="K124" s="58">
        <f>'Powerbi Source'!$H124*'Powerbi Source'!$J124</f>
        <v>575872.4298</v>
      </c>
      <c r="L124" s="58">
        <f>'Powerbi Source'!$G124/'Powerbi Source'!$H124</f>
        <v>3.033568013</v>
      </c>
      <c r="M124" s="58">
        <f>'Powerbi Source'!$G124/'Powerbi Source'!$C124</f>
        <v>2688.433667</v>
      </c>
      <c r="N124" s="58">
        <f>'Powerbi Source'!$G124/'Powerbi Source'!$I124</f>
        <v>509.6394261</v>
      </c>
      <c r="O124" s="58">
        <f>IFERROR('Powerbi Source'!$K124/'Powerbi Source'!$G124,0)</f>
        <v>10.20017603</v>
      </c>
    </row>
    <row r="125" ht="14.25" customHeight="1">
      <c r="A125" s="58">
        <v>2025.0</v>
      </c>
      <c r="B125" s="58">
        <v>8.0</v>
      </c>
      <c r="C125" s="59">
        <v>21.0</v>
      </c>
      <c r="D125" s="58" t="s">
        <v>18</v>
      </c>
      <c r="E125" s="58" t="s">
        <v>42</v>
      </c>
      <c r="F125" s="58" t="s">
        <v>32</v>
      </c>
      <c r="G125" s="59">
        <f t="shared" si="17"/>
        <v>56908</v>
      </c>
      <c r="H125" s="59">
        <f>'Hours &amp; volumes per subgroup'!J11</f>
        <v>15123.23333</v>
      </c>
      <c r="I125" s="60">
        <f>'Hours &amp; volumes per subgroup'!J29</f>
        <v>90.01924603</v>
      </c>
      <c r="J125" s="60">
        <v>30.94292773962377</v>
      </c>
      <c r="K125" s="58">
        <f>'Powerbi Source'!$H125*'Powerbi Source'!$J125</f>
        <v>467957.1162</v>
      </c>
      <c r="L125" s="58">
        <f>'Powerbi Source'!$G125/'Powerbi Source'!$H125</f>
        <v>3.762951926</v>
      </c>
      <c r="M125" s="58">
        <f>'Powerbi Source'!$G125/'Powerbi Source'!$C125</f>
        <v>2709.904762</v>
      </c>
      <c r="N125" s="58">
        <f>'Powerbi Source'!$G125/'Powerbi Source'!$I125</f>
        <v>632.1759236</v>
      </c>
      <c r="O125" s="58">
        <f>IFERROR('Powerbi Source'!$K125/'Powerbi Source'!$G125,0)</f>
        <v>8.223046254</v>
      </c>
    </row>
    <row r="126" ht="14.25" customHeight="1">
      <c r="A126" s="58">
        <v>2025.0</v>
      </c>
      <c r="B126" s="58">
        <v>8.0</v>
      </c>
      <c r="C126" s="59">
        <v>21.0</v>
      </c>
      <c r="D126" s="58" t="s">
        <v>15</v>
      </c>
      <c r="E126" s="58" t="s">
        <v>41</v>
      </c>
      <c r="F126" s="58" t="s">
        <v>32</v>
      </c>
      <c r="G126" s="59">
        <f>'Hours &amp; volumes per subgroup'!J55</f>
        <v>219409</v>
      </c>
      <c r="H126" s="59">
        <f>'Hours &amp; volumes per subgroup'!J6</f>
        <v>6499.3122</v>
      </c>
      <c r="I126" s="60">
        <f>'Hours &amp; volumes per subgroup'!J24</f>
        <v>38.68638214</v>
      </c>
      <c r="J126" s="60">
        <v>30.94292773962377</v>
      </c>
      <c r="K126" s="58">
        <f>'Powerbi Source'!$H126*'Powerbi Source'!$J126</f>
        <v>201107.7478</v>
      </c>
      <c r="L126" s="58">
        <f>'Powerbi Source'!$G126/'Powerbi Source'!$H126</f>
        <v>33.75880297</v>
      </c>
      <c r="M126" s="58">
        <f>'Powerbi Source'!$G126/'Powerbi Source'!$C126</f>
        <v>10448.04762</v>
      </c>
      <c r="N126" s="58">
        <f>'Powerbi Source'!$G126/'Powerbi Source'!$I126</f>
        <v>5671.478899</v>
      </c>
      <c r="O126" s="58">
        <f>IFERROR('Powerbi Source'!$K126/'Powerbi Source'!$G126,0)</f>
        <v>0.9165884159</v>
      </c>
    </row>
    <row r="127" ht="14.25" customHeight="1">
      <c r="A127" s="58">
        <v>2025.0</v>
      </c>
      <c r="B127" s="58">
        <v>8.0</v>
      </c>
      <c r="C127" s="59">
        <v>21.0</v>
      </c>
      <c r="D127" s="58" t="s">
        <v>18</v>
      </c>
      <c r="E127" s="58" t="s">
        <v>41</v>
      </c>
      <c r="F127" s="58" t="s">
        <v>32</v>
      </c>
      <c r="G127" s="59">
        <f>'Hours &amp; volumes per subgroup'!J56</f>
        <v>197524</v>
      </c>
      <c r="H127" s="59">
        <f>'Hours &amp; volumes per subgroup'!J7</f>
        <v>6269.083333</v>
      </c>
      <c r="I127" s="60">
        <f>'Hours &amp; volumes per subgroup'!J25</f>
        <v>37.31597222</v>
      </c>
      <c r="J127" s="60">
        <v>30.94292773962377</v>
      </c>
      <c r="K127" s="58">
        <f>'Powerbi Source'!$H127*'Powerbi Source'!$J127</f>
        <v>193983.7926</v>
      </c>
      <c r="L127" s="58">
        <f>'Powerbi Source'!$G127/'Powerbi Source'!$H127</f>
        <v>31.50763668</v>
      </c>
      <c r="M127" s="58">
        <f>'Powerbi Source'!$G127/'Powerbi Source'!$C127</f>
        <v>9405.904762</v>
      </c>
      <c r="N127" s="58">
        <f>'Powerbi Source'!$G127/'Powerbi Source'!$I127</f>
        <v>5293.282963</v>
      </c>
      <c r="O127" s="58">
        <f>IFERROR('Powerbi Source'!$K127/'Powerbi Source'!$G127,0)</f>
        <v>0.9820770771</v>
      </c>
    </row>
    <row r="128" ht="14.25" customHeight="1">
      <c r="A128" s="58">
        <v>2025.0</v>
      </c>
      <c r="B128" s="58">
        <v>8.0</v>
      </c>
      <c r="C128" s="59">
        <v>21.0</v>
      </c>
      <c r="D128" s="58" t="s">
        <v>15</v>
      </c>
      <c r="E128" s="58" t="s">
        <v>86</v>
      </c>
      <c r="F128" s="58" t="s">
        <v>32</v>
      </c>
      <c r="G128" s="59">
        <v>0.0</v>
      </c>
      <c r="H128" s="59">
        <f>'Hours &amp; volumes per subgroup'!J14</f>
        <v>2299.756625</v>
      </c>
      <c r="I128" s="60">
        <f>'Hours &amp; volumes per subgroup'!J32</f>
        <v>13.68902753</v>
      </c>
      <c r="J128" s="60">
        <v>30.94292773962377</v>
      </c>
      <c r="K128" s="58">
        <f>'Powerbi Source'!$H128*'Powerbi Source'!$J128</f>
        <v>71161.20305</v>
      </c>
      <c r="L128" s="58">
        <f>'Powerbi Source'!$G128/'Powerbi Source'!$H128</f>
        <v>0</v>
      </c>
      <c r="M128" s="58">
        <f>'Powerbi Source'!$G128/'Powerbi Source'!$C128</f>
        <v>0</v>
      </c>
      <c r="N128" s="58">
        <f>'Powerbi Source'!$G128/'Powerbi Source'!$I128</f>
        <v>0</v>
      </c>
      <c r="O128" s="58">
        <f>IFERROR('Powerbi Source'!$K128/'Powerbi Source'!$G128,0)</f>
        <v>0</v>
      </c>
    </row>
    <row r="129" ht="14.25" customHeight="1">
      <c r="A129" s="58">
        <v>2025.0</v>
      </c>
      <c r="B129" s="58">
        <v>8.0</v>
      </c>
      <c r="C129" s="59">
        <v>21.0</v>
      </c>
      <c r="D129" s="58" t="s">
        <v>18</v>
      </c>
      <c r="E129" s="58" t="s">
        <v>86</v>
      </c>
      <c r="F129" s="58" t="s">
        <v>32</v>
      </c>
      <c r="G129" s="59">
        <v>0.0</v>
      </c>
      <c r="H129" s="59">
        <f>'Hours &amp; volumes per subgroup'!J15</f>
        <v>916.1</v>
      </c>
      <c r="I129" s="60">
        <f>'Hours &amp; volumes per subgroup'!J33</f>
        <v>5.45297619</v>
      </c>
      <c r="J129" s="60">
        <v>30.94292773962377</v>
      </c>
      <c r="K129" s="58">
        <f>'Powerbi Source'!$H129*'Powerbi Source'!$J129</f>
        <v>28346.8161</v>
      </c>
      <c r="L129" s="58">
        <f>'Powerbi Source'!$G129/'Powerbi Source'!$H129</f>
        <v>0</v>
      </c>
      <c r="M129" s="58">
        <f>'Powerbi Source'!$G129/'Powerbi Source'!$C129</f>
        <v>0</v>
      </c>
      <c r="N129" s="58">
        <f>'Powerbi Source'!$G129/'Powerbi Source'!$I129</f>
        <v>0</v>
      </c>
      <c r="O129" s="58">
        <f>IFERROR('Powerbi Source'!$K129/'Powerbi Source'!$G129,0)</f>
        <v>0</v>
      </c>
    </row>
    <row r="130" ht="14.25" customHeight="1">
      <c r="A130" s="58">
        <v>2025.0</v>
      </c>
      <c r="B130" s="58">
        <v>9.0</v>
      </c>
      <c r="C130" s="59">
        <v>22.0</v>
      </c>
      <c r="D130" s="58" t="s">
        <v>15</v>
      </c>
      <c r="E130" s="58" t="s">
        <v>37</v>
      </c>
      <c r="F130" s="58" t="s">
        <v>84</v>
      </c>
      <c r="G130" s="59">
        <f>'Hours &amp; volumes per subgroup'!K38</f>
        <v>11407</v>
      </c>
      <c r="H130" s="59">
        <f>H134*'Powerbi Source'!$G130/G134</f>
        <v>1959.368873</v>
      </c>
      <c r="I130" s="60">
        <f>I134*'Powerbi Source'!$G130/G134</f>
        <v>11.13277769</v>
      </c>
      <c r="J130" s="60">
        <v>30.862570683398854</v>
      </c>
      <c r="K130" s="58">
        <f>'Powerbi Source'!$H130*'Powerbi Source'!$J130</f>
        <v>60471.16033</v>
      </c>
      <c r="L130" s="58">
        <f>'Powerbi Source'!$G130/'Powerbi Source'!$H130</f>
        <v>5.821772592</v>
      </c>
      <c r="M130" s="58">
        <f>'Powerbi Source'!$G130/'Powerbi Source'!$C130</f>
        <v>518.5</v>
      </c>
      <c r="N130" s="58">
        <f>'Powerbi Source'!$G130/'Powerbi Source'!$I130</f>
        <v>1024.631976</v>
      </c>
      <c r="O130" s="58">
        <f>IFERROR('Powerbi Source'!$K130/'Powerbi Source'!$G130,0)</f>
        <v>5.301232605</v>
      </c>
    </row>
    <row r="131" ht="14.25" customHeight="1">
      <c r="A131" s="58">
        <v>2025.0</v>
      </c>
      <c r="B131" s="58">
        <v>9.0</v>
      </c>
      <c r="C131" s="59">
        <v>22.0</v>
      </c>
      <c r="D131" s="58" t="s">
        <v>18</v>
      </c>
      <c r="E131" s="58" t="s">
        <v>37</v>
      </c>
      <c r="F131" s="58" t="s">
        <v>84</v>
      </c>
      <c r="G131" s="59">
        <f>'Hours &amp; volumes per subgroup'!K39</f>
        <v>12731</v>
      </c>
      <c r="H131" s="59">
        <f>H135*'Powerbi Source'!$G131/G135</f>
        <v>2367.812367</v>
      </c>
      <c r="I131" s="60">
        <f>I135*'Powerbi Source'!$G131/G135</f>
        <v>13.45347936</v>
      </c>
      <c r="J131" s="60">
        <v>30.862570683398854</v>
      </c>
      <c r="K131" s="58">
        <f>'Powerbi Source'!$H131*'Powerbi Source'!$J131</f>
        <v>73076.77655</v>
      </c>
      <c r="L131" s="58">
        <f>'Powerbi Source'!$G131/'Powerbi Source'!$H131</f>
        <v>5.376692924</v>
      </c>
      <c r="M131" s="58">
        <f>'Powerbi Source'!$G131/'Powerbi Source'!$C131</f>
        <v>578.6818182</v>
      </c>
      <c r="N131" s="58">
        <f>'Powerbi Source'!$G131/'Powerbi Source'!$I131</f>
        <v>946.2979546</v>
      </c>
      <c r="O131" s="58">
        <f>IFERROR('Powerbi Source'!$K131/'Powerbi Source'!$G131,0)</f>
        <v>5.74006571</v>
      </c>
    </row>
    <row r="132" ht="14.25" customHeight="1">
      <c r="A132" s="58">
        <v>2025.0</v>
      </c>
      <c r="B132" s="58">
        <v>9.0</v>
      </c>
      <c r="C132" s="59">
        <v>22.0</v>
      </c>
      <c r="D132" s="58" t="s">
        <v>15</v>
      </c>
      <c r="E132" s="58" t="s">
        <v>37</v>
      </c>
      <c r="F132" s="58" t="s">
        <v>85</v>
      </c>
      <c r="G132" s="59">
        <f>'Hours &amp; volumes per subgroup'!K42</f>
        <v>9229</v>
      </c>
      <c r="H132" s="59">
        <f>H134*'Powerbi Source'!$G132/G134</f>
        <v>1585.256012</v>
      </c>
      <c r="I132" s="60">
        <f>I134*'Powerbi Source'!$G132/G134</f>
        <v>9.00713643</v>
      </c>
      <c r="J132" s="60">
        <v>30.862570683398854</v>
      </c>
      <c r="K132" s="58">
        <f>'Powerbi Source'!$H132*'Powerbi Source'!$J132</f>
        <v>48925.07571</v>
      </c>
      <c r="L132" s="58">
        <f>'Powerbi Source'!$G132/'Powerbi Source'!$H132</f>
        <v>5.821772592</v>
      </c>
      <c r="M132" s="58">
        <f>'Powerbi Source'!$G132/'Powerbi Source'!$C132</f>
        <v>419.5</v>
      </c>
      <c r="N132" s="58">
        <f>'Powerbi Source'!$G132/'Powerbi Source'!$I132</f>
        <v>1024.631976</v>
      </c>
      <c r="O132" s="58">
        <f>IFERROR('Powerbi Source'!$K132/'Powerbi Source'!$G132,0)</f>
        <v>5.301232605</v>
      </c>
    </row>
    <row r="133" ht="14.25" customHeight="1">
      <c r="A133" s="58">
        <v>2025.0</v>
      </c>
      <c r="B133" s="58">
        <v>9.0</v>
      </c>
      <c r="C133" s="59">
        <v>22.0</v>
      </c>
      <c r="D133" s="58" t="s">
        <v>18</v>
      </c>
      <c r="E133" s="58" t="s">
        <v>37</v>
      </c>
      <c r="F133" s="58" t="s">
        <v>85</v>
      </c>
      <c r="G133" s="59">
        <f>'Hours &amp; volumes per subgroup'!K43</f>
        <v>11466</v>
      </c>
      <c r="H133" s="59">
        <f>H135*'Powerbi Source'!$G133/G135</f>
        <v>2132.537633</v>
      </c>
      <c r="I133" s="60">
        <f>I135*'Powerbi Source'!$G133/G135</f>
        <v>12.1166911</v>
      </c>
      <c r="J133" s="60">
        <v>30.862570683398854</v>
      </c>
      <c r="K133" s="58">
        <f>'Powerbi Source'!$H133*'Powerbi Source'!$J133</f>
        <v>65815.59343</v>
      </c>
      <c r="L133" s="58">
        <f>'Powerbi Source'!$G133/'Powerbi Source'!$H133</f>
        <v>5.376692924</v>
      </c>
      <c r="M133" s="58">
        <f>'Powerbi Source'!$G133/'Powerbi Source'!$C133</f>
        <v>521.1818182</v>
      </c>
      <c r="N133" s="58">
        <f>'Powerbi Source'!$G133/'Powerbi Source'!$I133</f>
        <v>946.2979546</v>
      </c>
      <c r="O133" s="58">
        <f>IFERROR('Powerbi Source'!$K133/'Powerbi Source'!$G133,0)</f>
        <v>5.74006571</v>
      </c>
    </row>
    <row r="134" ht="14.25" customHeight="1">
      <c r="A134" s="58">
        <v>2025.0</v>
      </c>
      <c r="B134" s="58">
        <v>9.0</v>
      </c>
      <c r="C134" s="59">
        <v>22.0</v>
      </c>
      <c r="D134" s="58" t="s">
        <v>15</v>
      </c>
      <c r="E134" s="58" t="s">
        <v>37</v>
      </c>
      <c r="F134" s="58" t="s">
        <v>32</v>
      </c>
      <c r="G134" s="59">
        <f t="shared" ref="G134:G135" si="18">G130+G132</f>
        <v>20636</v>
      </c>
      <c r="H134" s="59">
        <f>'Hours &amp; volumes per subgroup'!K2</f>
        <v>3544.624884</v>
      </c>
      <c r="I134" s="60">
        <f>'Hours &amp; volumes per subgroup'!K20</f>
        <v>20.13991412</v>
      </c>
      <c r="J134" s="60">
        <v>30.862570683398854</v>
      </c>
      <c r="K134" s="58">
        <f>'Powerbi Source'!$H134*'Powerbi Source'!$J134</f>
        <v>109396.236</v>
      </c>
      <c r="L134" s="58">
        <f>'Powerbi Source'!$G134/'Powerbi Source'!$H134</f>
        <v>5.821772592</v>
      </c>
      <c r="M134" s="58">
        <f>'Powerbi Source'!$G134/'Powerbi Source'!$C134</f>
        <v>938</v>
      </c>
      <c r="N134" s="58">
        <f>'Powerbi Source'!$G134/'Powerbi Source'!$I134</f>
        <v>1024.631976</v>
      </c>
      <c r="O134" s="58">
        <f>IFERROR('Powerbi Source'!$K134/'Powerbi Source'!$G134,0)</f>
        <v>5.301232605</v>
      </c>
    </row>
    <row r="135" ht="14.25" customHeight="1">
      <c r="A135" s="58">
        <v>2025.0</v>
      </c>
      <c r="B135" s="58">
        <v>9.0</v>
      </c>
      <c r="C135" s="59">
        <v>22.0</v>
      </c>
      <c r="D135" s="58" t="s">
        <v>18</v>
      </c>
      <c r="E135" s="58" t="s">
        <v>37</v>
      </c>
      <c r="F135" s="58" t="s">
        <v>32</v>
      </c>
      <c r="G135" s="59">
        <f t="shared" si="18"/>
        <v>24197</v>
      </c>
      <c r="H135" s="59">
        <f>'Hours &amp; volumes per subgroup'!K3</f>
        <v>4500.35</v>
      </c>
      <c r="I135" s="60">
        <f>'Hours &amp; volumes per subgroup'!K21</f>
        <v>25.57017045</v>
      </c>
      <c r="J135" s="60">
        <v>30.862570683398854</v>
      </c>
      <c r="K135" s="58">
        <f>'Powerbi Source'!$H135*'Powerbi Source'!$J135</f>
        <v>138892.37</v>
      </c>
      <c r="L135" s="58">
        <f>'Powerbi Source'!$G135/'Powerbi Source'!$H135</f>
        <v>5.376692924</v>
      </c>
      <c r="M135" s="58">
        <f>'Powerbi Source'!$G135/'Powerbi Source'!$C135</f>
        <v>1099.863636</v>
      </c>
      <c r="N135" s="58">
        <f>'Powerbi Source'!$G135/'Powerbi Source'!$I135</f>
        <v>946.2979546</v>
      </c>
      <c r="O135" s="58">
        <f>IFERROR('Powerbi Source'!$K135/'Powerbi Source'!$G135,0)</f>
        <v>5.74006571</v>
      </c>
    </row>
    <row r="136" ht="14.25" customHeight="1">
      <c r="A136" s="58">
        <v>2025.0</v>
      </c>
      <c r="B136" s="58">
        <v>9.0</v>
      </c>
      <c r="C136" s="59">
        <v>22.0</v>
      </c>
      <c r="D136" s="58" t="s">
        <v>15</v>
      </c>
      <c r="E136" s="58" t="s">
        <v>42</v>
      </c>
      <c r="F136" s="58" t="s">
        <v>84</v>
      </c>
      <c r="G136" s="59">
        <f>'Hours &amp; volumes per subgroup'!K46</f>
        <v>28111.875</v>
      </c>
      <c r="H136" s="59">
        <f>H140*'Powerbi Source'!$G136/G140</f>
        <v>9230.585013</v>
      </c>
      <c r="I136" s="60">
        <f>I140*'Powerbi Source'!$G136/G140</f>
        <v>52.44650576</v>
      </c>
      <c r="J136" s="60">
        <v>30.862570683398854</v>
      </c>
      <c r="K136" s="58">
        <f>'Powerbi Source'!$H136*'Powerbi Source'!$J136</f>
        <v>284879.5824</v>
      </c>
      <c r="L136" s="58">
        <f>'Powerbi Source'!$G136/'Powerbi Source'!$H136</f>
        <v>3.045513904</v>
      </c>
      <c r="M136" s="58">
        <f>'Powerbi Source'!$G136/'Powerbi Source'!$C136</f>
        <v>1277.8125</v>
      </c>
      <c r="N136" s="58">
        <f>'Powerbi Source'!$G136/'Powerbi Source'!$I136</f>
        <v>536.0104471</v>
      </c>
      <c r="O136" s="58">
        <f>IFERROR('Powerbi Source'!$K136/'Powerbi Source'!$G136,0)</f>
        <v>10.13378092</v>
      </c>
    </row>
    <row r="137" ht="14.25" customHeight="1">
      <c r="A137" s="58">
        <v>2025.0</v>
      </c>
      <c r="B137" s="58">
        <v>9.0</v>
      </c>
      <c r="C137" s="59">
        <v>22.0</v>
      </c>
      <c r="D137" s="58" t="s">
        <v>18</v>
      </c>
      <c r="E137" s="58" t="s">
        <v>42</v>
      </c>
      <c r="F137" s="58" t="s">
        <v>84</v>
      </c>
      <c r="G137" s="59">
        <f>'Hours &amp; volumes per subgroup'!K47</f>
        <v>28250</v>
      </c>
      <c r="H137" s="59">
        <f>H141*'Powerbi Source'!$G137/G141</f>
        <v>7398.906702</v>
      </c>
      <c r="I137" s="60">
        <f>I141*'Powerbi Source'!$G137/G141</f>
        <v>42.03924262</v>
      </c>
      <c r="J137" s="60">
        <v>30.862570683398854</v>
      </c>
      <c r="K137" s="58">
        <f>'Powerbi Source'!$H137*'Powerbi Source'!$J137</f>
        <v>228349.2811</v>
      </c>
      <c r="L137" s="58">
        <f>'Powerbi Source'!$G137/'Powerbi Source'!$H137</f>
        <v>3.81813167</v>
      </c>
      <c r="M137" s="58">
        <f>'Powerbi Source'!$G137/'Powerbi Source'!$C137</f>
        <v>1284.090909</v>
      </c>
      <c r="N137" s="58">
        <f>'Powerbi Source'!$G137/'Powerbi Source'!$I137</f>
        <v>671.9911739</v>
      </c>
      <c r="O137" s="58">
        <f>IFERROR('Powerbi Source'!$K137/'Powerbi Source'!$G137,0)</f>
        <v>8.083160392</v>
      </c>
    </row>
    <row r="138" ht="14.25" customHeight="1">
      <c r="A138" s="58">
        <v>2025.0</v>
      </c>
      <c r="B138" s="58">
        <v>9.0</v>
      </c>
      <c r="C138" s="59">
        <v>22.0</v>
      </c>
      <c r="D138" s="58" t="s">
        <v>15</v>
      </c>
      <c r="E138" s="58" t="s">
        <v>42</v>
      </c>
      <c r="F138" s="58" t="s">
        <v>85</v>
      </c>
      <c r="G138" s="59">
        <f>'Hours &amp; volumes per subgroup'!K50/90</f>
        <v>28345.232</v>
      </c>
      <c r="H138" s="59">
        <f>H140*'Powerbi Source'!$G138/G140</f>
        <v>9307.208206</v>
      </c>
      <c r="I138" s="60">
        <f>I140*'Powerbi Source'!$G138/G140</f>
        <v>52.88186481</v>
      </c>
      <c r="J138" s="60">
        <v>30.862570683398854</v>
      </c>
      <c r="K138" s="58">
        <f>'Powerbi Source'!$H138*'Powerbi Source'!$J138</f>
        <v>287244.3711</v>
      </c>
      <c r="L138" s="58">
        <f>'Powerbi Source'!$G138/'Powerbi Source'!$H138</f>
        <v>3.045513904</v>
      </c>
      <c r="M138" s="58">
        <f>'Powerbi Source'!$G138/'Powerbi Source'!$C138</f>
        <v>1288.419636</v>
      </c>
      <c r="N138" s="58">
        <f>'Powerbi Source'!$G138/'Powerbi Source'!$I138</f>
        <v>536.0104471</v>
      </c>
      <c r="O138" s="58">
        <f>IFERROR('Powerbi Source'!$K138/'Powerbi Source'!$G138,0)</f>
        <v>10.13378092</v>
      </c>
    </row>
    <row r="139" ht="14.25" customHeight="1">
      <c r="A139" s="58">
        <v>2025.0</v>
      </c>
      <c r="B139" s="58">
        <v>9.0</v>
      </c>
      <c r="C139" s="59">
        <v>22.0</v>
      </c>
      <c r="D139" s="58" t="s">
        <v>18</v>
      </c>
      <c r="E139" s="58" t="s">
        <v>42</v>
      </c>
      <c r="F139" s="58" t="s">
        <v>85</v>
      </c>
      <c r="G139" s="59">
        <f>'Hours &amp; volumes per subgroup'!K53</f>
        <v>30306</v>
      </c>
      <c r="H139" s="59">
        <f>H141*'Powerbi Source'!$G139/G141</f>
        <v>7937.389965</v>
      </c>
      <c r="I139" s="60">
        <f>I141*'Powerbi Source'!$G139/G141</f>
        <v>45.09880662</v>
      </c>
      <c r="J139" s="60">
        <v>30.862570683398854</v>
      </c>
      <c r="K139" s="58">
        <f>'Powerbi Source'!$H139*'Powerbi Source'!$J139</f>
        <v>244968.2588</v>
      </c>
      <c r="L139" s="58">
        <f>'Powerbi Source'!$G139/'Powerbi Source'!$H139</f>
        <v>3.81813167</v>
      </c>
      <c r="M139" s="58">
        <f>'Powerbi Source'!$G139/'Powerbi Source'!$C139</f>
        <v>1377.545455</v>
      </c>
      <c r="N139" s="58">
        <f>'Powerbi Source'!$G139/'Powerbi Source'!$I139</f>
        <v>671.9911739</v>
      </c>
      <c r="O139" s="58">
        <f>IFERROR('Powerbi Source'!$K139/'Powerbi Source'!$G139,0)</f>
        <v>8.083160392</v>
      </c>
    </row>
    <row r="140" ht="14.25" customHeight="1">
      <c r="A140" s="58">
        <v>2025.0</v>
      </c>
      <c r="B140" s="58">
        <v>9.0</v>
      </c>
      <c r="C140" s="59">
        <v>22.0</v>
      </c>
      <c r="D140" s="58" t="s">
        <v>15</v>
      </c>
      <c r="E140" s="58" t="s">
        <v>42</v>
      </c>
      <c r="F140" s="58" t="s">
        <v>32</v>
      </c>
      <c r="G140" s="59">
        <f t="shared" ref="G140:G141" si="19">G136+G138</f>
        <v>56457.107</v>
      </c>
      <c r="H140" s="59">
        <f>'Hours &amp; volumes per subgroup'!K10</f>
        <v>18537.79322</v>
      </c>
      <c r="I140" s="60">
        <f>'Hours &amp; volumes per subgroup'!K28</f>
        <v>105.3283706</v>
      </c>
      <c r="J140" s="60">
        <v>30.862570683398854</v>
      </c>
      <c r="K140" s="58">
        <f>'Powerbi Source'!$H140*'Powerbi Source'!$J140</f>
        <v>572123.9535</v>
      </c>
      <c r="L140" s="58">
        <f>'Powerbi Source'!$G140/'Powerbi Source'!$H140</f>
        <v>3.045513904</v>
      </c>
      <c r="M140" s="58">
        <f>'Powerbi Source'!$G140/'Powerbi Source'!$C140</f>
        <v>2566.232136</v>
      </c>
      <c r="N140" s="58">
        <f>'Powerbi Source'!$G140/'Powerbi Source'!$I140</f>
        <v>536.0104471</v>
      </c>
      <c r="O140" s="58">
        <f>IFERROR('Powerbi Source'!$K140/'Powerbi Source'!$G140,0)</f>
        <v>10.13378092</v>
      </c>
    </row>
    <row r="141" ht="14.25" customHeight="1">
      <c r="A141" s="58">
        <v>2025.0</v>
      </c>
      <c r="B141" s="58">
        <v>9.0</v>
      </c>
      <c r="C141" s="59">
        <v>22.0</v>
      </c>
      <c r="D141" s="58" t="s">
        <v>18</v>
      </c>
      <c r="E141" s="58" t="s">
        <v>42</v>
      </c>
      <c r="F141" s="58" t="s">
        <v>32</v>
      </c>
      <c r="G141" s="59">
        <f t="shared" si="19"/>
        <v>58556</v>
      </c>
      <c r="H141" s="59">
        <f>'Hours &amp; volumes per subgroup'!K11</f>
        <v>15336.29667</v>
      </c>
      <c r="I141" s="60">
        <f>'Hours &amp; volumes per subgroup'!K29</f>
        <v>87.13804924</v>
      </c>
      <c r="J141" s="60">
        <v>30.862570683398854</v>
      </c>
      <c r="K141" s="58">
        <f>'Powerbi Source'!$H141*'Powerbi Source'!$J141</f>
        <v>473317.5399</v>
      </c>
      <c r="L141" s="58">
        <f>'Powerbi Source'!$G141/'Powerbi Source'!$H141</f>
        <v>3.81813167</v>
      </c>
      <c r="M141" s="58">
        <f>'Powerbi Source'!$G141/'Powerbi Source'!$C141</f>
        <v>2661.636364</v>
      </c>
      <c r="N141" s="58">
        <f>'Powerbi Source'!$G141/'Powerbi Source'!$I141</f>
        <v>671.9911739</v>
      </c>
      <c r="O141" s="58">
        <f>IFERROR('Powerbi Source'!$K141/'Powerbi Source'!$G141,0)</f>
        <v>8.083160392</v>
      </c>
    </row>
    <row r="142" ht="14.25" customHeight="1">
      <c r="A142" s="58">
        <v>2025.0</v>
      </c>
      <c r="B142" s="58">
        <v>9.0</v>
      </c>
      <c r="C142" s="59">
        <v>22.0</v>
      </c>
      <c r="D142" s="58" t="s">
        <v>15</v>
      </c>
      <c r="E142" s="58" t="s">
        <v>41</v>
      </c>
      <c r="F142" s="58" t="s">
        <v>32</v>
      </c>
      <c r="G142" s="59">
        <f>'Hours &amp; volumes per subgroup'!K55</f>
        <v>219409</v>
      </c>
      <c r="H142" s="59">
        <f>'Hours &amp; volumes per subgroup'!K6</f>
        <v>6499.3122</v>
      </c>
      <c r="I142" s="60">
        <f>'Hours &amp; volumes per subgroup'!K24</f>
        <v>36.92791023</v>
      </c>
      <c r="J142" s="60">
        <v>30.862570683398854</v>
      </c>
      <c r="K142" s="58">
        <f>'Powerbi Source'!$H142*'Powerbi Source'!$J142</f>
        <v>200585.4822</v>
      </c>
      <c r="L142" s="58">
        <f>'Powerbi Source'!$G142/'Powerbi Source'!$H142</f>
        <v>33.75880297</v>
      </c>
      <c r="M142" s="58">
        <f>'Powerbi Source'!$G142/'Powerbi Source'!$C142</f>
        <v>9973.136364</v>
      </c>
      <c r="N142" s="58">
        <f>'Powerbi Source'!$G142/'Powerbi Source'!$I142</f>
        <v>5941.549323</v>
      </c>
      <c r="O142" s="58">
        <f>IFERROR('Powerbi Source'!$K142/'Powerbi Source'!$G142,0)</f>
        <v>0.914208087</v>
      </c>
    </row>
    <row r="143" ht="14.25" customHeight="1">
      <c r="A143" s="58">
        <v>2025.0</v>
      </c>
      <c r="B143" s="58">
        <v>9.0</v>
      </c>
      <c r="C143" s="59">
        <v>22.0</v>
      </c>
      <c r="D143" s="58" t="s">
        <v>18</v>
      </c>
      <c r="E143" s="58" t="s">
        <v>41</v>
      </c>
      <c r="F143" s="58" t="s">
        <v>32</v>
      </c>
      <c r="G143" s="59">
        <f>'Hours &amp; volumes per subgroup'!K56</f>
        <v>188935</v>
      </c>
      <c r="H143" s="59">
        <f>'Hours &amp; volumes per subgroup'!K7</f>
        <v>5680.116667</v>
      </c>
      <c r="I143" s="60">
        <f>'Hours &amp; volumes per subgroup'!K25</f>
        <v>32.27339015</v>
      </c>
      <c r="J143" s="60">
        <v>30.862570683398854</v>
      </c>
      <c r="K143" s="58">
        <f>'Powerbi Source'!$H143*'Powerbi Source'!$J143</f>
        <v>175303.0021</v>
      </c>
      <c r="L143" s="58">
        <f>'Powerbi Source'!$G143/'Powerbi Source'!$H143</f>
        <v>33.26252102</v>
      </c>
      <c r="M143" s="58">
        <f>'Powerbi Source'!$G143/'Powerbi Source'!$C143</f>
        <v>8587.954545</v>
      </c>
      <c r="N143" s="58">
        <f>'Powerbi Source'!$G143/'Powerbi Source'!$I143</f>
        <v>5854.203699</v>
      </c>
      <c r="O143" s="58">
        <f>IFERROR('Powerbi Source'!$K143/'Powerbi Source'!$G143,0)</f>
        <v>0.927848213</v>
      </c>
    </row>
    <row r="144" ht="14.25" customHeight="1">
      <c r="A144" s="58">
        <v>2025.0</v>
      </c>
      <c r="B144" s="58">
        <v>9.0</v>
      </c>
      <c r="C144" s="59">
        <v>22.0</v>
      </c>
      <c r="D144" s="58" t="s">
        <v>15</v>
      </c>
      <c r="E144" s="58" t="s">
        <v>86</v>
      </c>
      <c r="F144" s="58" t="s">
        <v>32</v>
      </c>
      <c r="G144" s="59">
        <v>0.0</v>
      </c>
      <c r="H144" s="59">
        <f>'Hours &amp; volumes per subgroup'!K14</f>
        <v>2299.756625</v>
      </c>
      <c r="I144" s="60">
        <f>'Hours &amp; volumes per subgroup'!K32</f>
        <v>13.066799</v>
      </c>
      <c r="J144" s="60">
        <v>30.862570683398854</v>
      </c>
      <c r="K144" s="58">
        <f>'Powerbi Source'!$H144*'Powerbi Source'!$J144</f>
        <v>70976.40138</v>
      </c>
      <c r="L144" s="58">
        <f>'Powerbi Source'!$G144/'Powerbi Source'!$H144</f>
        <v>0</v>
      </c>
      <c r="M144" s="58">
        <f>'Powerbi Source'!$G144/'Powerbi Source'!$C144</f>
        <v>0</v>
      </c>
      <c r="N144" s="58">
        <f>'Powerbi Source'!$G144/'Powerbi Source'!$I144</f>
        <v>0</v>
      </c>
      <c r="O144" s="58">
        <f>IFERROR('Powerbi Source'!$K144/'Powerbi Source'!$G144,0)</f>
        <v>0</v>
      </c>
    </row>
    <row r="145" ht="14.25" customHeight="1">
      <c r="A145" s="58">
        <v>2025.0</v>
      </c>
      <c r="B145" s="58">
        <v>9.0</v>
      </c>
      <c r="C145" s="59">
        <v>22.0</v>
      </c>
      <c r="D145" s="58" t="s">
        <v>18</v>
      </c>
      <c r="E145" s="58" t="s">
        <v>86</v>
      </c>
      <c r="F145" s="58" t="s">
        <v>32</v>
      </c>
      <c r="G145" s="59">
        <v>0.0</v>
      </c>
      <c r="H145" s="59">
        <f>'Hours &amp; volumes per subgroup'!K15</f>
        <v>962.27</v>
      </c>
      <c r="I145" s="60">
        <f>'Hours &amp; volumes per subgroup'!K33</f>
        <v>5.467443182</v>
      </c>
      <c r="J145" s="60">
        <v>30.862570683398854</v>
      </c>
      <c r="K145" s="58">
        <f>'Powerbi Source'!$H145*'Powerbi Source'!$J145</f>
        <v>29698.12589</v>
      </c>
      <c r="L145" s="58">
        <f>'Powerbi Source'!$G145/'Powerbi Source'!$H145</f>
        <v>0</v>
      </c>
      <c r="M145" s="58">
        <f>'Powerbi Source'!$G145/'Powerbi Source'!$C145</f>
        <v>0</v>
      </c>
      <c r="N145" s="58">
        <f>'Powerbi Source'!$G145/'Powerbi Source'!$I145</f>
        <v>0</v>
      </c>
      <c r="O145" s="58">
        <f>IFERROR('Powerbi Source'!$K145/'Powerbi Source'!$G145,0)</f>
        <v>0</v>
      </c>
    </row>
    <row r="146" ht="14.25" customHeight="1">
      <c r="A146" s="58">
        <v>2025.0</v>
      </c>
      <c r="B146" s="58">
        <v>10.0</v>
      </c>
      <c r="C146" s="59">
        <v>23.0</v>
      </c>
      <c r="D146" s="58" t="s">
        <v>15</v>
      </c>
      <c r="E146" s="58" t="s">
        <v>37</v>
      </c>
      <c r="F146" s="58" t="s">
        <v>84</v>
      </c>
      <c r="G146" s="59">
        <f>'Hours &amp; volumes per subgroup'!L38</f>
        <v>11407</v>
      </c>
      <c r="H146" s="59">
        <f>H150*'Powerbi Source'!$G146/G150</f>
        <v>1959.368873</v>
      </c>
      <c r="I146" s="60">
        <f>I150*'Powerbi Source'!$H146/H150</f>
        <v>10.64874387</v>
      </c>
      <c r="J146" s="60">
        <v>31.144104349048984</v>
      </c>
      <c r="K146" s="58">
        <f>'Powerbi Source'!$H146*'Powerbi Source'!$J146</f>
        <v>61022.78863</v>
      </c>
      <c r="L146" s="58">
        <f>'Powerbi Source'!$G146/'Powerbi Source'!$H146</f>
        <v>5.821772592</v>
      </c>
      <c r="M146" s="58">
        <f>'Powerbi Source'!$G146/'Powerbi Source'!$C146</f>
        <v>495.9565217</v>
      </c>
      <c r="N146" s="58">
        <f>'Powerbi Source'!$G146/'Powerbi Source'!$I146</f>
        <v>1071.206157</v>
      </c>
      <c r="O146" s="58">
        <f>IFERROR('Powerbi Source'!$K146/'Powerbi Source'!$G146,0)</f>
        <v>5.349591359</v>
      </c>
    </row>
    <row r="147" ht="14.25" customHeight="1">
      <c r="A147" s="58">
        <v>2025.0</v>
      </c>
      <c r="B147" s="58">
        <v>10.0</v>
      </c>
      <c r="C147" s="59">
        <v>23.0</v>
      </c>
      <c r="D147" s="58" t="s">
        <v>18</v>
      </c>
      <c r="E147" s="58" t="s">
        <v>37</v>
      </c>
      <c r="F147" s="58" t="s">
        <v>84</v>
      </c>
      <c r="G147" s="59">
        <f>'Hours &amp; volumes per subgroup'!L39</f>
        <v>14547</v>
      </c>
      <c r="H147" s="59">
        <f>H151*'Powerbi Source'!$G147/G151</f>
        <v>2527.043235</v>
      </c>
      <c r="I147" s="60">
        <f>I151*'Powerbi Source'!$H147/H151</f>
        <v>13.73393062</v>
      </c>
      <c r="J147" s="60">
        <v>31.144104349048984</v>
      </c>
      <c r="K147" s="58">
        <f>'Powerbi Source'!$H147*'Powerbi Source'!$J147</f>
        <v>78702.4982</v>
      </c>
      <c r="L147" s="58">
        <f>'Powerbi Source'!$G147/'Powerbi Source'!$H147</f>
        <v>5.756529924</v>
      </c>
      <c r="M147" s="58">
        <f>'Powerbi Source'!$G147/'Powerbi Source'!$C147</f>
        <v>632.4782609</v>
      </c>
      <c r="N147" s="58">
        <f>'Powerbi Source'!$G147/'Powerbi Source'!$I147</f>
        <v>1059.201506</v>
      </c>
      <c r="O147" s="58">
        <f>IFERROR('Powerbi Source'!$K147/'Powerbi Source'!$G147,0)</f>
        <v>5.410221915</v>
      </c>
    </row>
    <row r="148" ht="14.25" customHeight="1">
      <c r="A148" s="58">
        <v>2025.0</v>
      </c>
      <c r="B148" s="58">
        <v>10.0</v>
      </c>
      <c r="C148" s="59">
        <v>23.0</v>
      </c>
      <c r="D148" s="58" t="s">
        <v>15</v>
      </c>
      <c r="E148" s="58" t="s">
        <v>37</v>
      </c>
      <c r="F148" s="58" t="s">
        <v>85</v>
      </c>
      <c r="G148" s="59">
        <f>'Hours &amp; volumes per subgroup'!L42</f>
        <v>9229</v>
      </c>
      <c r="H148" s="59">
        <f>H150*'Powerbi Source'!$G148/G150</f>
        <v>1585.256012</v>
      </c>
      <c r="I148" s="60">
        <f>I150*'Powerbi Source'!$H148/H150</f>
        <v>8.615521803</v>
      </c>
      <c r="J148" s="60">
        <v>31.144104349048984</v>
      </c>
      <c r="K148" s="58">
        <f>'Powerbi Source'!$H148*'Powerbi Source'!$J148</f>
        <v>49371.37865</v>
      </c>
      <c r="L148" s="58">
        <f>'Powerbi Source'!$G148/'Powerbi Source'!$H148</f>
        <v>5.821772592</v>
      </c>
      <c r="M148" s="58">
        <f>'Powerbi Source'!$G148/'Powerbi Source'!$C148</f>
        <v>401.2608696</v>
      </c>
      <c r="N148" s="58">
        <f>'Powerbi Source'!$G148/'Powerbi Source'!$I148</f>
        <v>1071.206157</v>
      </c>
      <c r="O148" s="58">
        <f>IFERROR('Powerbi Source'!$K148/'Powerbi Source'!$G148,0)</f>
        <v>5.349591359</v>
      </c>
    </row>
    <row r="149" ht="14.25" customHeight="1">
      <c r="A149" s="58">
        <v>2025.0</v>
      </c>
      <c r="B149" s="58">
        <v>10.0</v>
      </c>
      <c r="C149" s="59">
        <v>23.0</v>
      </c>
      <c r="D149" s="58" t="s">
        <v>18</v>
      </c>
      <c r="E149" s="58" t="s">
        <v>37</v>
      </c>
      <c r="F149" s="58" t="s">
        <v>85</v>
      </c>
      <c r="G149" s="59">
        <f>'Hours &amp; volumes per subgroup'!L43</f>
        <v>14809</v>
      </c>
      <c r="H149" s="59">
        <f>H151*'Powerbi Source'!$G149/G151</f>
        <v>2572.556765</v>
      </c>
      <c r="I149" s="60">
        <f>I151*'Powerbi Source'!$H149/H151</f>
        <v>13.98128677</v>
      </c>
      <c r="J149" s="60">
        <v>31.144104349048984</v>
      </c>
      <c r="K149" s="58">
        <f>'Powerbi Source'!$H149*'Powerbi Source'!$J149</f>
        <v>80119.97634</v>
      </c>
      <c r="L149" s="58">
        <f>'Powerbi Source'!$G149/'Powerbi Source'!$H149</f>
        <v>5.756529924</v>
      </c>
      <c r="M149" s="58">
        <f>'Powerbi Source'!$G149/'Powerbi Source'!$C149</f>
        <v>643.8695652</v>
      </c>
      <c r="N149" s="58">
        <f>'Powerbi Source'!$G149/'Powerbi Source'!$I149</f>
        <v>1059.201506</v>
      </c>
      <c r="O149" s="58">
        <f>IFERROR('Powerbi Source'!$K149/'Powerbi Source'!$G149,0)</f>
        <v>5.410221915</v>
      </c>
    </row>
    <row r="150" ht="14.25" customHeight="1">
      <c r="A150" s="58">
        <v>2025.0</v>
      </c>
      <c r="B150" s="58">
        <v>10.0</v>
      </c>
      <c r="C150" s="59">
        <v>23.0</v>
      </c>
      <c r="D150" s="58" t="s">
        <v>15</v>
      </c>
      <c r="E150" s="58" t="s">
        <v>37</v>
      </c>
      <c r="F150" s="58" t="s">
        <v>32</v>
      </c>
      <c r="G150" s="59">
        <f t="shared" ref="G150:G151" si="20">G146+G148</f>
        <v>20636</v>
      </c>
      <c r="H150" s="59">
        <f>'Hours &amp; volumes per subgroup'!L2</f>
        <v>3544.624884</v>
      </c>
      <c r="I150" s="60">
        <f>'Hours &amp; volumes per subgroup'!L20</f>
        <v>19.26426568</v>
      </c>
      <c r="J150" s="60">
        <v>31.144104349048984</v>
      </c>
      <c r="K150" s="58">
        <f>'Powerbi Source'!$H150*'Powerbi Source'!$J150</f>
        <v>110394.1673</v>
      </c>
      <c r="L150" s="58">
        <f>'Powerbi Source'!$G150/'Powerbi Source'!$H150</f>
        <v>5.821772592</v>
      </c>
      <c r="M150" s="58">
        <f>'Powerbi Source'!$G150/'Powerbi Source'!$C150</f>
        <v>897.2173913</v>
      </c>
      <c r="N150" s="58">
        <f>'Powerbi Source'!$G150/'Powerbi Source'!$I150</f>
        <v>1071.206157</v>
      </c>
      <c r="O150" s="58">
        <f>IFERROR('Powerbi Source'!$K150/'Powerbi Source'!$G150,0)</f>
        <v>5.349591359</v>
      </c>
    </row>
    <row r="151" ht="14.25" customHeight="1">
      <c r="A151" s="58">
        <v>2025.0</v>
      </c>
      <c r="B151" s="58">
        <v>10.0</v>
      </c>
      <c r="C151" s="59">
        <v>23.0</v>
      </c>
      <c r="D151" s="58" t="s">
        <v>18</v>
      </c>
      <c r="E151" s="58" t="s">
        <v>37</v>
      </c>
      <c r="F151" s="58" t="s">
        <v>32</v>
      </c>
      <c r="G151" s="59">
        <f t="shared" si="20"/>
        <v>29356</v>
      </c>
      <c r="H151" s="59">
        <f>'Hours &amp; volumes per subgroup'!L3</f>
        <v>5099.6</v>
      </c>
      <c r="I151" s="60">
        <f>'Hours &amp; volumes per subgroup'!L21</f>
        <v>27.71521739</v>
      </c>
      <c r="J151" s="60">
        <v>31.144104349048984</v>
      </c>
      <c r="K151" s="58">
        <f>'Powerbi Source'!$H151*'Powerbi Source'!$J151</f>
        <v>158822.4745</v>
      </c>
      <c r="L151" s="58">
        <f>'Powerbi Source'!$G151/'Powerbi Source'!$H151</f>
        <v>5.756529924</v>
      </c>
      <c r="M151" s="58">
        <f>'Powerbi Source'!$G151/'Powerbi Source'!$C151</f>
        <v>1276.347826</v>
      </c>
      <c r="N151" s="58">
        <f>'Powerbi Source'!$G151/'Powerbi Source'!$I151</f>
        <v>1059.201506</v>
      </c>
      <c r="O151" s="58">
        <f>IFERROR('Powerbi Source'!$K151/'Powerbi Source'!$G151,0)</f>
        <v>5.410221915</v>
      </c>
    </row>
    <row r="152" ht="14.25" customHeight="1">
      <c r="A152" s="58">
        <v>2025.0</v>
      </c>
      <c r="B152" s="58">
        <v>10.0</v>
      </c>
      <c r="C152" s="59">
        <v>23.0</v>
      </c>
      <c r="D152" s="58" t="s">
        <v>15</v>
      </c>
      <c r="E152" s="58" t="s">
        <v>42</v>
      </c>
      <c r="F152" s="58" t="s">
        <v>84</v>
      </c>
      <c r="G152" s="59">
        <f>'Hours &amp; volumes per subgroup'!L46</f>
        <v>28111.875</v>
      </c>
      <c r="H152" s="59">
        <f>H156*'Powerbi Source'!$G152/G156</f>
        <v>9228.095347</v>
      </c>
      <c r="I152" s="60">
        <f>I156*'Powerbi Source'!$H152/H156</f>
        <v>50.1526921</v>
      </c>
      <c r="J152" s="60">
        <v>31.144104349048984</v>
      </c>
      <c r="K152" s="58">
        <f>'Powerbi Source'!$H152*'Powerbi Source'!$J152</f>
        <v>287400.7644</v>
      </c>
      <c r="L152" s="58">
        <f>'Powerbi Source'!$G152/'Powerbi Source'!$H152</f>
        <v>3.046335559</v>
      </c>
      <c r="M152" s="58">
        <f>'Powerbi Source'!$G152/'Powerbi Source'!$C152</f>
        <v>1222.255435</v>
      </c>
      <c r="N152" s="58">
        <f>'Powerbi Source'!$G152/'Powerbi Source'!$I152</f>
        <v>560.5257429</v>
      </c>
      <c r="O152" s="58">
        <f>IFERROR('Powerbi Source'!$K152/'Powerbi Source'!$G152,0)</f>
        <v>10.2234648</v>
      </c>
    </row>
    <row r="153" ht="14.25" customHeight="1">
      <c r="A153" s="58">
        <v>2025.0</v>
      </c>
      <c r="B153" s="58">
        <v>10.0</v>
      </c>
      <c r="C153" s="59">
        <v>23.0</v>
      </c>
      <c r="D153" s="58" t="s">
        <v>18</v>
      </c>
      <c r="E153" s="58" t="s">
        <v>42</v>
      </c>
      <c r="F153" s="58" t="s">
        <v>84</v>
      </c>
      <c r="G153" s="59">
        <f>'Hours &amp; volumes per subgroup'!L47</f>
        <v>30305</v>
      </c>
      <c r="H153" s="59">
        <f>H157*'Powerbi Source'!$G153/G157</f>
        <v>8029.525156</v>
      </c>
      <c r="I153" s="60">
        <f>I157*'Powerbi Source'!$H153/H157</f>
        <v>43.63872368</v>
      </c>
      <c r="J153" s="60">
        <v>31.144104349048984</v>
      </c>
      <c r="K153" s="58">
        <f>'Powerbi Source'!$H153*'Powerbi Source'!$J153</f>
        <v>250072.3693</v>
      </c>
      <c r="L153" s="58">
        <f>'Powerbi Source'!$G153/'Powerbi Source'!$H153</f>
        <v>3.774195785</v>
      </c>
      <c r="M153" s="58">
        <f>'Powerbi Source'!$G153/'Powerbi Source'!$C153</f>
        <v>1317.608696</v>
      </c>
      <c r="N153" s="58">
        <f>'Powerbi Source'!$G153/'Powerbi Source'!$I153</f>
        <v>694.4520244</v>
      </c>
      <c r="O153" s="58">
        <f>IFERROR('Powerbi Source'!$K153/'Powerbi Source'!$G153,0)</f>
        <v>8.251851818</v>
      </c>
    </row>
    <row r="154" ht="14.25" customHeight="1">
      <c r="A154" s="58">
        <v>2025.0</v>
      </c>
      <c r="B154" s="58">
        <v>10.0</v>
      </c>
      <c r="C154" s="59">
        <v>23.0</v>
      </c>
      <c r="D154" s="58" t="s">
        <v>15</v>
      </c>
      <c r="E154" s="58" t="s">
        <v>42</v>
      </c>
      <c r="F154" s="58" t="s">
        <v>85</v>
      </c>
      <c r="G154" s="59">
        <f>'Powerbi Source'!G138</f>
        <v>28345.232</v>
      </c>
      <c r="H154" s="59">
        <f>H156*'Powerbi Source'!$G154/G156</f>
        <v>9304.697873</v>
      </c>
      <c r="I154" s="60">
        <f>I156*'Powerbi Source'!$H154/H156</f>
        <v>50.56901018</v>
      </c>
      <c r="J154" s="60">
        <v>31.144104349048984</v>
      </c>
      <c r="K154" s="58">
        <f>'Powerbi Source'!$H154*'Powerbi Source'!$J154</f>
        <v>289786.4815</v>
      </c>
      <c r="L154" s="58">
        <f>'Powerbi Source'!$G154/'Powerbi Source'!$H154</f>
        <v>3.046335559</v>
      </c>
      <c r="M154" s="58">
        <f>'Powerbi Source'!$G154/'Powerbi Source'!$C154</f>
        <v>1232.401391</v>
      </c>
      <c r="N154" s="58">
        <f>'Powerbi Source'!$G154/'Powerbi Source'!$I154</f>
        <v>560.5257429</v>
      </c>
      <c r="O154" s="58">
        <f>IFERROR('Powerbi Source'!$K154/'Powerbi Source'!$G154,0)</f>
        <v>10.2234648</v>
      </c>
    </row>
    <row r="155" ht="14.25" customHeight="1">
      <c r="A155" s="58">
        <v>2025.0</v>
      </c>
      <c r="B155" s="58">
        <v>10.0</v>
      </c>
      <c r="C155" s="59">
        <v>23.0</v>
      </c>
      <c r="D155" s="58" t="s">
        <v>18</v>
      </c>
      <c r="E155" s="58" t="s">
        <v>42</v>
      </c>
      <c r="F155" s="58" t="s">
        <v>85</v>
      </c>
      <c r="G155" s="59">
        <f>'Hours &amp; volumes per subgroup'!L53</f>
        <v>29574</v>
      </c>
      <c r="H155" s="59">
        <f>H157*'Powerbi Source'!$G155/G157</f>
        <v>7835.84151</v>
      </c>
      <c r="I155" s="60">
        <f>I157*'Powerbi Source'!$H155/H157</f>
        <v>42.58609517</v>
      </c>
      <c r="J155" s="60">
        <v>31.144104349048984</v>
      </c>
      <c r="K155" s="58">
        <f>'Powerbi Source'!$H155*'Powerbi Source'!$J155</f>
        <v>244040.2657</v>
      </c>
      <c r="L155" s="58">
        <f>'Powerbi Source'!$G155/'Powerbi Source'!$H155</f>
        <v>3.774195785</v>
      </c>
      <c r="M155" s="58">
        <f>'Powerbi Source'!$G155/'Powerbi Source'!$C155</f>
        <v>1285.826087</v>
      </c>
      <c r="N155" s="58">
        <f>'Powerbi Source'!$G155/'Powerbi Source'!$I155</f>
        <v>694.4520244</v>
      </c>
      <c r="O155" s="58">
        <f>IFERROR('Powerbi Source'!$K155/'Powerbi Source'!$G155,0)</f>
        <v>8.251851818</v>
      </c>
    </row>
    <row r="156" ht="14.25" customHeight="1">
      <c r="A156" s="58">
        <v>2025.0</v>
      </c>
      <c r="B156" s="58">
        <v>10.0</v>
      </c>
      <c r="C156" s="59">
        <v>23.0</v>
      </c>
      <c r="D156" s="58" t="s">
        <v>15</v>
      </c>
      <c r="E156" s="58" t="s">
        <v>42</v>
      </c>
      <c r="F156" s="58" t="s">
        <v>32</v>
      </c>
      <c r="G156" s="59">
        <f t="shared" ref="G156:G157" si="21">G152+G154</f>
        <v>56457.107</v>
      </c>
      <c r="H156" s="59">
        <f>'Hours &amp; volumes per subgroup'!L10</f>
        <v>18532.79322</v>
      </c>
      <c r="I156" s="60">
        <f>'Hours &amp; volumes per subgroup'!L28</f>
        <v>100.7217023</v>
      </c>
      <c r="J156" s="60">
        <v>31.144104349048984</v>
      </c>
      <c r="K156" s="58">
        <f>'Powerbi Source'!$H156*'Powerbi Source'!$J156</f>
        <v>577187.2459</v>
      </c>
      <c r="L156" s="58">
        <f>'Powerbi Source'!$G156/'Powerbi Source'!$H156</f>
        <v>3.046335559</v>
      </c>
      <c r="M156" s="58">
        <f>'Powerbi Source'!$G156/'Powerbi Source'!$C156</f>
        <v>2454.656826</v>
      </c>
      <c r="N156" s="58">
        <f>'Powerbi Source'!$G156/'Powerbi Source'!$I156</f>
        <v>560.5257429</v>
      </c>
      <c r="O156" s="58">
        <f>IFERROR('Powerbi Source'!$K156/'Powerbi Source'!$G156,0)</f>
        <v>10.2234648</v>
      </c>
    </row>
    <row r="157" ht="14.25" customHeight="1">
      <c r="A157" s="58">
        <v>2025.0</v>
      </c>
      <c r="B157" s="58">
        <v>10.0</v>
      </c>
      <c r="C157" s="59">
        <v>23.0</v>
      </c>
      <c r="D157" s="58" t="s">
        <v>18</v>
      </c>
      <c r="E157" s="58" t="s">
        <v>42</v>
      </c>
      <c r="F157" s="58" t="s">
        <v>32</v>
      </c>
      <c r="G157" s="59">
        <f t="shared" si="21"/>
        <v>59879</v>
      </c>
      <c r="H157" s="59">
        <f>'Hours &amp; volumes per subgroup'!L11</f>
        <v>15865.36667</v>
      </c>
      <c r="I157" s="60">
        <f>'Hours &amp; volumes per subgroup'!L29</f>
        <v>86.22481884</v>
      </c>
      <c r="J157" s="60">
        <v>31.144104349048984</v>
      </c>
      <c r="K157" s="58">
        <f>'Powerbi Source'!$H157*'Powerbi Source'!$J157</f>
        <v>494112.635</v>
      </c>
      <c r="L157" s="58">
        <f>'Powerbi Source'!$G157/'Powerbi Source'!$H157</f>
        <v>3.774195785</v>
      </c>
      <c r="M157" s="58">
        <f>'Powerbi Source'!$G157/'Powerbi Source'!$C157</f>
        <v>2603.434783</v>
      </c>
      <c r="N157" s="58">
        <f>'Powerbi Source'!$G157/'Powerbi Source'!$I157</f>
        <v>694.4520244</v>
      </c>
      <c r="O157" s="58">
        <f>IFERROR('Powerbi Source'!$K157/'Powerbi Source'!$G157,0)</f>
        <v>8.251851818</v>
      </c>
    </row>
    <row r="158" ht="14.25" customHeight="1">
      <c r="A158" s="58">
        <v>2025.0</v>
      </c>
      <c r="B158" s="58">
        <v>10.0</v>
      </c>
      <c r="C158" s="59">
        <v>23.0</v>
      </c>
      <c r="D158" s="58" t="s">
        <v>15</v>
      </c>
      <c r="E158" s="58" t="s">
        <v>41</v>
      </c>
      <c r="F158" s="58" t="s">
        <v>32</v>
      </c>
      <c r="G158" s="59">
        <f>'Hours &amp; volumes per subgroup'!L55</f>
        <v>219409</v>
      </c>
      <c r="H158" s="59">
        <f>'Hours &amp; volumes per subgroup'!L6</f>
        <v>6499.3122</v>
      </c>
      <c r="I158" s="60">
        <f>'Hours &amp; volumes per subgroup'!L24</f>
        <v>35.32234891</v>
      </c>
      <c r="J158" s="60">
        <v>31.144104349048984</v>
      </c>
      <c r="K158" s="58">
        <f>'Powerbi Source'!$H158*'Powerbi Source'!$J158</f>
        <v>202415.2573</v>
      </c>
      <c r="L158" s="58">
        <f>'Powerbi Source'!$G158/'Powerbi Source'!$H158</f>
        <v>33.75880297</v>
      </c>
      <c r="M158" s="58">
        <f>'Powerbi Source'!$G158/'Powerbi Source'!$C158</f>
        <v>9539.521739</v>
      </c>
      <c r="N158" s="58">
        <f>'Powerbi Source'!$G158/'Powerbi Source'!$I158</f>
        <v>6211.619747</v>
      </c>
      <c r="O158" s="58">
        <f>IFERROR('Powerbi Source'!$K158/'Powerbi Source'!$G158,0)</f>
        <v>0.92254765</v>
      </c>
    </row>
    <row r="159" ht="14.25" customHeight="1">
      <c r="A159" s="58">
        <v>2025.0</v>
      </c>
      <c r="B159" s="58">
        <v>10.0</v>
      </c>
      <c r="C159" s="59">
        <v>23.0</v>
      </c>
      <c r="D159" s="58" t="s">
        <v>18</v>
      </c>
      <c r="E159" s="58" t="s">
        <v>41</v>
      </c>
      <c r="F159" s="58" t="s">
        <v>32</v>
      </c>
      <c r="G159" s="59">
        <f>'Hours &amp; volumes per subgroup'!L56</f>
        <v>183894</v>
      </c>
      <c r="H159" s="59">
        <f>'Hours &amp; volumes per subgroup'!L7</f>
        <v>6511.8</v>
      </c>
      <c r="I159" s="60">
        <f>'Hours &amp; volumes per subgroup'!L25</f>
        <v>35.39021739</v>
      </c>
      <c r="J159" s="60">
        <v>31.144104349048984</v>
      </c>
      <c r="K159" s="58">
        <f>'Powerbi Source'!$H159*'Powerbi Source'!$J159</f>
        <v>202804.1787</v>
      </c>
      <c r="L159" s="58">
        <f>'Powerbi Source'!$G159/'Powerbi Source'!$H159</f>
        <v>28.24011794</v>
      </c>
      <c r="M159" s="58">
        <f>'Powerbi Source'!$G159/'Powerbi Source'!$C159</f>
        <v>7995.391304</v>
      </c>
      <c r="N159" s="58">
        <f>'Powerbi Source'!$G159/'Powerbi Source'!$I159</f>
        <v>5196.181701</v>
      </c>
      <c r="O159" s="58">
        <f>IFERROR('Powerbi Source'!$K159/'Powerbi Source'!$G159,0)</f>
        <v>1.10283195</v>
      </c>
    </row>
    <row r="160" ht="14.25" customHeight="1">
      <c r="A160" s="58">
        <v>2025.0</v>
      </c>
      <c r="B160" s="58">
        <v>10.0</v>
      </c>
      <c r="C160" s="59">
        <v>23.0</v>
      </c>
      <c r="D160" s="58" t="s">
        <v>15</v>
      </c>
      <c r="E160" s="58" t="s">
        <v>86</v>
      </c>
      <c r="F160" s="58" t="s">
        <v>32</v>
      </c>
      <c r="G160" s="59" t="str">
        <f>'Hours &amp; volumes per subgroup'!C196</f>
        <v/>
      </c>
      <c r="H160" s="59">
        <f>'Hours &amp; volumes per subgroup'!L14</f>
        <v>2299.756625</v>
      </c>
      <c r="I160" s="60">
        <f>'Hours &amp; volumes per subgroup'!L32</f>
        <v>12.49867731</v>
      </c>
      <c r="J160" s="60">
        <v>31.144104349048984</v>
      </c>
      <c r="K160" s="58">
        <f>'Powerbi Source'!$H160*'Powerbi Source'!$J160</f>
        <v>71623.86029</v>
      </c>
      <c r="L160" s="58">
        <f>'Powerbi Source'!$G160/'Powerbi Source'!$H160</f>
        <v>0</v>
      </c>
      <c r="M160" s="58">
        <f>'Powerbi Source'!$G160/'Powerbi Source'!$C160</f>
        <v>0</v>
      </c>
      <c r="N160" s="58">
        <f>'Powerbi Source'!$G160/'Powerbi Source'!$I160</f>
        <v>0</v>
      </c>
      <c r="O160" s="58">
        <f>IFERROR('Powerbi Source'!$K160/'Powerbi Source'!$G160,0)</f>
        <v>0</v>
      </c>
    </row>
    <row r="161" ht="14.25" customHeight="1">
      <c r="A161" s="58">
        <v>2025.0</v>
      </c>
      <c r="B161" s="58">
        <v>10.0</v>
      </c>
      <c r="C161" s="59">
        <v>23.0</v>
      </c>
      <c r="D161" s="58" t="s">
        <v>18</v>
      </c>
      <c r="E161" s="58" t="s">
        <v>86</v>
      </c>
      <c r="F161" s="58" t="s">
        <v>32</v>
      </c>
      <c r="G161" s="59" t="str">
        <f>'Hours &amp; volumes per subgroup'!C197</f>
        <v/>
      </c>
      <c r="H161" s="59">
        <f>'Hours &amp; volumes per subgroup'!L15</f>
        <v>1031.7</v>
      </c>
      <c r="I161" s="60">
        <f>'Hours &amp; volumes per subgroup'!L33</f>
        <v>5.607065217</v>
      </c>
      <c r="J161" s="60">
        <v>31.144104349048984</v>
      </c>
      <c r="K161" s="58">
        <f>'Powerbi Source'!$H161*'Powerbi Source'!$J161</f>
        <v>32131.37246</v>
      </c>
      <c r="L161" s="58">
        <f>'Powerbi Source'!$G161/'Powerbi Source'!$H161</f>
        <v>0</v>
      </c>
      <c r="M161" s="58">
        <f>'Powerbi Source'!$G161/'Powerbi Source'!$C161</f>
        <v>0</v>
      </c>
      <c r="N161" s="58">
        <f>'Powerbi Source'!$G161/'Powerbi Source'!$I161</f>
        <v>0</v>
      </c>
      <c r="O161" s="58">
        <f>IFERROR('Powerbi Source'!$K161/'Powerbi Source'!$G161,0)</f>
        <v>0</v>
      </c>
    </row>
    <row r="162" ht="14.25" customHeight="1">
      <c r="A162" s="58">
        <v>2025.0</v>
      </c>
      <c r="B162" s="58">
        <v>11.0</v>
      </c>
      <c r="C162" s="59">
        <v>20.0</v>
      </c>
      <c r="D162" s="58" t="s">
        <v>15</v>
      </c>
      <c r="E162" s="58" t="s">
        <v>37</v>
      </c>
      <c r="F162" s="58" t="s">
        <v>84</v>
      </c>
      <c r="G162" s="59">
        <f>'Hours &amp; volumes per subgroup'!M38</f>
        <v>11407</v>
      </c>
      <c r="H162" s="59">
        <f>'Powerbi Source'!$G162/G166*H166</f>
        <v>1959.368873</v>
      </c>
      <c r="I162" s="60">
        <f>'Powerbi Source'!$G162/G166*I166</f>
        <v>12.24605545</v>
      </c>
      <c r="J162" s="60">
        <v>30.922752603433718</v>
      </c>
      <c r="K162" s="58">
        <f>'Powerbi Source'!$H162*'Powerbi Source'!$J162</f>
        <v>60589.07891</v>
      </c>
      <c r="L162" s="61">
        <f>'Powerbi Source'!$G162/'Powerbi Source'!$H162</f>
        <v>5.821772592</v>
      </c>
      <c r="M162" s="61">
        <f>'Powerbi Source'!$G162/'Powerbi Source'!$C162</f>
        <v>570.35</v>
      </c>
      <c r="N162" s="61">
        <f>'Powerbi Source'!$G162/'Powerbi Source'!$I162</f>
        <v>931.4836147</v>
      </c>
      <c r="O162" s="61">
        <f>IFERROR('Powerbi Source'!$K162/'Powerbi Source'!$G162,0)</f>
        <v>5.311569993</v>
      </c>
    </row>
    <row r="163" ht="14.25" customHeight="1">
      <c r="A163" s="58">
        <v>2025.0</v>
      </c>
      <c r="B163" s="58">
        <v>11.0</v>
      </c>
      <c r="C163" s="59">
        <v>20.0</v>
      </c>
      <c r="D163" s="58" t="s">
        <v>18</v>
      </c>
      <c r="E163" s="58" t="s">
        <v>37</v>
      </c>
      <c r="F163" s="58" t="s">
        <v>84</v>
      </c>
      <c r="G163" s="59">
        <f>'Hours &amp; volumes per subgroup'!M39</f>
        <v>13467</v>
      </c>
      <c r="H163" s="59">
        <f>'Powerbi Source'!$G163/G167*H167</f>
        <v>2114.59765</v>
      </c>
      <c r="I163" s="60">
        <f>'Powerbi Source'!$G163/G167*I167</f>
        <v>13.21623531</v>
      </c>
      <c r="J163" s="60">
        <v>30.922752603433718</v>
      </c>
      <c r="K163" s="58">
        <f>'Powerbi Source'!$H163*'Powerbi Source'!$J163</f>
        <v>65389.17998</v>
      </c>
      <c r="L163" s="61">
        <f>'Powerbi Source'!$G163/'Powerbi Source'!$H163</f>
        <v>6.368587424</v>
      </c>
      <c r="M163" s="61">
        <f>'Powerbi Source'!$G163/'Powerbi Source'!$C163</f>
        <v>673.35</v>
      </c>
      <c r="N163" s="61">
        <f>'Powerbi Source'!$G163/'Powerbi Source'!$I163</f>
        <v>1018.973988</v>
      </c>
      <c r="O163" s="61">
        <f>IFERROR('Powerbi Source'!$K163/'Powerbi Source'!$G163,0)</f>
        <v>4.855511991</v>
      </c>
    </row>
    <row r="164" ht="14.25" customHeight="1">
      <c r="A164" s="58">
        <v>2025.0</v>
      </c>
      <c r="B164" s="58">
        <v>11.0</v>
      </c>
      <c r="C164" s="59">
        <v>20.0</v>
      </c>
      <c r="D164" s="58" t="s">
        <v>15</v>
      </c>
      <c r="E164" s="58" t="s">
        <v>37</v>
      </c>
      <c r="F164" s="58" t="s">
        <v>85</v>
      </c>
      <c r="G164" s="59">
        <f>'Hours &amp; volumes per subgroup'!M42</f>
        <v>9229</v>
      </c>
      <c r="H164" s="59">
        <f>'Powerbi Source'!$G164/G166*H166</f>
        <v>1585.256012</v>
      </c>
      <c r="I164" s="60">
        <f>'Powerbi Source'!$G164/G166*I166</f>
        <v>9.907850073</v>
      </c>
      <c r="J164" s="60">
        <v>30.922752603433718</v>
      </c>
      <c r="K164" s="58">
        <f>'Powerbi Source'!$H164*'Powerbi Source'!$J164</f>
        <v>49020.47946</v>
      </c>
      <c r="L164" s="61">
        <f>'Powerbi Source'!$G164/'Powerbi Source'!$H164</f>
        <v>5.821772592</v>
      </c>
      <c r="M164" s="61">
        <f>'Powerbi Source'!$G164/'Powerbi Source'!$C164</f>
        <v>461.45</v>
      </c>
      <c r="N164" s="61">
        <f>'Powerbi Source'!$G164/'Powerbi Source'!$I164</f>
        <v>931.4836147</v>
      </c>
      <c r="O164" s="61">
        <f>IFERROR('Powerbi Source'!$K164/'Powerbi Source'!$G164,0)</f>
        <v>5.311569993</v>
      </c>
    </row>
    <row r="165" ht="14.25" customHeight="1">
      <c r="A165" s="58">
        <v>2025.0</v>
      </c>
      <c r="B165" s="58">
        <v>11.0</v>
      </c>
      <c r="C165" s="59">
        <v>20.0</v>
      </c>
      <c r="D165" s="58" t="s">
        <v>18</v>
      </c>
      <c r="E165" s="58" t="s">
        <v>37</v>
      </c>
      <c r="F165" s="58" t="s">
        <v>85</v>
      </c>
      <c r="G165" s="59">
        <f>'Hours &amp; volumes per subgroup'!M43</f>
        <v>14403</v>
      </c>
      <c r="H165" s="59">
        <f>'Powerbi Source'!$G165/G167*H167</f>
        <v>2261.569017</v>
      </c>
      <c r="I165" s="60">
        <f>'Powerbi Source'!$G165/G167*I167</f>
        <v>14.13480636</v>
      </c>
      <c r="J165" s="60">
        <v>30.922752603433718</v>
      </c>
      <c r="K165" s="58">
        <f>'Powerbi Source'!$H165*'Powerbi Source'!$J165</f>
        <v>69933.9392</v>
      </c>
      <c r="L165" s="61">
        <f>'Powerbi Source'!$G165/'Powerbi Source'!$H165</f>
        <v>6.368587424</v>
      </c>
      <c r="M165" s="61">
        <f>'Powerbi Source'!$G165/'Powerbi Source'!$C165</f>
        <v>720.15</v>
      </c>
      <c r="N165" s="61">
        <f>'Powerbi Source'!$G165/'Powerbi Source'!$I165</f>
        <v>1018.973988</v>
      </c>
      <c r="O165" s="61">
        <f>IFERROR('Powerbi Source'!$K165/'Powerbi Source'!$G165,0)</f>
        <v>4.855511991</v>
      </c>
    </row>
    <row r="166" ht="14.25" customHeight="1">
      <c r="A166" s="58">
        <v>2025.0</v>
      </c>
      <c r="B166" s="58">
        <v>11.0</v>
      </c>
      <c r="C166" s="59">
        <v>20.0</v>
      </c>
      <c r="D166" s="58" t="s">
        <v>15</v>
      </c>
      <c r="E166" s="58" t="s">
        <v>37</v>
      </c>
      <c r="F166" s="58" t="s">
        <v>32</v>
      </c>
      <c r="G166" s="59">
        <f t="shared" ref="G166:G167" si="22">G162+G164</f>
        <v>20636</v>
      </c>
      <c r="H166" s="59">
        <f>'Hours &amp; volumes per subgroup'!M2</f>
        <v>3544.624884</v>
      </c>
      <c r="I166" s="60">
        <f>'Hours &amp; volumes per subgroup'!M20</f>
        <v>22.15390553</v>
      </c>
      <c r="J166" s="60">
        <v>30.922752603433718</v>
      </c>
      <c r="K166" s="58">
        <f>'Powerbi Source'!$H166*'Powerbi Source'!$J166</f>
        <v>109609.5584</v>
      </c>
      <c r="L166" s="61">
        <f>'Powerbi Source'!$G166/'Powerbi Source'!$H166</f>
        <v>5.821772592</v>
      </c>
      <c r="M166" s="61">
        <f>'Powerbi Source'!$G166/'Powerbi Source'!$C166</f>
        <v>1031.8</v>
      </c>
      <c r="N166" s="61">
        <f>'Powerbi Source'!$G166/'Powerbi Source'!$I166</f>
        <v>931.4836147</v>
      </c>
      <c r="O166" s="61">
        <f>IFERROR('Powerbi Source'!$K166/'Powerbi Source'!$G166,0)</f>
        <v>5.311569993</v>
      </c>
    </row>
    <row r="167" ht="14.25" customHeight="1">
      <c r="A167" s="58">
        <v>2025.0</v>
      </c>
      <c r="B167" s="58">
        <v>11.0</v>
      </c>
      <c r="C167" s="59">
        <v>20.0</v>
      </c>
      <c r="D167" s="58" t="s">
        <v>18</v>
      </c>
      <c r="E167" s="58" t="s">
        <v>37</v>
      </c>
      <c r="F167" s="58" t="s">
        <v>32</v>
      </c>
      <c r="G167" s="59">
        <f t="shared" si="22"/>
        <v>27870</v>
      </c>
      <c r="H167" s="59">
        <f>'Hours &amp; volumes per subgroup'!M3</f>
        <v>4376.166667</v>
      </c>
      <c r="I167" s="60">
        <f>'Hours &amp; volumes per subgroup'!M21</f>
        <v>27.35104167</v>
      </c>
      <c r="J167" s="60">
        <v>30.922752603433718</v>
      </c>
      <c r="K167" s="58">
        <f>'Powerbi Source'!$H167*'Powerbi Source'!$J167</f>
        <v>135323.1192</v>
      </c>
      <c r="L167" s="61">
        <f>'Powerbi Source'!$G167/'Powerbi Source'!$H167</f>
        <v>6.368587424</v>
      </c>
      <c r="M167" s="61">
        <f>'Powerbi Source'!$G167/'Powerbi Source'!$C167</f>
        <v>1393.5</v>
      </c>
      <c r="N167" s="61">
        <f>'Powerbi Source'!$G167/'Powerbi Source'!$I167</f>
        <v>1018.973988</v>
      </c>
      <c r="O167" s="61">
        <f>IFERROR('Powerbi Source'!$K167/'Powerbi Source'!$G167,0)</f>
        <v>4.855511991</v>
      </c>
    </row>
    <row r="168" ht="14.25" customHeight="1">
      <c r="A168" s="58">
        <v>2025.0</v>
      </c>
      <c r="B168" s="58">
        <v>11.0</v>
      </c>
      <c r="C168" s="59">
        <v>20.0</v>
      </c>
      <c r="D168" s="58" t="s">
        <v>15</v>
      </c>
      <c r="E168" s="58" t="s">
        <v>42</v>
      </c>
      <c r="F168" s="58" t="s">
        <v>84</v>
      </c>
      <c r="G168" s="59">
        <f>'Hours &amp; volumes per subgroup'!M46</f>
        <v>28111.875</v>
      </c>
      <c r="H168" s="59">
        <f>'Powerbi Source'!$G168/G172*H172</f>
        <v>9235.066413</v>
      </c>
      <c r="I168" s="60">
        <f>'Powerbi Source'!$G168/G172*I172</f>
        <v>57.71916508</v>
      </c>
      <c r="J168" s="60">
        <v>30.922752603433718</v>
      </c>
      <c r="K168" s="58">
        <f>'Powerbi Source'!$H168*'Powerbi Source'!$J168</f>
        <v>285573.674</v>
      </c>
      <c r="L168" s="61">
        <f>'Powerbi Source'!$G168/'Powerbi Source'!$H168</f>
        <v>3.044036041</v>
      </c>
      <c r="M168" s="61">
        <f>'Powerbi Source'!$G168/'Powerbi Source'!$C168</f>
        <v>1405.59375</v>
      </c>
      <c r="N168" s="61">
        <f>'Powerbi Source'!$G168/'Powerbi Source'!$I168</f>
        <v>487.0457665</v>
      </c>
      <c r="O168" s="61">
        <f>IFERROR('Powerbi Source'!$K168/'Powerbi Source'!$G168,0)</f>
        <v>10.15847125</v>
      </c>
    </row>
    <row r="169" ht="14.25" customHeight="1">
      <c r="A169" s="58">
        <v>2025.0</v>
      </c>
      <c r="B169" s="58">
        <v>11.0</v>
      </c>
      <c r="C169" s="59">
        <v>20.0</v>
      </c>
      <c r="D169" s="58" t="s">
        <v>18</v>
      </c>
      <c r="E169" s="58" t="s">
        <v>42</v>
      </c>
      <c r="F169" s="58" t="s">
        <v>84</v>
      </c>
      <c r="G169" s="59">
        <f>'Hours &amp; volumes per subgroup'!M47</f>
        <v>29766</v>
      </c>
      <c r="H169" s="59">
        <f>'Powerbi Source'!$G169/G173*H173</f>
        <v>7647.109978</v>
      </c>
      <c r="I169" s="60">
        <f>'Powerbi Source'!$G169/G173*I173</f>
        <v>47.79443736</v>
      </c>
      <c r="J169" s="60">
        <v>30.922752603433718</v>
      </c>
      <c r="K169" s="58">
        <f>'Powerbi Source'!$H169*'Powerbi Source'!$J169</f>
        <v>236469.69</v>
      </c>
      <c r="L169" s="61">
        <f>'Powerbi Source'!$G169/'Powerbi Source'!$H169</f>
        <v>3.892450885</v>
      </c>
      <c r="M169" s="61">
        <f>'Powerbi Source'!$G169/'Powerbi Source'!$C169</f>
        <v>1488.3</v>
      </c>
      <c r="N169" s="61">
        <f>'Powerbi Source'!$G169/'Powerbi Source'!$I169</f>
        <v>622.7921416</v>
      </c>
      <c r="O169" s="61">
        <f>IFERROR('Powerbi Source'!$K169/'Powerbi Source'!$G169,0)</f>
        <v>7.944288449</v>
      </c>
    </row>
    <row r="170" ht="14.25" customHeight="1">
      <c r="A170" s="58">
        <v>2025.0</v>
      </c>
      <c r="B170" s="58">
        <v>11.0</v>
      </c>
      <c r="C170" s="59">
        <v>20.0</v>
      </c>
      <c r="D170" s="58" t="s">
        <v>15</v>
      </c>
      <c r="E170" s="58" t="s">
        <v>42</v>
      </c>
      <c r="F170" s="58" t="s">
        <v>85</v>
      </c>
      <c r="G170" s="59">
        <f>G154</f>
        <v>28345.232</v>
      </c>
      <c r="H170" s="59">
        <f>'Powerbi Source'!$G170/G172*H172</f>
        <v>9311.726806</v>
      </c>
      <c r="I170" s="60">
        <f>'Powerbi Source'!$G170/G172*I172</f>
        <v>58.19829254</v>
      </c>
      <c r="J170" s="60">
        <v>30.922752603433718</v>
      </c>
      <c r="K170" s="58">
        <f>'Powerbi Source'!$H170*'Powerbi Source'!$J170</f>
        <v>287944.2243</v>
      </c>
      <c r="L170" s="61">
        <f>'Powerbi Source'!$G170/'Powerbi Source'!$H170</f>
        <v>3.044036041</v>
      </c>
      <c r="M170" s="61">
        <f>'Powerbi Source'!$G170/'Powerbi Source'!$C170</f>
        <v>1417.2616</v>
      </c>
      <c r="N170" s="61">
        <f>'Powerbi Source'!$G170/'Powerbi Source'!$I170</f>
        <v>487.0457665</v>
      </c>
      <c r="O170" s="61">
        <f>IFERROR('Powerbi Source'!$K170/'Powerbi Source'!$G170,0)</f>
        <v>10.15847125</v>
      </c>
    </row>
    <row r="171" ht="14.25" customHeight="1">
      <c r="A171" s="58">
        <v>2025.0</v>
      </c>
      <c r="B171" s="58">
        <v>11.0</v>
      </c>
      <c r="C171" s="59">
        <v>20.0</v>
      </c>
      <c r="D171" s="58" t="s">
        <v>18</v>
      </c>
      <c r="E171" s="58" t="s">
        <v>42</v>
      </c>
      <c r="F171" s="58" t="s">
        <v>85</v>
      </c>
      <c r="G171" s="59">
        <f>'Hours &amp; volumes per subgroup'!M53</f>
        <v>25504</v>
      </c>
      <c r="H171" s="59">
        <f>'Powerbi Source'!$G171/G173*H173</f>
        <v>6552.170022</v>
      </c>
      <c r="I171" s="60">
        <f>'Powerbi Source'!$G171/G173*I173</f>
        <v>40.95106264</v>
      </c>
      <c r="J171" s="60">
        <v>30.922752603433718</v>
      </c>
      <c r="K171" s="58">
        <f>'Powerbi Source'!$H171*'Powerbi Source'!$J171</f>
        <v>202611.1326</v>
      </c>
      <c r="L171" s="61">
        <f>'Powerbi Source'!$G171/'Powerbi Source'!$H171</f>
        <v>3.892450885</v>
      </c>
      <c r="M171" s="61">
        <f>'Powerbi Source'!$G171/'Powerbi Source'!$C171</f>
        <v>1275.2</v>
      </c>
      <c r="N171" s="61">
        <f>'Powerbi Source'!$G171/'Powerbi Source'!$I171</f>
        <v>622.7921416</v>
      </c>
      <c r="O171" s="61">
        <f>IFERROR('Powerbi Source'!$K171/'Powerbi Source'!$G171,0)</f>
        <v>7.944288449</v>
      </c>
    </row>
    <row r="172" ht="14.25" customHeight="1">
      <c r="A172" s="58">
        <v>2025.0</v>
      </c>
      <c r="B172" s="58">
        <v>11.0</v>
      </c>
      <c r="C172" s="59">
        <v>20.0</v>
      </c>
      <c r="D172" s="58" t="s">
        <v>15</v>
      </c>
      <c r="E172" s="58" t="s">
        <v>42</v>
      </c>
      <c r="F172" s="58" t="s">
        <v>32</v>
      </c>
      <c r="G172" s="59">
        <f t="shared" ref="G172:G173" si="23">G168+G170</f>
        <v>56457.107</v>
      </c>
      <c r="H172" s="59">
        <f>'Hours &amp; volumes per subgroup'!M10</f>
        <v>18546.79322</v>
      </c>
      <c r="I172" s="60">
        <f>'Hours &amp; volumes per subgroup'!M28</f>
        <v>115.9174576</v>
      </c>
      <c r="J172" s="60">
        <v>30.922752603433718</v>
      </c>
      <c r="K172" s="58">
        <f>'Powerbi Source'!$H172*'Powerbi Source'!$J172</f>
        <v>573517.8983</v>
      </c>
      <c r="L172" s="61">
        <f>'Powerbi Source'!$G172/'Powerbi Source'!$H172</f>
        <v>3.044036041</v>
      </c>
      <c r="M172" s="61">
        <f>'Powerbi Source'!$G172/'Powerbi Source'!$C172</f>
        <v>2822.85535</v>
      </c>
      <c r="N172" s="61">
        <f>'Powerbi Source'!$G172/'Powerbi Source'!$I172</f>
        <v>487.0457665</v>
      </c>
      <c r="O172" s="61">
        <f>IFERROR('Powerbi Source'!$K172/'Powerbi Source'!$G172,0)</f>
        <v>10.15847125</v>
      </c>
    </row>
    <row r="173" ht="14.25" customHeight="1">
      <c r="A173" s="58">
        <v>2025.0</v>
      </c>
      <c r="B173" s="58">
        <v>11.0</v>
      </c>
      <c r="C173" s="59">
        <v>20.0</v>
      </c>
      <c r="D173" s="58" t="s">
        <v>18</v>
      </c>
      <c r="E173" s="58" t="s">
        <v>42</v>
      </c>
      <c r="F173" s="58" t="s">
        <v>32</v>
      </c>
      <c r="G173" s="59">
        <f t="shared" si="23"/>
        <v>55270</v>
      </c>
      <c r="H173" s="59">
        <f>'Hours &amp; volumes per subgroup'!M11</f>
        <v>14199.28</v>
      </c>
      <c r="I173" s="60">
        <f>'Hours &amp; volumes per subgroup'!M29</f>
        <v>88.7455</v>
      </c>
      <c r="J173" s="60">
        <v>30.922752603433718</v>
      </c>
      <c r="K173" s="58">
        <f>'Powerbi Source'!$H173*'Powerbi Source'!$J173</f>
        <v>439080.8226</v>
      </c>
      <c r="L173" s="61">
        <f>'Powerbi Source'!$G173/'Powerbi Source'!$H173</f>
        <v>3.892450885</v>
      </c>
      <c r="M173" s="61">
        <f>'Powerbi Source'!$G173/'Powerbi Source'!$C173</f>
        <v>2763.5</v>
      </c>
      <c r="N173" s="61">
        <f>'Powerbi Source'!$G173/'Powerbi Source'!$I173</f>
        <v>622.7921416</v>
      </c>
      <c r="O173" s="61">
        <f>IFERROR('Powerbi Source'!$K173/'Powerbi Source'!$G173,0)</f>
        <v>7.944288449</v>
      </c>
    </row>
    <row r="174" ht="14.25" customHeight="1">
      <c r="A174" s="58">
        <v>2025.0</v>
      </c>
      <c r="B174" s="58">
        <v>11.0</v>
      </c>
      <c r="C174" s="59">
        <v>20.0</v>
      </c>
      <c r="D174" s="58" t="s">
        <v>15</v>
      </c>
      <c r="E174" s="58" t="s">
        <v>41</v>
      </c>
      <c r="F174" s="58" t="s">
        <v>32</v>
      </c>
      <c r="G174" s="59">
        <f>'Hours &amp; volumes per subgroup'!M55</f>
        <v>219409</v>
      </c>
      <c r="H174" s="59">
        <f>'Hours &amp; volumes per subgroup'!M6</f>
        <v>6499.3122</v>
      </c>
      <c r="I174" s="60">
        <f>'Hours &amp; volumes per subgroup'!M24</f>
        <v>40.62070125</v>
      </c>
      <c r="J174" s="60">
        <v>30.922752603433718</v>
      </c>
      <c r="K174" s="58">
        <f>'Powerbi Source'!$H174*'Powerbi Source'!$J174</f>
        <v>200976.6232</v>
      </c>
      <c r="L174" s="61">
        <f>'Powerbi Source'!$G174/'Powerbi Source'!$H174</f>
        <v>33.75880297</v>
      </c>
      <c r="M174" s="61">
        <f>'Powerbi Source'!$G174/'Powerbi Source'!$C174</f>
        <v>10970.45</v>
      </c>
      <c r="N174" s="61">
        <f>'Powerbi Source'!$G174/'Powerbi Source'!$I174</f>
        <v>5401.408475</v>
      </c>
      <c r="O174" s="61">
        <f>IFERROR('Powerbi Source'!$K174/'Powerbi Source'!$G174,0)</f>
        <v>0.91599079</v>
      </c>
    </row>
    <row r="175" ht="14.25" customHeight="1">
      <c r="A175" s="58">
        <v>2025.0</v>
      </c>
      <c r="B175" s="58">
        <v>11.0</v>
      </c>
      <c r="C175" s="59">
        <v>20.0</v>
      </c>
      <c r="D175" s="58" t="s">
        <v>18</v>
      </c>
      <c r="E175" s="58" t="s">
        <v>41</v>
      </c>
      <c r="F175" s="58" t="s">
        <v>32</v>
      </c>
      <c r="G175" s="59">
        <f>'Hours &amp; volumes per subgroup'!M56</f>
        <v>160213</v>
      </c>
      <c r="H175" s="59">
        <f>'Hours &amp; volumes per subgroup'!M7</f>
        <v>5383.516667</v>
      </c>
      <c r="I175" s="60">
        <f>'Hours &amp; volumes per subgroup'!M25</f>
        <v>33.64697917</v>
      </c>
      <c r="J175" s="60">
        <v>30.922752603433718</v>
      </c>
      <c r="K175" s="58">
        <f>'Powerbi Source'!$H175*'Powerbi Source'!$J175</f>
        <v>166473.154</v>
      </c>
      <c r="L175" s="61">
        <f>'Powerbi Source'!$G175/'Powerbi Source'!$H175</f>
        <v>29.7599153</v>
      </c>
      <c r="M175" s="61">
        <f>'Powerbi Source'!$G175/'Powerbi Source'!$C175</f>
        <v>8010.65</v>
      </c>
      <c r="N175" s="61">
        <f>'Powerbi Source'!$G175/'Powerbi Source'!$I175</f>
        <v>4761.586448</v>
      </c>
      <c r="O175" s="61">
        <f>IFERROR('Powerbi Source'!$K175/'Powerbi Source'!$G175,0)</f>
        <v>1.039073945</v>
      </c>
    </row>
    <row r="176" ht="14.25" customHeight="1">
      <c r="A176" s="58">
        <v>2025.0</v>
      </c>
      <c r="B176" s="58">
        <v>11.0</v>
      </c>
      <c r="C176" s="59">
        <v>20.0</v>
      </c>
      <c r="D176" s="58" t="s">
        <v>15</v>
      </c>
      <c r="E176" s="58" t="s">
        <v>86</v>
      </c>
      <c r="F176" s="58" t="s">
        <v>32</v>
      </c>
      <c r="G176" s="59">
        <v>0.0</v>
      </c>
      <c r="H176" s="59">
        <f>'Hours &amp; volumes per subgroup'!M14</f>
        <v>2299.756625</v>
      </c>
      <c r="I176" s="60">
        <f>'Hours &amp; volumes per subgroup'!M32</f>
        <v>14.3734789</v>
      </c>
      <c r="J176" s="60">
        <v>30.922752603433718</v>
      </c>
      <c r="K176" s="58">
        <f>'Powerbi Source'!$H176*'Powerbi Source'!$J176</f>
        <v>71114.80515</v>
      </c>
      <c r="L176" s="61">
        <f>'Powerbi Source'!$G176/'Powerbi Source'!$H176</f>
        <v>0</v>
      </c>
      <c r="M176" s="61">
        <f>'Powerbi Source'!$G176/'Powerbi Source'!$C176</f>
        <v>0</v>
      </c>
      <c r="N176" s="61">
        <f>'Powerbi Source'!$G176/'Powerbi Source'!$I176</f>
        <v>0</v>
      </c>
      <c r="O176" s="61">
        <f>IFERROR('Powerbi Source'!$K176/'Powerbi Source'!$G176,0)</f>
        <v>0</v>
      </c>
    </row>
    <row r="177" ht="14.25" customHeight="1">
      <c r="A177" s="58">
        <v>2025.0</v>
      </c>
      <c r="B177" s="58">
        <v>11.0</v>
      </c>
      <c r="C177" s="59">
        <v>20.0</v>
      </c>
      <c r="D177" s="58" t="s">
        <v>18</v>
      </c>
      <c r="E177" s="58" t="s">
        <v>86</v>
      </c>
      <c r="F177" s="58" t="s">
        <v>32</v>
      </c>
      <c r="G177" s="59">
        <v>0.0</v>
      </c>
      <c r="H177" s="59">
        <f>'Hours &amp; volumes per subgroup'!M15</f>
        <v>913.3666667</v>
      </c>
      <c r="I177" s="60">
        <f>'Hours &amp; volumes per subgroup'!M33</f>
        <v>5.708541667</v>
      </c>
      <c r="J177" s="60">
        <v>30.922752603433718</v>
      </c>
      <c r="K177" s="58">
        <f>'Powerbi Source'!$H177*'Powerbi Source'!$J177</f>
        <v>28243.81147</v>
      </c>
      <c r="L177" s="61">
        <f>'Powerbi Source'!$G177/'Powerbi Source'!$H177</f>
        <v>0</v>
      </c>
      <c r="M177" s="61">
        <f>'Powerbi Source'!$G177/'Powerbi Source'!$C177</f>
        <v>0</v>
      </c>
      <c r="N177" s="61">
        <f>'Powerbi Source'!$G177/'Powerbi Source'!$I177</f>
        <v>0</v>
      </c>
      <c r="O177" s="61">
        <f>IFERROR('Powerbi Source'!$K177/'Powerbi Source'!$G177,0)</f>
        <v>0</v>
      </c>
    </row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0ABDC557-42D2-46E7-B5AB-DE51ABD64623}" filter="1" showAutoFilter="1">
      <autoFilter ref="$A$1:$P$177">
        <filterColumn colId="1">
          <filters>
            <filter val="11"/>
          </filters>
        </filterColumn>
        <filterColumn colId="3">
          <filters>
            <filter val="Budget"/>
          </filters>
        </filterColumn>
      </autoFilter>
      <extLst>
        <ext uri="GoogleSheetsCustomDataVersion1">
          <go:sheetsCustomData xmlns:go="http://customooxmlschemas.google.com/" filterViewId="332652552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6.13"/>
    <col customWidth="1" min="3" max="3" width="11.0"/>
    <col customWidth="1" min="4" max="4" width="8.13"/>
    <col customWidth="1" min="5" max="5" width="17.13"/>
    <col customWidth="1" min="6" max="6" width="6.88"/>
    <col customWidth="1" min="7" max="7" width="11.88"/>
    <col customWidth="1" min="8" max="8" width="6.5"/>
    <col customWidth="1" min="9" max="9" width="19.0"/>
    <col customWidth="1" min="10" max="10" width="11.88"/>
    <col customWidth="1" min="11" max="11" width="23.63"/>
    <col customWidth="1" min="12" max="12" width="15.38"/>
    <col customWidth="1" min="13" max="13" width="12.0"/>
    <col customWidth="1" min="14" max="14" width="13.0"/>
    <col customWidth="1" min="15" max="15" width="6.88"/>
    <col customWidth="1" min="16" max="16" width="11.88"/>
    <col customWidth="1" min="17" max="17" width="5.38"/>
    <col customWidth="1" min="18" max="18" width="19.0"/>
    <col customWidth="1" min="19" max="19" width="11.88"/>
    <col customWidth="1" min="20" max="20" width="13.0"/>
    <col customWidth="1" min="21" max="21" width="12.13"/>
    <col customWidth="1" min="22" max="22" width="12.0"/>
    <col customWidth="1" min="23" max="23" width="13.0"/>
    <col customWidth="1" min="24" max="24" width="7.5"/>
    <col customWidth="1" min="25" max="26" width="8.63"/>
  </cols>
  <sheetData>
    <row r="1" ht="14.25" customHeight="1">
      <c r="A1" s="62" t="s">
        <v>69</v>
      </c>
      <c r="B1" s="63" t="s">
        <v>70</v>
      </c>
      <c r="C1" s="63" t="s">
        <v>71</v>
      </c>
      <c r="D1" s="63" t="s">
        <v>73</v>
      </c>
      <c r="E1" s="63" t="s">
        <v>74</v>
      </c>
      <c r="F1" s="63" t="s">
        <v>75</v>
      </c>
      <c r="G1" s="63" t="s">
        <v>76</v>
      </c>
      <c r="H1" s="63" t="s">
        <v>21</v>
      </c>
      <c r="I1" s="63" t="s">
        <v>77</v>
      </c>
      <c r="J1" s="63" t="s">
        <v>78</v>
      </c>
      <c r="K1" s="64" t="s">
        <v>87</v>
      </c>
      <c r="L1" s="64" t="s">
        <v>80</v>
      </c>
      <c r="M1" s="64" t="s">
        <v>81</v>
      </c>
      <c r="N1" s="64" t="s">
        <v>82</v>
      </c>
      <c r="O1" s="65" t="s">
        <v>88</v>
      </c>
      <c r="P1" s="65" t="s">
        <v>89</v>
      </c>
      <c r="Q1" s="65" t="s">
        <v>90</v>
      </c>
      <c r="R1" s="65" t="s">
        <v>91</v>
      </c>
      <c r="S1" s="65" t="s">
        <v>92</v>
      </c>
      <c r="T1" s="65" t="s">
        <v>93</v>
      </c>
      <c r="U1" s="65" t="s">
        <v>94</v>
      </c>
      <c r="V1" s="65" t="s">
        <v>95</v>
      </c>
      <c r="W1" s="65" t="s">
        <v>96</v>
      </c>
      <c r="X1" s="66" t="s">
        <v>83</v>
      </c>
    </row>
    <row r="2" ht="14.25" hidden="1" customHeight="1">
      <c r="A2" s="67">
        <v>2025.0</v>
      </c>
      <c r="B2" s="68">
        <v>1.0</v>
      </c>
      <c r="C2" s="69">
        <v>22.0</v>
      </c>
      <c r="D2" s="68" t="s">
        <v>37</v>
      </c>
      <c r="E2" s="68" t="s">
        <v>84</v>
      </c>
      <c r="F2" s="69">
        <v>10592.0</v>
      </c>
      <c r="G2" s="69">
        <v>1892.0774320019602</v>
      </c>
      <c r="H2" s="70">
        <v>10.750439954556594</v>
      </c>
      <c r="I2" s="70">
        <v>29.526828537170264</v>
      </c>
      <c r="J2" s="68">
        <v>55867.04591377131</v>
      </c>
      <c r="K2" s="68">
        <v>5.598079561042524</v>
      </c>
      <c r="L2" s="68">
        <v>481.45454545454544</v>
      </c>
      <c r="M2" s="68">
        <v>985.2620027434841</v>
      </c>
      <c r="N2" s="68">
        <v>5.274456751677805</v>
      </c>
      <c r="O2" s="69">
        <v>11407.0</v>
      </c>
      <c r="P2" s="69">
        <v>1961.29774127159</v>
      </c>
      <c r="Q2" s="70">
        <v>11.143737166315852</v>
      </c>
      <c r="R2" s="70">
        <v>29.526828537170264</v>
      </c>
      <c r="S2" s="68">
        <v>57910.90211686557</v>
      </c>
      <c r="T2" s="68">
        <v>5.816047079422206</v>
      </c>
      <c r="U2" s="68">
        <v>518.5</v>
      </c>
      <c r="V2" s="68">
        <v>1023.6242859783083</v>
      </c>
      <c r="W2" s="68">
        <v>5.076786369498165</v>
      </c>
      <c r="X2" s="71"/>
    </row>
    <row r="3" ht="14.25" hidden="1" customHeight="1">
      <c r="A3" s="67">
        <v>2025.0</v>
      </c>
      <c r="B3" s="68">
        <v>1.0</v>
      </c>
      <c r="C3" s="69">
        <v>22.0</v>
      </c>
      <c r="D3" s="68" t="s">
        <v>37</v>
      </c>
      <c r="E3" s="68" t="s">
        <v>85</v>
      </c>
      <c r="F3" s="69">
        <v>9813.0</v>
      </c>
      <c r="G3" s="69">
        <v>1752.9225679980398</v>
      </c>
      <c r="H3" s="70">
        <v>9.959787318170681</v>
      </c>
      <c r="I3" s="70">
        <v>29.526828537170264</v>
      </c>
      <c r="J3" s="68">
        <v>51758.244104214304</v>
      </c>
      <c r="K3" s="68">
        <v>5.598079561042524</v>
      </c>
      <c r="L3" s="68">
        <v>446.04545454545456</v>
      </c>
      <c r="M3" s="68">
        <v>985.2620027434841</v>
      </c>
      <c r="N3" s="68">
        <v>5.274456751677805</v>
      </c>
      <c r="O3" s="69">
        <v>9229.0</v>
      </c>
      <c r="P3" s="69">
        <v>1586.816591057728</v>
      </c>
      <c r="Q3" s="70">
        <v>9.016003358282546</v>
      </c>
      <c r="R3" s="70">
        <v>29.526828537170264</v>
      </c>
      <c r="S3" s="68">
        <v>46853.66140409856</v>
      </c>
      <c r="T3" s="68">
        <v>5.816047079422207</v>
      </c>
      <c r="U3" s="68">
        <v>419.5</v>
      </c>
      <c r="V3" s="68">
        <v>1023.6242859783082</v>
      </c>
      <c r="W3" s="68">
        <v>5.076786369498165</v>
      </c>
      <c r="X3" s="71"/>
    </row>
    <row r="4" ht="14.25" hidden="1" customHeight="1">
      <c r="A4" s="67">
        <v>2025.0</v>
      </c>
      <c r="B4" s="68">
        <v>1.0</v>
      </c>
      <c r="C4" s="69">
        <v>22.0</v>
      </c>
      <c r="D4" s="68" t="s">
        <v>37</v>
      </c>
      <c r="E4" s="68" t="s">
        <v>32</v>
      </c>
      <c r="F4" s="69">
        <v>20405.0</v>
      </c>
      <c r="G4" s="69">
        <v>3645.0</v>
      </c>
      <c r="H4" s="70">
        <v>20.710227272727273</v>
      </c>
      <c r="I4" s="70">
        <v>29.526828537170264</v>
      </c>
      <c r="J4" s="68">
        <v>107625.29001798561</v>
      </c>
      <c r="K4" s="68">
        <v>5.598079561042524</v>
      </c>
      <c r="L4" s="68">
        <v>927.5</v>
      </c>
      <c r="M4" s="68">
        <v>985.2620027434842</v>
      </c>
      <c r="N4" s="68">
        <v>5.274456751677805</v>
      </c>
      <c r="O4" s="69">
        <v>20636.0</v>
      </c>
      <c r="P4" s="69">
        <v>3548.114332329318</v>
      </c>
      <c r="Q4" s="70">
        <v>20.159740524598398</v>
      </c>
      <c r="R4" s="70">
        <v>29.526828537170264</v>
      </c>
      <c r="S4" s="68">
        <v>104764.56352096413</v>
      </c>
      <c r="T4" s="68">
        <v>5.816047079422206</v>
      </c>
      <c r="U4" s="68">
        <v>938.0</v>
      </c>
      <c r="V4" s="68">
        <v>1023.6242859783082</v>
      </c>
      <c r="W4" s="68">
        <v>5.076786369498165</v>
      </c>
      <c r="X4" s="71"/>
    </row>
    <row r="5" ht="14.25" hidden="1" customHeight="1">
      <c r="A5" s="67">
        <v>2025.0</v>
      </c>
      <c r="B5" s="68">
        <v>1.0</v>
      </c>
      <c r="C5" s="69">
        <v>22.0</v>
      </c>
      <c r="D5" s="68" t="s">
        <v>42</v>
      </c>
      <c r="E5" s="68" t="s">
        <v>84</v>
      </c>
      <c r="F5" s="69">
        <v>31052.0</v>
      </c>
      <c r="G5" s="69">
        <v>10656.432411043132</v>
      </c>
      <c r="H5" s="70">
        <v>60.54791142638143</v>
      </c>
      <c r="I5" s="70">
        <v>29.526828537170264</v>
      </c>
      <c r="J5" s="68">
        <v>314650.65261881443</v>
      </c>
      <c r="K5" s="72">
        <v>2.91392079471373</v>
      </c>
      <c r="L5" s="68">
        <v>1411.4545454545455</v>
      </c>
      <c r="M5" s="68">
        <v>512.8500598696172</v>
      </c>
      <c r="N5" s="68">
        <v>10.133023722105321</v>
      </c>
      <c r="O5" s="69">
        <v>28111.875</v>
      </c>
      <c r="P5" s="69">
        <v>10393.52233069271</v>
      </c>
      <c r="Q5" s="70">
        <v>59.05410415166312</v>
      </c>
      <c r="R5" s="70">
        <v>29.526828537170264</v>
      </c>
      <c r="S5" s="68">
        <v>306887.7517556139</v>
      </c>
      <c r="T5" s="68">
        <v>2.7047495647345565</v>
      </c>
      <c r="U5" s="68">
        <v>1277.8125</v>
      </c>
      <c r="V5" s="68">
        <v>476.03592339328196</v>
      </c>
      <c r="W5" s="68">
        <v>10.916658947708536</v>
      </c>
      <c r="X5" s="71"/>
    </row>
    <row r="6" ht="14.25" hidden="1" customHeight="1">
      <c r="A6" s="67">
        <v>2025.0</v>
      </c>
      <c r="B6" s="68">
        <v>1.0</v>
      </c>
      <c r="C6" s="69">
        <v>22.0</v>
      </c>
      <c r="D6" s="68" t="s">
        <v>42</v>
      </c>
      <c r="E6" s="68" t="s">
        <v>85</v>
      </c>
      <c r="F6" s="69">
        <v>34654.0</v>
      </c>
      <c r="G6" s="69">
        <v>11892.567588956868</v>
      </c>
      <c r="H6" s="70">
        <v>67.57140675543675</v>
      </c>
      <c r="I6" s="70">
        <v>29.526828537170264</v>
      </c>
      <c r="J6" s="68">
        <v>351149.8040658378</v>
      </c>
      <c r="K6" s="68">
        <v>2.9139207947137344</v>
      </c>
      <c r="L6" s="68">
        <v>1575.1818181818182</v>
      </c>
      <c r="M6" s="68">
        <v>512.8500598696172</v>
      </c>
      <c r="N6" s="68">
        <v>10.133023722105321</v>
      </c>
      <c r="O6" s="69">
        <v>28345.232</v>
      </c>
      <c r="P6" s="69">
        <v>10479.799079949864</v>
      </c>
      <c r="Q6" s="70">
        <v>59.54431295426058</v>
      </c>
      <c r="R6" s="70">
        <v>29.526828537170264</v>
      </c>
      <c r="S6" s="68">
        <v>309435.23053767433</v>
      </c>
      <c r="T6" s="68">
        <v>2.7047495647345565</v>
      </c>
      <c r="U6" s="68">
        <v>1288.4196363636363</v>
      </c>
      <c r="V6" s="68">
        <v>476.035923393282</v>
      </c>
      <c r="W6" s="68">
        <v>10.916658947708536</v>
      </c>
      <c r="X6" s="71"/>
    </row>
    <row r="7" ht="14.25" customHeight="1">
      <c r="A7" s="67">
        <v>2025.0</v>
      </c>
      <c r="B7" s="68">
        <v>1.0</v>
      </c>
      <c r="C7" s="69">
        <v>22.0</v>
      </c>
      <c r="D7" s="68" t="s">
        <v>42</v>
      </c>
      <c r="E7" s="68" t="s">
        <v>32</v>
      </c>
      <c r="F7" s="69">
        <v>65706.0</v>
      </c>
      <c r="G7" s="69">
        <v>22549.0</v>
      </c>
      <c r="H7" s="70">
        <v>128.1193181818182</v>
      </c>
      <c r="I7" s="70">
        <v>29.526828537170264</v>
      </c>
      <c r="J7" s="68">
        <v>665800.4566846523</v>
      </c>
      <c r="K7" s="68">
        <v>2.9139207947137344</v>
      </c>
      <c r="L7" s="68">
        <v>2986.6363636363635</v>
      </c>
      <c r="M7" s="68">
        <v>512.8500598696172</v>
      </c>
      <c r="N7" s="68">
        <v>10.133023722105321</v>
      </c>
      <c r="O7" s="69">
        <v>56457.107</v>
      </c>
      <c r="P7" s="69">
        <v>20873.321410642573</v>
      </c>
      <c r="Q7" s="70">
        <v>118.59841710592372</v>
      </c>
      <c r="R7" s="70">
        <v>29.526828537170264</v>
      </c>
      <c r="S7" s="68">
        <v>616322.9822932882</v>
      </c>
      <c r="T7" s="68">
        <v>2.704749564734557</v>
      </c>
      <c r="U7" s="68">
        <v>2566.2321363636365</v>
      </c>
      <c r="V7" s="68">
        <v>476.03592339328196</v>
      </c>
      <c r="W7" s="68">
        <v>10.916658947708536</v>
      </c>
      <c r="X7" s="71"/>
    </row>
    <row r="8" ht="14.25" hidden="1" customHeight="1">
      <c r="A8" s="67">
        <v>2025.0</v>
      </c>
      <c r="B8" s="68">
        <v>1.0</v>
      </c>
      <c r="C8" s="69">
        <v>22.0</v>
      </c>
      <c r="D8" s="68" t="s">
        <v>41</v>
      </c>
      <c r="E8" s="68" t="s">
        <v>32</v>
      </c>
      <c r="F8" s="69">
        <v>209420.0</v>
      </c>
      <c r="G8" s="69">
        <v>6034.0</v>
      </c>
      <c r="H8" s="70">
        <v>34.28409090909091</v>
      </c>
      <c r="I8" s="70">
        <v>29.526828537170264</v>
      </c>
      <c r="J8" s="68">
        <v>178164.88339328536</v>
      </c>
      <c r="K8" s="68">
        <v>34.7066622472655</v>
      </c>
      <c r="L8" s="68">
        <v>9519.09090909091</v>
      </c>
      <c r="M8" s="68">
        <v>6108.3725555187275</v>
      </c>
      <c r="N8" s="68">
        <v>0.8507539079041417</v>
      </c>
      <c r="O8" s="69">
        <v>219409.0</v>
      </c>
      <c r="P8" s="69">
        <v>6505.710341365462</v>
      </c>
      <c r="Q8" s="70">
        <v>36.96426330321285</v>
      </c>
      <c r="R8" s="70">
        <v>29.526828537170264</v>
      </c>
      <c r="S8" s="68">
        <v>192092.99376199342</v>
      </c>
      <c r="T8" s="68">
        <v>33.725602353508556</v>
      </c>
      <c r="U8" s="68">
        <v>9973.136363636364</v>
      </c>
      <c r="V8" s="68">
        <v>5935.706014217506</v>
      </c>
      <c r="W8" s="68">
        <v>0.8755018880811335</v>
      </c>
      <c r="X8" s="71"/>
    </row>
    <row r="9" ht="14.25" hidden="1" customHeight="1">
      <c r="A9" s="67">
        <v>2025.0</v>
      </c>
      <c r="B9" s="68">
        <v>1.0</v>
      </c>
      <c r="C9" s="69">
        <v>22.0</v>
      </c>
      <c r="D9" s="68" t="s">
        <v>86</v>
      </c>
      <c r="E9" s="68" t="s">
        <v>32</v>
      </c>
      <c r="F9" s="69">
        <v>0.0</v>
      </c>
      <c r="G9" s="69">
        <v>1132.0</v>
      </c>
      <c r="H9" s="70">
        <v>6.431818181818182</v>
      </c>
      <c r="I9" s="70">
        <v>29.526828537170264</v>
      </c>
      <c r="J9" s="68">
        <v>33424.36990407674</v>
      </c>
      <c r="K9" s="68">
        <v>0.0</v>
      </c>
      <c r="L9" s="68">
        <v>0.0</v>
      </c>
      <c r="M9" s="68">
        <v>0.0</v>
      </c>
      <c r="N9" s="68">
        <v>0.0</v>
      </c>
      <c r="O9" s="69">
        <v>0.0</v>
      </c>
      <c r="P9" s="69">
        <v>2302.0205823293177</v>
      </c>
      <c r="Q9" s="70">
        <v>13.079662399598396</v>
      </c>
      <c r="R9" s="70">
        <v>29.526828537170264</v>
      </c>
      <c r="S9" s="68">
        <v>67971.36702347461</v>
      </c>
      <c r="T9" s="68">
        <v>0.0</v>
      </c>
      <c r="U9" s="68">
        <v>0.0</v>
      </c>
      <c r="V9" s="68">
        <v>0.0</v>
      </c>
      <c r="W9" s="68">
        <v>0.0</v>
      </c>
      <c r="X9" s="71"/>
    </row>
    <row r="10" ht="14.25" hidden="1" customHeight="1">
      <c r="A10" s="67">
        <v>2025.0</v>
      </c>
      <c r="B10" s="68">
        <v>2.0</v>
      </c>
      <c r="C10" s="69">
        <v>20.0</v>
      </c>
      <c r="D10" s="68" t="s">
        <v>37</v>
      </c>
      <c r="E10" s="68" t="s">
        <v>84</v>
      </c>
      <c r="F10" s="69">
        <v>11796.0</v>
      </c>
      <c r="G10" s="69">
        <v>2300.899625156185</v>
      </c>
      <c r="H10" s="70">
        <v>14.380622657226155</v>
      </c>
      <c r="I10" s="70">
        <v>28.703984696689687</v>
      </c>
      <c r="J10" s="68">
        <v>66044.98762910216</v>
      </c>
      <c r="K10" s="68">
        <v>5.126690391459075</v>
      </c>
      <c r="L10" s="68">
        <v>589.8</v>
      </c>
      <c r="M10" s="68">
        <v>820.270462633452</v>
      </c>
      <c r="N10" s="68">
        <v>5.59893079256546</v>
      </c>
      <c r="O10" s="69">
        <v>11407.0</v>
      </c>
      <c r="P10" s="69">
        <v>1961.29774127159</v>
      </c>
      <c r="Q10" s="70">
        <v>12.258110882947436</v>
      </c>
      <c r="R10" s="70">
        <v>28.703984696689687</v>
      </c>
      <c r="S10" s="68">
        <v>56297.060351111766</v>
      </c>
      <c r="T10" s="68">
        <v>5.816047079422206</v>
      </c>
      <c r="U10" s="68">
        <v>570.35</v>
      </c>
      <c r="V10" s="68">
        <v>930.567532707553</v>
      </c>
      <c r="W10" s="68">
        <v>4.935308174902408</v>
      </c>
      <c r="X10" s="71"/>
    </row>
    <row r="11" ht="14.25" hidden="1" customHeight="1">
      <c r="A11" s="67">
        <v>2025.0</v>
      </c>
      <c r="B11" s="68">
        <v>2.0</v>
      </c>
      <c r="C11" s="69">
        <v>20.0</v>
      </c>
      <c r="D11" s="68" t="s">
        <v>37</v>
      </c>
      <c r="E11" s="68" t="s">
        <v>85</v>
      </c>
      <c r="F11" s="69">
        <v>9813.0</v>
      </c>
      <c r="G11" s="69">
        <v>1914.1003748438152</v>
      </c>
      <c r="H11" s="70">
        <v>11.963127342773845</v>
      </c>
      <c r="I11" s="70">
        <v>28.703984696689687</v>
      </c>
      <c r="J11" s="68">
        <v>54942.30786744486</v>
      </c>
      <c r="K11" s="68">
        <v>5.126690391459074</v>
      </c>
      <c r="L11" s="68">
        <v>490.65</v>
      </c>
      <c r="M11" s="68">
        <v>820.2704626334519</v>
      </c>
      <c r="N11" s="68">
        <v>5.598930792565461</v>
      </c>
      <c r="O11" s="69">
        <v>9229.0</v>
      </c>
      <c r="P11" s="69">
        <v>1586.816591057728</v>
      </c>
      <c r="Q11" s="70">
        <v>9.9176036941108</v>
      </c>
      <c r="R11" s="70">
        <v>28.703984696689687</v>
      </c>
      <c r="S11" s="68">
        <v>45547.95914617432</v>
      </c>
      <c r="T11" s="68">
        <v>5.816047079422207</v>
      </c>
      <c r="U11" s="68">
        <v>461.45</v>
      </c>
      <c r="V11" s="68">
        <v>930.5675327075529</v>
      </c>
      <c r="W11" s="68">
        <v>4.935308174902407</v>
      </c>
      <c r="X11" s="71"/>
    </row>
    <row r="12" ht="14.25" hidden="1" customHeight="1">
      <c r="A12" s="67">
        <v>2025.0</v>
      </c>
      <c r="B12" s="68">
        <v>2.0</v>
      </c>
      <c r="C12" s="69">
        <v>20.0</v>
      </c>
      <c r="D12" s="68" t="s">
        <v>37</v>
      </c>
      <c r="E12" s="68" t="s">
        <v>32</v>
      </c>
      <c r="F12" s="69">
        <v>21609.0</v>
      </c>
      <c r="G12" s="69">
        <v>4215.0</v>
      </c>
      <c r="H12" s="70">
        <v>26.34375</v>
      </c>
      <c r="I12" s="70">
        <v>28.703984696689687</v>
      </c>
      <c r="J12" s="68">
        <v>120987.29549654703</v>
      </c>
      <c r="K12" s="68">
        <v>5.126690391459075</v>
      </c>
      <c r="L12" s="68">
        <v>1080.45</v>
      </c>
      <c r="M12" s="68">
        <v>820.270462633452</v>
      </c>
      <c r="N12" s="68">
        <v>5.59893079256546</v>
      </c>
      <c r="O12" s="69">
        <v>20636.0</v>
      </c>
      <c r="P12" s="69">
        <v>3548.114332329318</v>
      </c>
      <c r="Q12" s="70">
        <v>22.175714577058237</v>
      </c>
      <c r="R12" s="70">
        <v>28.703984696689687</v>
      </c>
      <c r="S12" s="68">
        <v>101845.01949728609</v>
      </c>
      <c r="T12" s="68">
        <v>5.816047079422206</v>
      </c>
      <c r="U12" s="68">
        <v>1031.8</v>
      </c>
      <c r="V12" s="68">
        <v>930.5675327075529</v>
      </c>
      <c r="W12" s="68">
        <v>4.935308174902408</v>
      </c>
      <c r="X12" s="71"/>
    </row>
    <row r="13" ht="14.25" hidden="1" customHeight="1">
      <c r="A13" s="67">
        <v>2025.0</v>
      </c>
      <c r="B13" s="68">
        <v>2.0</v>
      </c>
      <c r="C13" s="69">
        <v>20.0</v>
      </c>
      <c r="D13" s="68" t="s">
        <v>42</v>
      </c>
      <c r="E13" s="68" t="s">
        <v>84</v>
      </c>
      <c r="F13" s="69">
        <v>25857.0</v>
      </c>
      <c r="G13" s="69">
        <v>8660.445327929383</v>
      </c>
      <c r="H13" s="70">
        <v>54.127783299558644</v>
      </c>
      <c r="I13" s="70">
        <v>28.703984696689687</v>
      </c>
      <c r="J13" s="68">
        <v>248589.2901594027</v>
      </c>
      <c r="K13" s="68">
        <v>2.9856432343741988</v>
      </c>
      <c r="L13" s="68">
        <v>1292.85</v>
      </c>
      <c r="M13" s="68">
        <v>477.7029174998718</v>
      </c>
      <c r="N13" s="68">
        <v>9.614003564195487</v>
      </c>
      <c r="O13" s="69">
        <v>28111.875</v>
      </c>
      <c r="P13" s="69">
        <v>10393.52233069271</v>
      </c>
      <c r="Q13" s="70">
        <v>64.95951456682944</v>
      </c>
      <c r="R13" s="70">
        <v>28.703984696689687</v>
      </c>
      <c r="S13" s="68">
        <v>298335.50592490606</v>
      </c>
      <c r="T13" s="68">
        <v>2.7047495647345565</v>
      </c>
      <c r="U13" s="68">
        <v>1405.59375</v>
      </c>
      <c r="V13" s="68">
        <v>432.759930357529</v>
      </c>
      <c r="W13" s="68">
        <v>10.612437125766462</v>
      </c>
      <c r="X13" s="71"/>
    </row>
    <row r="14" ht="14.25" hidden="1" customHeight="1">
      <c r="A14" s="67">
        <v>2025.0</v>
      </c>
      <c r="B14" s="68">
        <v>2.0</v>
      </c>
      <c r="C14" s="69">
        <v>20.0</v>
      </c>
      <c r="D14" s="68" t="s">
        <v>42</v>
      </c>
      <c r="E14" s="68" t="s">
        <v>85</v>
      </c>
      <c r="F14" s="69">
        <v>32372.0</v>
      </c>
      <c r="G14" s="69">
        <v>10842.554672070617</v>
      </c>
      <c r="H14" s="70">
        <v>67.76596670044137</v>
      </c>
      <c r="I14" s="70">
        <v>28.703984696689687</v>
      </c>
      <c r="J14" s="68">
        <v>311224.5233801363</v>
      </c>
      <c r="K14" s="68">
        <v>2.985643234374199</v>
      </c>
      <c r="L14" s="68">
        <v>1618.6</v>
      </c>
      <c r="M14" s="68">
        <v>477.7029174998718</v>
      </c>
      <c r="N14" s="68">
        <v>9.614003564195487</v>
      </c>
      <c r="O14" s="69">
        <v>28345.232</v>
      </c>
      <c r="P14" s="69">
        <v>10479.799079949864</v>
      </c>
      <c r="Q14" s="70">
        <v>65.49874424968665</v>
      </c>
      <c r="R14" s="70">
        <v>28.703984696689687</v>
      </c>
      <c r="S14" s="68">
        <v>300811.99241526355</v>
      </c>
      <c r="T14" s="68">
        <v>2.7047495647345565</v>
      </c>
      <c r="U14" s="68">
        <v>1417.2616</v>
      </c>
      <c r="V14" s="68">
        <v>432.759930357529</v>
      </c>
      <c r="W14" s="68">
        <v>10.612437125766462</v>
      </c>
      <c r="X14" s="71"/>
    </row>
    <row r="15" ht="14.25" customHeight="1">
      <c r="A15" s="67">
        <v>2025.0</v>
      </c>
      <c r="B15" s="68">
        <v>2.0</v>
      </c>
      <c r="C15" s="69">
        <v>20.0</v>
      </c>
      <c r="D15" s="68" t="s">
        <v>42</v>
      </c>
      <c r="E15" s="68" t="s">
        <v>32</v>
      </c>
      <c r="F15" s="69">
        <v>58229.0</v>
      </c>
      <c r="G15" s="69">
        <v>19503.0</v>
      </c>
      <c r="H15" s="70">
        <v>121.89375</v>
      </c>
      <c r="I15" s="70">
        <v>28.703984696689687</v>
      </c>
      <c r="J15" s="68">
        <v>559813.813539539</v>
      </c>
      <c r="K15" s="68">
        <v>2.9856432343741988</v>
      </c>
      <c r="L15" s="68">
        <v>2911.45</v>
      </c>
      <c r="M15" s="68">
        <v>477.70291749987183</v>
      </c>
      <c r="N15" s="68">
        <v>9.614003564195487</v>
      </c>
      <c r="O15" s="69">
        <v>56457.107</v>
      </c>
      <c r="P15" s="69">
        <v>20873.321410642573</v>
      </c>
      <c r="Q15" s="70">
        <v>130.4582588165161</v>
      </c>
      <c r="R15" s="70">
        <v>28.703984696689687</v>
      </c>
      <c r="S15" s="68">
        <v>599147.4983401697</v>
      </c>
      <c r="T15" s="68">
        <v>2.704749564734557</v>
      </c>
      <c r="U15" s="68">
        <v>2822.8553500000003</v>
      </c>
      <c r="V15" s="68">
        <v>432.759930357529</v>
      </c>
      <c r="W15" s="68">
        <v>10.612437125766462</v>
      </c>
      <c r="X15" s="71"/>
    </row>
    <row r="16" ht="14.25" hidden="1" customHeight="1">
      <c r="A16" s="67">
        <v>2025.0</v>
      </c>
      <c r="B16" s="68">
        <v>2.0</v>
      </c>
      <c r="C16" s="69">
        <v>20.0</v>
      </c>
      <c r="D16" s="68" t="s">
        <v>41</v>
      </c>
      <c r="E16" s="68" t="s">
        <v>32</v>
      </c>
      <c r="F16" s="69">
        <v>180990.0</v>
      </c>
      <c r="G16" s="69">
        <v>5875.0</v>
      </c>
      <c r="H16" s="70">
        <v>36.71875</v>
      </c>
      <c r="I16" s="70">
        <v>28.703984696689687</v>
      </c>
      <c r="J16" s="68">
        <v>168635.9100930519</v>
      </c>
      <c r="K16" s="68">
        <v>30.806808510638298</v>
      </c>
      <c r="L16" s="68">
        <v>9049.5</v>
      </c>
      <c r="M16" s="68">
        <v>4929.0893617021275</v>
      </c>
      <c r="N16" s="68">
        <v>0.9317415884471623</v>
      </c>
      <c r="O16" s="69">
        <v>219409.0</v>
      </c>
      <c r="P16" s="69">
        <v>6505.710341365462</v>
      </c>
      <c r="Q16" s="70">
        <v>40.66068963353414</v>
      </c>
      <c r="R16" s="70">
        <v>28.703984696689687</v>
      </c>
      <c r="S16" s="68">
        <v>186739.81007965008</v>
      </c>
      <c r="T16" s="68">
        <v>33.725602353508556</v>
      </c>
      <c r="U16" s="68">
        <v>10970.45</v>
      </c>
      <c r="V16" s="68">
        <v>5396.096376561369</v>
      </c>
      <c r="W16" s="68">
        <v>0.8511036925543167</v>
      </c>
      <c r="X16" s="71"/>
    </row>
    <row r="17" ht="14.25" hidden="1" customHeight="1">
      <c r="A17" s="67">
        <v>2025.0</v>
      </c>
      <c r="B17" s="68">
        <v>2.0</v>
      </c>
      <c r="C17" s="69">
        <v>20.0</v>
      </c>
      <c r="D17" s="68" t="s">
        <v>86</v>
      </c>
      <c r="E17" s="68" t="s">
        <v>32</v>
      </c>
      <c r="F17" s="69">
        <v>0.0</v>
      </c>
      <c r="G17" s="69">
        <v>1250.0</v>
      </c>
      <c r="H17" s="70">
        <v>7.8125</v>
      </c>
      <c r="I17" s="70">
        <v>28.703984696689687</v>
      </c>
      <c r="J17" s="68">
        <v>35879.980870862106</v>
      </c>
      <c r="K17" s="68">
        <v>0.0</v>
      </c>
      <c r="L17" s="68">
        <v>0.0</v>
      </c>
      <c r="M17" s="68">
        <v>0.0</v>
      </c>
      <c r="N17" s="68">
        <v>0.0</v>
      </c>
      <c r="O17" s="69">
        <v>0.0</v>
      </c>
      <c r="P17" s="69">
        <v>2302.0205823293177</v>
      </c>
      <c r="Q17" s="70">
        <v>14.387628639558235</v>
      </c>
      <c r="R17" s="70">
        <v>28.703984696689687</v>
      </c>
      <c r="S17" s="68">
        <v>66077.16356664542</v>
      </c>
      <c r="T17" s="68">
        <v>0.0</v>
      </c>
      <c r="U17" s="68">
        <v>0.0</v>
      </c>
      <c r="V17" s="68">
        <v>0.0</v>
      </c>
      <c r="W17" s="68">
        <v>0.0</v>
      </c>
      <c r="X17" s="71"/>
    </row>
    <row r="18" ht="14.25" hidden="1" customHeight="1">
      <c r="A18" s="67">
        <v>2025.0</v>
      </c>
      <c r="B18" s="68">
        <v>3.0</v>
      </c>
      <c r="C18" s="69">
        <v>21.0</v>
      </c>
      <c r="D18" s="68" t="s">
        <v>37</v>
      </c>
      <c r="E18" s="68" t="s">
        <v>84</v>
      </c>
      <c r="F18" s="69">
        <v>13061.0</v>
      </c>
      <c r="G18" s="69">
        <v>2268.571817488838</v>
      </c>
      <c r="H18" s="70">
        <v>13.503403675528798</v>
      </c>
      <c r="I18" s="70">
        <v>29.049874383548897</v>
      </c>
      <c r="J18" s="68">
        <v>65901.72632810996</v>
      </c>
      <c r="K18" s="68">
        <v>5.757366771159875</v>
      </c>
      <c r="L18" s="68">
        <v>621.952380952381</v>
      </c>
      <c r="M18" s="68">
        <v>967.237617554859</v>
      </c>
      <c r="N18" s="68">
        <v>5.045687644752313</v>
      </c>
      <c r="O18" s="69">
        <v>11407.0</v>
      </c>
      <c r="P18" s="69">
        <v>1961.29774127159</v>
      </c>
      <c r="Q18" s="70">
        <v>11.674391317092796</v>
      </c>
      <c r="R18" s="70">
        <v>29.049874383548897</v>
      </c>
      <c r="S18" s="68">
        <v>56975.45301267787</v>
      </c>
      <c r="T18" s="68">
        <v>5.816047079422206</v>
      </c>
      <c r="U18" s="68">
        <v>543.1904761904761</v>
      </c>
      <c r="V18" s="68">
        <v>977.0959093429307</v>
      </c>
      <c r="W18" s="68">
        <v>4.994779785454359</v>
      </c>
      <c r="X18" s="71"/>
    </row>
    <row r="19" ht="14.25" hidden="1" customHeight="1">
      <c r="A19" s="67">
        <v>2025.0</v>
      </c>
      <c r="B19" s="68">
        <v>3.0</v>
      </c>
      <c r="C19" s="69">
        <v>21.0</v>
      </c>
      <c r="D19" s="68" t="s">
        <v>37</v>
      </c>
      <c r="E19" s="68" t="s">
        <v>85</v>
      </c>
      <c r="F19" s="69">
        <v>14488.0</v>
      </c>
      <c r="G19" s="69">
        <v>2516.428182511162</v>
      </c>
      <c r="H19" s="70">
        <v>14.97873918161406</v>
      </c>
      <c r="I19" s="70">
        <v>29.049874383548897</v>
      </c>
      <c r="J19" s="68">
        <v>73101.92259717152</v>
      </c>
      <c r="K19" s="68">
        <v>5.757366771159874</v>
      </c>
      <c r="L19" s="68">
        <v>689.9047619047619</v>
      </c>
      <c r="M19" s="68">
        <v>967.2376175548588</v>
      </c>
      <c r="N19" s="68">
        <v>5.045687644752314</v>
      </c>
      <c r="O19" s="69">
        <v>9229.0</v>
      </c>
      <c r="P19" s="69">
        <v>1586.816591057728</v>
      </c>
      <c r="Q19" s="70">
        <v>9.445336851534096</v>
      </c>
      <c r="R19" s="70">
        <v>29.049874383548897</v>
      </c>
      <c r="S19" s="68">
        <v>46096.82263995828</v>
      </c>
      <c r="T19" s="68">
        <v>5.816047079422207</v>
      </c>
      <c r="U19" s="68">
        <v>439.4761904761905</v>
      </c>
      <c r="V19" s="68">
        <v>977.0959093429306</v>
      </c>
      <c r="W19" s="68">
        <v>4.994779785454359</v>
      </c>
      <c r="X19" s="71"/>
    </row>
    <row r="20" ht="14.25" hidden="1" customHeight="1">
      <c r="A20" s="67">
        <v>2025.0</v>
      </c>
      <c r="B20" s="68">
        <v>3.0</v>
      </c>
      <c r="C20" s="69">
        <v>21.0</v>
      </c>
      <c r="D20" s="68" t="s">
        <v>37</v>
      </c>
      <c r="E20" s="68" t="s">
        <v>32</v>
      </c>
      <c r="F20" s="69">
        <v>27549.0</v>
      </c>
      <c r="G20" s="69">
        <v>4785.0</v>
      </c>
      <c r="H20" s="70">
        <v>28.482142857142858</v>
      </c>
      <c r="I20" s="70">
        <v>29.049874383548897</v>
      </c>
      <c r="J20" s="68">
        <v>139003.64892528148</v>
      </c>
      <c r="K20" s="68">
        <v>5.757366771159875</v>
      </c>
      <c r="L20" s="68">
        <v>1311.857142857143</v>
      </c>
      <c r="M20" s="68">
        <v>967.237617554859</v>
      </c>
      <c r="N20" s="68">
        <v>5.045687644752313</v>
      </c>
      <c r="O20" s="69">
        <v>20636.0</v>
      </c>
      <c r="P20" s="69">
        <v>3548.114332329318</v>
      </c>
      <c r="Q20" s="70">
        <v>21.119728168626892</v>
      </c>
      <c r="R20" s="70">
        <v>29.049874383548897</v>
      </c>
      <c r="S20" s="68">
        <v>103072.27565263616</v>
      </c>
      <c r="T20" s="68">
        <v>5.816047079422206</v>
      </c>
      <c r="U20" s="68">
        <v>982.6666666666666</v>
      </c>
      <c r="V20" s="68">
        <v>977.0959093429307</v>
      </c>
      <c r="W20" s="68">
        <v>4.99477978545436</v>
      </c>
      <c r="X20" s="71"/>
    </row>
    <row r="21" ht="14.25" hidden="1" customHeight="1">
      <c r="A21" s="67">
        <v>2025.0</v>
      </c>
      <c r="B21" s="68">
        <v>3.0</v>
      </c>
      <c r="C21" s="69">
        <v>21.0</v>
      </c>
      <c r="D21" s="68" t="s">
        <v>42</v>
      </c>
      <c r="E21" s="68" t="s">
        <v>84</v>
      </c>
      <c r="F21" s="69">
        <v>26704.0</v>
      </c>
      <c r="G21" s="69">
        <v>8935.266601188594</v>
      </c>
      <c r="H21" s="70">
        <v>53.18611072136067</v>
      </c>
      <c r="I21" s="70">
        <v>29.049874383548897</v>
      </c>
      <c r="J21" s="68">
        <v>259568.37234804855</v>
      </c>
      <c r="K21" s="68">
        <v>2.9886069651741294</v>
      </c>
      <c r="L21" s="68">
        <v>1271.6190476190477</v>
      </c>
      <c r="M21" s="68">
        <v>502.0859701492538</v>
      </c>
      <c r="N21" s="68">
        <v>9.720205675106671</v>
      </c>
      <c r="O21" s="69">
        <v>28111.875</v>
      </c>
      <c r="P21" s="69">
        <v>10393.52233069271</v>
      </c>
      <c r="Q21" s="70">
        <v>61.86620434936136</v>
      </c>
      <c r="R21" s="70">
        <v>29.049874383548897</v>
      </c>
      <c r="S21" s="68">
        <v>301930.5181092336</v>
      </c>
      <c r="T21" s="68">
        <v>2.7047495647345565</v>
      </c>
      <c r="U21" s="68">
        <v>1338.6607142857142</v>
      </c>
      <c r="V21" s="68">
        <v>454.3979268754055</v>
      </c>
      <c r="W21" s="68">
        <v>10.740319459631689</v>
      </c>
      <c r="X21" s="71"/>
    </row>
    <row r="22" ht="14.25" hidden="1" customHeight="1">
      <c r="A22" s="67">
        <v>2025.0</v>
      </c>
      <c r="B22" s="68">
        <v>3.0</v>
      </c>
      <c r="C22" s="69">
        <v>21.0</v>
      </c>
      <c r="D22" s="68" t="s">
        <v>42</v>
      </c>
      <c r="E22" s="68" t="s">
        <v>85</v>
      </c>
      <c r="F22" s="69">
        <v>33367.0</v>
      </c>
      <c r="G22" s="69">
        <v>11164.733398811406</v>
      </c>
      <c r="H22" s="70">
        <v>66.45674642149646</v>
      </c>
      <c r="I22" s="70">
        <v>29.049874383548897</v>
      </c>
      <c r="J22" s="68">
        <v>324334.1027612843</v>
      </c>
      <c r="K22" s="68">
        <v>2.9886069651741294</v>
      </c>
      <c r="L22" s="68">
        <v>1588.904761904762</v>
      </c>
      <c r="M22" s="68">
        <v>502.0859701492538</v>
      </c>
      <c r="N22" s="68">
        <v>9.720205675106671</v>
      </c>
      <c r="O22" s="69">
        <v>28345.232</v>
      </c>
      <c r="P22" s="69">
        <v>10479.799079949864</v>
      </c>
      <c r="Q22" s="70">
        <v>62.37975642827299</v>
      </c>
      <c r="R22" s="70">
        <v>29.049874383548897</v>
      </c>
      <c r="S22" s="68">
        <v>304436.84683737485</v>
      </c>
      <c r="T22" s="68">
        <v>2.7047495647345565</v>
      </c>
      <c r="U22" s="68">
        <v>1349.7729523809523</v>
      </c>
      <c r="V22" s="68">
        <v>454.3979268754056</v>
      </c>
      <c r="W22" s="68">
        <v>10.740319459631689</v>
      </c>
      <c r="X22" s="71"/>
    </row>
    <row r="23" ht="14.25" customHeight="1">
      <c r="A23" s="67">
        <v>2025.0</v>
      </c>
      <c r="B23" s="68">
        <v>3.0</v>
      </c>
      <c r="C23" s="69">
        <v>21.0</v>
      </c>
      <c r="D23" s="68" t="s">
        <v>42</v>
      </c>
      <c r="E23" s="68" t="s">
        <v>32</v>
      </c>
      <c r="F23" s="69">
        <v>60071.0</v>
      </c>
      <c r="G23" s="69">
        <v>20100.0</v>
      </c>
      <c r="H23" s="70">
        <v>119.64285714285714</v>
      </c>
      <c r="I23" s="70">
        <v>29.049874383548897</v>
      </c>
      <c r="J23" s="68">
        <v>583902.4751093328</v>
      </c>
      <c r="K23" s="68">
        <v>2.9886069651741294</v>
      </c>
      <c r="L23" s="68">
        <v>2860.5238095238096</v>
      </c>
      <c r="M23" s="68">
        <v>502.08597014925374</v>
      </c>
      <c r="N23" s="68">
        <v>9.720205675106671</v>
      </c>
      <c r="O23" s="69">
        <v>56457.107</v>
      </c>
      <c r="P23" s="69">
        <v>20873.321410642573</v>
      </c>
      <c r="Q23" s="70">
        <v>124.24596077763437</v>
      </c>
      <c r="R23" s="70">
        <v>29.049874383548897</v>
      </c>
      <c r="S23" s="68">
        <v>606367.3649466084</v>
      </c>
      <c r="T23" s="68">
        <v>2.704749564734557</v>
      </c>
      <c r="U23" s="68">
        <v>2688.433666666667</v>
      </c>
      <c r="V23" s="68">
        <v>454.3979268754055</v>
      </c>
      <c r="W23" s="68">
        <v>10.740319459631689</v>
      </c>
      <c r="X23" s="71"/>
    </row>
    <row r="24" ht="14.25" hidden="1" customHeight="1">
      <c r="A24" s="67">
        <v>2025.0</v>
      </c>
      <c r="B24" s="68">
        <v>3.0</v>
      </c>
      <c r="C24" s="69">
        <v>21.0</v>
      </c>
      <c r="D24" s="68" t="s">
        <v>41</v>
      </c>
      <c r="E24" s="68" t="s">
        <v>32</v>
      </c>
      <c r="F24" s="69">
        <v>206128.0</v>
      </c>
      <c r="G24" s="69">
        <v>6341.0</v>
      </c>
      <c r="H24" s="70">
        <v>37.74404761904762</v>
      </c>
      <c r="I24" s="70">
        <v>29.049874383548897</v>
      </c>
      <c r="J24" s="68">
        <v>184205.25346608355</v>
      </c>
      <c r="K24" s="68">
        <v>32.507175524365245</v>
      </c>
      <c r="L24" s="68">
        <v>9815.619047619048</v>
      </c>
      <c r="M24" s="68">
        <v>5461.20548809336</v>
      </c>
      <c r="N24" s="68">
        <v>0.8936449849903145</v>
      </c>
      <c r="O24" s="69">
        <v>219409.0</v>
      </c>
      <c r="P24" s="69">
        <v>6505.710341365462</v>
      </c>
      <c r="Q24" s="70">
        <v>38.72446631765156</v>
      </c>
      <c r="R24" s="70">
        <v>29.049874383548897</v>
      </c>
      <c r="S24" s="68">
        <v>188990.0681924217</v>
      </c>
      <c r="T24" s="68">
        <v>33.725602353508556</v>
      </c>
      <c r="U24" s="68">
        <v>10448.047619047618</v>
      </c>
      <c r="V24" s="68">
        <v>5665.901195389438</v>
      </c>
      <c r="W24" s="68">
        <v>0.8613596898596761</v>
      </c>
      <c r="X24" s="71"/>
    </row>
    <row r="25" ht="14.25" hidden="1" customHeight="1">
      <c r="A25" s="67">
        <v>2025.0</v>
      </c>
      <c r="B25" s="68">
        <v>3.0</v>
      </c>
      <c r="C25" s="69">
        <v>21.0</v>
      </c>
      <c r="D25" s="68" t="s">
        <v>86</v>
      </c>
      <c r="E25" s="68" t="s">
        <v>32</v>
      </c>
      <c r="F25" s="69">
        <v>0.0</v>
      </c>
      <c r="G25" s="69">
        <v>1016.0</v>
      </c>
      <c r="H25" s="70">
        <v>6.0476190476190474</v>
      </c>
      <c r="I25" s="70">
        <v>29.049874383548897</v>
      </c>
      <c r="J25" s="68">
        <v>29514.67237368568</v>
      </c>
      <c r="K25" s="68">
        <v>0.0</v>
      </c>
      <c r="L25" s="68">
        <v>0.0</v>
      </c>
      <c r="M25" s="68">
        <v>0.0</v>
      </c>
      <c r="N25" s="68">
        <v>0.0</v>
      </c>
      <c r="O25" s="69">
        <v>0.0</v>
      </c>
      <c r="P25" s="69">
        <v>2302.0205823293177</v>
      </c>
      <c r="Q25" s="70">
        <v>13.702503466245938</v>
      </c>
      <c r="R25" s="70">
        <v>29.049874383548897</v>
      </c>
      <c r="S25" s="68">
        <v>66873.40874501076</v>
      </c>
      <c r="T25" s="68">
        <v>0.0</v>
      </c>
      <c r="U25" s="68">
        <v>0.0</v>
      </c>
      <c r="V25" s="68">
        <v>0.0</v>
      </c>
      <c r="W25" s="68">
        <v>0.0</v>
      </c>
      <c r="X25" s="71"/>
    </row>
    <row r="26" ht="14.25" hidden="1" customHeight="1">
      <c r="A26" s="67">
        <v>2025.0</v>
      </c>
      <c r="B26" s="68">
        <v>4.0</v>
      </c>
      <c r="C26" s="69">
        <v>21.0</v>
      </c>
      <c r="D26" s="68" t="s">
        <v>37</v>
      </c>
      <c r="E26" s="68" t="s">
        <v>84</v>
      </c>
      <c r="F26" s="69">
        <v>12720.0</v>
      </c>
      <c r="G26" s="69">
        <v>2348.524334741072</v>
      </c>
      <c r="H26" s="70">
        <v>13.979311516315905</v>
      </c>
      <c r="I26" s="70">
        <v>29.22623866860425</v>
      </c>
      <c r="J26" s="68">
        <v>68638.53272616758</v>
      </c>
      <c r="K26" s="68">
        <v>5.416166999777926</v>
      </c>
      <c r="L26" s="68">
        <v>605.7142857142857</v>
      </c>
      <c r="M26" s="68">
        <v>909.9160559626914</v>
      </c>
      <c r="N26" s="68">
        <v>5.396111063377955</v>
      </c>
      <c r="O26" s="69">
        <v>11407.0</v>
      </c>
      <c r="P26" s="69">
        <v>1961.29774127159</v>
      </c>
      <c r="Q26" s="70">
        <v>11.674391317092796</v>
      </c>
      <c r="R26" s="70">
        <v>29.22623866860425</v>
      </c>
      <c r="S26" s="68">
        <v>57321.355886597914</v>
      </c>
      <c r="T26" s="68">
        <v>5.816047079422206</v>
      </c>
      <c r="U26" s="68">
        <v>543.1904761904761</v>
      </c>
      <c r="V26" s="68">
        <v>977.0959093429307</v>
      </c>
      <c r="W26" s="68">
        <v>5.025103522976936</v>
      </c>
      <c r="X26" s="71"/>
    </row>
    <row r="27" ht="14.25" hidden="1" customHeight="1">
      <c r="A27" s="67">
        <v>2025.0</v>
      </c>
      <c r="B27" s="68">
        <v>4.0</v>
      </c>
      <c r="C27" s="69">
        <v>21.0</v>
      </c>
      <c r="D27" s="68" t="s">
        <v>37</v>
      </c>
      <c r="E27" s="68" t="s">
        <v>85</v>
      </c>
      <c r="F27" s="69">
        <v>11669.0</v>
      </c>
      <c r="G27" s="69">
        <v>2154.475665258928</v>
      </c>
      <c r="H27" s="70">
        <v>12.824259912255526</v>
      </c>
      <c r="I27" s="70">
        <v>29.22623866860425</v>
      </c>
      <c r="J27" s="68">
        <v>62967.219998557346</v>
      </c>
      <c r="K27" s="68">
        <v>5.416166999777926</v>
      </c>
      <c r="L27" s="68">
        <v>555.6666666666666</v>
      </c>
      <c r="M27" s="68">
        <v>909.9160559626915</v>
      </c>
      <c r="N27" s="68">
        <v>5.396111063377954</v>
      </c>
      <c r="O27" s="69">
        <v>9229.0</v>
      </c>
      <c r="P27" s="69">
        <v>1586.816591057728</v>
      </c>
      <c r="Q27" s="70">
        <v>9.445336851534096</v>
      </c>
      <c r="R27" s="70">
        <v>29.22623866860425</v>
      </c>
      <c r="S27" s="68">
        <v>46376.680413554146</v>
      </c>
      <c r="T27" s="68">
        <v>5.816047079422207</v>
      </c>
      <c r="U27" s="68">
        <v>439.4761904761905</v>
      </c>
      <c r="V27" s="68">
        <v>977.0959093429306</v>
      </c>
      <c r="W27" s="68">
        <v>5.025103522976936</v>
      </c>
      <c r="X27" s="71"/>
    </row>
    <row r="28" ht="14.25" hidden="1" customHeight="1">
      <c r="A28" s="67">
        <v>2025.0</v>
      </c>
      <c r="B28" s="68">
        <v>4.0</v>
      </c>
      <c r="C28" s="69">
        <v>21.0</v>
      </c>
      <c r="D28" s="68" t="s">
        <v>37</v>
      </c>
      <c r="E28" s="68" t="s">
        <v>32</v>
      </c>
      <c r="F28" s="69">
        <v>24389.0</v>
      </c>
      <c r="G28" s="69">
        <v>4503.0</v>
      </c>
      <c r="H28" s="70">
        <v>26.803571428571427</v>
      </c>
      <c r="I28" s="70">
        <v>29.22623866860425</v>
      </c>
      <c r="J28" s="68">
        <v>131605.75272472494</v>
      </c>
      <c r="K28" s="68">
        <v>5.416166999777926</v>
      </c>
      <c r="L28" s="68">
        <v>1161.3809523809523</v>
      </c>
      <c r="M28" s="68">
        <v>909.9160559626916</v>
      </c>
      <c r="N28" s="68">
        <v>5.396111063377955</v>
      </c>
      <c r="O28" s="69">
        <v>20636.0</v>
      </c>
      <c r="P28" s="69">
        <v>3548.114332329318</v>
      </c>
      <c r="Q28" s="70">
        <v>21.119728168626892</v>
      </c>
      <c r="R28" s="70">
        <v>29.22623866860425</v>
      </c>
      <c r="S28" s="68">
        <v>103698.03630015206</v>
      </c>
      <c r="T28" s="68">
        <v>5.816047079422206</v>
      </c>
      <c r="U28" s="68">
        <v>982.6666666666666</v>
      </c>
      <c r="V28" s="68">
        <v>977.0959093429307</v>
      </c>
      <c r="W28" s="68">
        <v>5.025103522976936</v>
      </c>
      <c r="X28" s="71"/>
    </row>
    <row r="29" ht="14.25" hidden="1" customHeight="1">
      <c r="A29" s="67">
        <v>2025.0</v>
      </c>
      <c r="B29" s="68">
        <v>4.0</v>
      </c>
      <c r="C29" s="69">
        <v>21.0</v>
      </c>
      <c r="D29" s="68" t="s">
        <v>42</v>
      </c>
      <c r="E29" s="68" t="s">
        <v>84</v>
      </c>
      <c r="F29" s="69">
        <v>30455.0</v>
      </c>
      <c r="G29" s="69">
        <v>8860.891743812583</v>
      </c>
      <c r="H29" s="70">
        <v>52.74340323697965</v>
      </c>
      <c r="I29" s="70">
        <v>29.22623866860425</v>
      </c>
      <c r="J29" s="68">
        <v>258970.53692133146</v>
      </c>
      <c r="K29" s="68">
        <v>3.437012987012987</v>
      </c>
      <c r="L29" s="68">
        <v>1450.2380952380952</v>
      </c>
      <c r="M29" s="68">
        <v>577.4181818181819</v>
      </c>
      <c r="N29" s="68">
        <v>8.503383251398176</v>
      </c>
      <c r="O29" s="69">
        <v>28111.875</v>
      </c>
      <c r="P29" s="69">
        <v>9207.44515089674</v>
      </c>
      <c r="Q29" s="70">
        <v>54.80622113629011</v>
      </c>
      <c r="R29" s="70">
        <v>29.22623866860425</v>
      </c>
      <c r="S29" s="68">
        <v>269098.989508191</v>
      </c>
      <c r="T29" s="68">
        <v>3.0531677940283037</v>
      </c>
      <c r="U29" s="68">
        <v>1338.6607142857142</v>
      </c>
      <c r="V29" s="68">
        <v>512.932189396755</v>
      </c>
      <c r="W29" s="68">
        <v>9.572431205965131</v>
      </c>
      <c r="X29" s="71"/>
    </row>
    <row r="30" ht="14.25" hidden="1" customHeight="1">
      <c r="A30" s="67">
        <v>2025.0</v>
      </c>
      <c r="B30" s="68">
        <v>4.0</v>
      </c>
      <c r="C30" s="69">
        <v>21.0</v>
      </c>
      <c r="D30" s="68" t="s">
        <v>42</v>
      </c>
      <c r="E30" s="68" t="s">
        <v>85</v>
      </c>
      <c r="F30" s="69">
        <v>27768.0</v>
      </c>
      <c r="G30" s="69">
        <v>8079.108256187417</v>
      </c>
      <c r="H30" s="70">
        <v>48.089930096353676</v>
      </c>
      <c r="I30" s="70">
        <v>29.22623866860425</v>
      </c>
      <c r="J30" s="68">
        <v>236121.94612482455</v>
      </c>
      <c r="K30" s="68">
        <v>3.437012987012987</v>
      </c>
      <c r="L30" s="68">
        <v>1322.2857142857142</v>
      </c>
      <c r="M30" s="68">
        <v>577.4181818181818</v>
      </c>
      <c r="N30" s="68">
        <v>8.503383251398176</v>
      </c>
      <c r="O30" s="69">
        <v>28345.232</v>
      </c>
      <c r="P30" s="69">
        <v>9283.876259745857</v>
      </c>
      <c r="Q30" s="70">
        <v>55.261168212772965</v>
      </c>
      <c r="R30" s="70">
        <v>29.22623866860425</v>
      </c>
      <c r="S30" s="68">
        <v>271332.78333712136</v>
      </c>
      <c r="T30" s="68">
        <v>3.0531677940283037</v>
      </c>
      <c r="U30" s="68">
        <v>1349.7729523809523</v>
      </c>
      <c r="V30" s="68">
        <v>512.932189396755</v>
      </c>
      <c r="W30" s="68">
        <v>9.57243120596513</v>
      </c>
      <c r="X30" s="71"/>
    </row>
    <row r="31" ht="14.25" customHeight="1">
      <c r="A31" s="67">
        <v>2025.0</v>
      </c>
      <c r="B31" s="68">
        <v>4.0</v>
      </c>
      <c r="C31" s="69">
        <v>21.0</v>
      </c>
      <c r="D31" s="68" t="s">
        <v>42</v>
      </c>
      <c r="E31" s="68" t="s">
        <v>32</v>
      </c>
      <c r="F31" s="69">
        <v>58223.0</v>
      </c>
      <c r="G31" s="69">
        <v>16940.0</v>
      </c>
      <c r="H31" s="70">
        <v>100.83333333333333</v>
      </c>
      <c r="I31" s="70">
        <v>29.22623866860425</v>
      </c>
      <c r="J31" s="68">
        <v>495092.483046156</v>
      </c>
      <c r="K31" s="68">
        <v>3.437012987012987</v>
      </c>
      <c r="L31" s="68">
        <v>2772.5238095238096</v>
      </c>
      <c r="M31" s="68">
        <v>577.4181818181819</v>
      </c>
      <c r="N31" s="68">
        <v>8.503383251398176</v>
      </c>
      <c r="O31" s="69">
        <v>56457.107</v>
      </c>
      <c r="P31" s="69">
        <v>18491.3214106426</v>
      </c>
      <c r="Q31" s="70">
        <v>110.06738934906309</v>
      </c>
      <c r="R31" s="70">
        <v>29.22623866860425</v>
      </c>
      <c r="S31" s="68">
        <v>540431.7728453124</v>
      </c>
      <c r="T31" s="68">
        <v>3.0531677940283037</v>
      </c>
      <c r="U31" s="68">
        <v>2688.433666666667</v>
      </c>
      <c r="V31" s="68">
        <v>512.932189396755</v>
      </c>
      <c r="W31" s="68">
        <v>9.57243120596513</v>
      </c>
      <c r="X31" s="71"/>
    </row>
    <row r="32" ht="14.25" hidden="1" customHeight="1">
      <c r="A32" s="67">
        <v>2025.0</v>
      </c>
      <c r="B32" s="68">
        <v>4.0</v>
      </c>
      <c r="C32" s="69">
        <v>21.0</v>
      </c>
      <c r="D32" s="68" t="s">
        <v>41</v>
      </c>
      <c r="E32" s="68" t="s">
        <v>32</v>
      </c>
      <c r="F32" s="69">
        <v>188678.0</v>
      </c>
      <c r="G32" s="69">
        <v>6515.0</v>
      </c>
      <c r="H32" s="70">
        <v>38.779761904761905</v>
      </c>
      <c r="I32" s="70">
        <v>29.22623866860425</v>
      </c>
      <c r="J32" s="68">
        <v>190408.9449259567</v>
      </c>
      <c r="K32" s="68">
        <v>28.96055257099002</v>
      </c>
      <c r="L32" s="68">
        <v>8984.666666666666</v>
      </c>
      <c r="M32" s="68">
        <v>4865.372831926324</v>
      </c>
      <c r="N32" s="68">
        <v>1.0091740686564237</v>
      </c>
      <c r="O32" s="69">
        <v>219409.0</v>
      </c>
      <c r="P32" s="69">
        <v>6505.710341365462</v>
      </c>
      <c r="Q32" s="70">
        <v>38.72446631765156</v>
      </c>
      <c r="R32" s="70">
        <v>29.22623866860425</v>
      </c>
      <c r="S32" s="68">
        <v>190137.4431455538</v>
      </c>
      <c r="T32" s="68">
        <v>33.725602353508556</v>
      </c>
      <c r="U32" s="68">
        <v>10448.047619047618</v>
      </c>
      <c r="V32" s="68">
        <v>5665.901195389438</v>
      </c>
      <c r="W32" s="68">
        <v>0.8665890785954715</v>
      </c>
      <c r="X32" s="71"/>
    </row>
    <row r="33" ht="14.25" hidden="1" customHeight="1">
      <c r="A33" s="67">
        <v>2025.0</v>
      </c>
      <c r="B33" s="68">
        <v>4.0</v>
      </c>
      <c r="C33" s="69">
        <v>21.0</v>
      </c>
      <c r="D33" s="68" t="s">
        <v>86</v>
      </c>
      <c r="E33" s="68" t="s">
        <v>32</v>
      </c>
      <c r="F33" s="69">
        <v>0.0</v>
      </c>
      <c r="G33" s="69">
        <v>943.0</v>
      </c>
      <c r="H33" s="70">
        <v>5.613095238095238</v>
      </c>
      <c r="I33" s="70">
        <v>29.22623866860425</v>
      </c>
      <c r="J33" s="68">
        <v>27560.34306449381</v>
      </c>
      <c r="K33" s="68">
        <v>0.0</v>
      </c>
      <c r="L33" s="68">
        <v>0.0</v>
      </c>
      <c r="M33" s="68">
        <v>0.0</v>
      </c>
      <c r="N33" s="68">
        <v>0.0</v>
      </c>
      <c r="O33" s="69">
        <v>0.0</v>
      </c>
      <c r="P33" s="69">
        <v>2302.0205823293177</v>
      </c>
      <c r="Q33" s="70">
        <v>13.702503466245938</v>
      </c>
      <c r="R33" s="70">
        <v>29.22623866860425</v>
      </c>
      <c r="S33" s="68">
        <v>67279.40295919597</v>
      </c>
      <c r="T33" s="68">
        <v>0.0</v>
      </c>
      <c r="U33" s="68">
        <v>0.0</v>
      </c>
      <c r="V33" s="68">
        <v>0.0</v>
      </c>
      <c r="W33" s="68">
        <v>0.0</v>
      </c>
      <c r="X33" s="71"/>
    </row>
    <row r="34" ht="14.25" hidden="1" customHeight="1">
      <c r="A34" s="67">
        <v>2025.0</v>
      </c>
      <c r="B34" s="68">
        <v>5.0</v>
      </c>
      <c r="C34" s="69">
        <v>20.0</v>
      </c>
      <c r="D34" s="68" t="s">
        <v>37</v>
      </c>
      <c r="E34" s="68" t="s">
        <v>84</v>
      </c>
      <c r="F34" s="69">
        <v>13513.0</v>
      </c>
      <c r="G34" s="69">
        <v>2196.0023200774135</v>
      </c>
      <c r="H34" s="70">
        <v>13.725014500483836</v>
      </c>
      <c r="I34" s="70">
        <v>29.74634898572502</v>
      </c>
      <c r="J34" s="68">
        <v>65323.05138648456</v>
      </c>
      <c r="K34" s="68">
        <v>6.153454336752995</v>
      </c>
      <c r="L34" s="68">
        <v>675.65</v>
      </c>
      <c r="M34" s="68">
        <v>984.5526938804792</v>
      </c>
      <c r="N34" s="68">
        <v>4.834089498000782</v>
      </c>
      <c r="O34" s="69">
        <v>11407.0</v>
      </c>
      <c r="P34" s="69">
        <v>1961.29774127159</v>
      </c>
      <c r="Q34" s="70">
        <v>12.258110882947436</v>
      </c>
      <c r="R34" s="70">
        <v>29.74634898572502</v>
      </c>
      <c r="S34" s="68">
        <v>58341.44707677894</v>
      </c>
      <c r="T34" s="68">
        <v>5.816047079422206</v>
      </c>
      <c r="U34" s="68">
        <v>570.35</v>
      </c>
      <c r="V34" s="68">
        <v>930.567532707553</v>
      </c>
      <c r="W34" s="68">
        <v>5.114530295150253</v>
      </c>
      <c r="X34" s="71"/>
    </row>
    <row r="35" ht="14.25" hidden="1" customHeight="1">
      <c r="A35" s="67">
        <v>2025.0</v>
      </c>
      <c r="B35" s="68">
        <v>5.0</v>
      </c>
      <c r="C35" s="69">
        <v>20.0</v>
      </c>
      <c r="D35" s="68" t="s">
        <v>37</v>
      </c>
      <c r="E35" s="68" t="s">
        <v>85</v>
      </c>
      <c r="F35" s="69">
        <v>15078.0</v>
      </c>
      <c r="G35" s="69">
        <v>2450.3310132559195</v>
      </c>
      <c r="H35" s="70">
        <v>15.314568832849497</v>
      </c>
      <c r="I35" s="70">
        <v>29.74634898572502</v>
      </c>
      <c r="J35" s="68">
        <v>72888.40145085579</v>
      </c>
      <c r="K35" s="68">
        <v>6.153454336752995</v>
      </c>
      <c r="L35" s="68">
        <v>753.9</v>
      </c>
      <c r="M35" s="68">
        <v>984.5526938804793</v>
      </c>
      <c r="N35" s="68">
        <v>4.834089498000782</v>
      </c>
      <c r="O35" s="69">
        <v>9229.0</v>
      </c>
      <c r="P35" s="69">
        <v>1586.816591057728</v>
      </c>
      <c r="Q35" s="70">
        <v>9.9176036941108</v>
      </c>
      <c r="R35" s="70">
        <v>29.74634898572502</v>
      </c>
      <c r="S35" s="68">
        <v>47202.00009394168</v>
      </c>
      <c r="T35" s="68">
        <v>5.816047079422207</v>
      </c>
      <c r="U35" s="68">
        <v>461.45</v>
      </c>
      <c r="V35" s="68">
        <v>930.5675327075529</v>
      </c>
      <c r="W35" s="68">
        <v>5.114530295150252</v>
      </c>
      <c r="X35" s="71"/>
    </row>
    <row r="36" ht="14.25" hidden="1" customHeight="1">
      <c r="A36" s="67">
        <v>2025.0</v>
      </c>
      <c r="B36" s="68">
        <v>5.0</v>
      </c>
      <c r="C36" s="69">
        <v>20.0</v>
      </c>
      <c r="D36" s="68" t="s">
        <v>37</v>
      </c>
      <c r="E36" s="68" t="s">
        <v>32</v>
      </c>
      <c r="F36" s="69">
        <v>28591.0</v>
      </c>
      <c r="G36" s="69">
        <v>4646.333333333333</v>
      </c>
      <c r="H36" s="70">
        <v>29.039583333333333</v>
      </c>
      <c r="I36" s="70">
        <v>29.74634898572502</v>
      </c>
      <c r="J36" s="68">
        <v>138211.45283734036</v>
      </c>
      <c r="K36" s="68">
        <v>6.153454336752995</v>
      </c>
      <c r="L36" s="68">
        <v>1429.55</v>
      </c>
      <c r="M36" s="68">
        <v>984.5526938804793</v>
      </c>
      <c r="N36" s="68">
        <v>4.8340894980007825</v>
      </c>
      <c r="O36" s="69">
        <v>20636.0</v>
      </c>
      <c r="P36" s="69">
        <v>3548.114332329318</v>
      </c>
      <c r="Q36" s="70">
        <v>22.175714577058237</v>
      </c>
      <c r="R36" s="70">
        <v>29.74634898572502</v>
      </c>
      <c r="S36" s="68">
        <v>105543.44717072062</v>
      </c>
      <c r="T36" s="68">
        <v>5.816047079422206</v>
      </c>
      <c r="U36" s="68">
        <v>1031.8</v>
      </c>
      <c r="V36" s="68">
        <v>930.5675327075529</v>
      </c>
      <c r="W36" s="68">
        <v>5.114530295150253</v>
      </c>
      <c r="X36" s="71"/>
    </row>
    <row r="37" ht="14.25" hidden="1" customHeight="1">
      <c r="A37" s="67">
        <v>2025.0</v>
      </c>
      <c r="B37" s="68">
        <v>5.0</v>
      </c>
      <c r="C37" s="69">
        <v>20.0</v>
      </c>
      <c r="D37" s="68" t="s">
        <v>42</v>
      </c>
      <c r="E37" s="68" t="s">
        <v>84</v>
      </c>
      <c r="F37" s="69">
        <v>32592.0</v>
      </c>
      <c r="G37" s="69">
        <v>7969.055832998795</v>
      </c>
      <c r="H37" s="70">
        <v>49.806598956242475</v>
      </c>
      <c r="I37" s="70">
        <v>29.74634898572502</v>
      </c>
      <c r="J37" s="68">
        <v>237050.3158951098</v>
      </c>
      <c r="K37" s="68">
        <v>4.089819507229562</v>
      </c>
      <c r="L37" s="68">
        <v>1629.6</v>
      </c>
      <c r="M37" s="68">
        <v>654.3711211567298</v>
      </c>
      <c r="N37" s="68">
        <v>7.273266933453295</v>
      </c>
      <c r="O37" s="69">
        <v>28111.875</v>
      </c>
      <c r="P37" s="69">
        <v>9209.436884196146</v>
      </c>
      <c r="Q37" s="70">
        <v>57.55898052622591</v>
      </c>
      <c r="R37" s="70">
        <v>29.74634898572502</v>
      </c>
      <c r="S37" s="68">
        <v>273947.1235193066</v>
      </c>
      <c r="T37" s="68">
        <v>3.052507482649822</v>
      </c>
      <c r="U37" s="68">
        <v>1405.59375</v>
      </c>
      <c r="V37" s="68">
        <v>488.40119722397156</v>
      </c>
      <c r="W37" s="68">
        <v>9.744889784808256</v>
      </c>
      <c r="X37" s="71"/>
    </row>
    <row r="38" ht="14.25" hidden="1" customHeight="1">
      <c r="A38" s="67">
        <v>2025.0</v>
      </c>
      <c r="B38" s="68">
        <v>5.0</v>
      </c>
      <c r="C38" s="69">
        <v>20.0</v>
      </c>
      <c r="D38" s="68" t="s">
        <v>42</v>
      </c>
      <c r="E38" s="68" t="s">
        <v>85</v>
      </c>
      <c r="F38" s="69">
        <v>29683.0</v>
      </c>
      <c r="G38" s="69">
        <v>7257.777500334539</v>
      </c>
      <c r="H38" s="70">
        <v>45.36110937709086</v>
      </c>
      <c r="I38" s="70">
        <v>29.74634898572502</v>
      </c>
      <c r="J38" s="68">
        <v>215892.3823856942</v>
      </c>
      <c r="K38" s="68">
        <v>4.089819507229561</v>
      </c>
      <c r="L38" s="68">
        <v>1484.15</v>
      </c>
      <c r="M38" s="68">
        <v>654.3711211567298</v>
      </c>
      <c r="N38" s="68">
        <v>7.2732669334532964</v>
      </c>
      <c r="O38" s="69">
        <v>28345.232</v>
      </c>
      <c r="P38" s="69">
        <v>9285.884526446453</v>
      </c>
      <c r="Q38" s="70">
        <v>58.03677829029033</v>
      </c>
      <c r="R38" s="70">
        <v>29.74634898572502</v>
      </c>
      <c r="S38" s="68">
        <v>276221.1617648201</v>
      </c>
      <c r="T38" s="68">
        <v>3.0525074826498226</v>
      </c>
      <c r="U38" s="68">
        <v>1417.2616</v>
      </c>
      <c r="V38" s="68">
        <v>488.4011972239716</v>
      </c>
      <c r="W38" s="68">
        <v>9.744889784808256</v>
      </c>
      <c r="X38" s="71"/>
    </row>
    <row r="39" ht="14.25" customHeight="1">
      <c r="A39" s="67">
        <v>2025.0</v>
      </c>
      <c r="B39" s="68">
        <v>5.0</v>
      </c>
      <c r="C39" s="69">
        <v>20.0</v>
      </c>
      <c r="D39" s="68" t="s">
        <v>42</v>
      </c>
      <c r="E39" s="68" t="s">
        <v>32</v>
      </c>
      <c r="F39" s="69">
        <v>62275.0</v>
      </c>
      <c r="G39" s="69">
        <v>15226.833333333334</v>
      </c>
      <c r="H39" s="70">
        <v>95.16770833333334</v>
      </c>
      <c r="I39" s="70">
        <v>29.74634898572502</v>
      </c>
      <c r="J39" s="68">
        <v>452942.698280804</v>
      </c>
      <c r="K39" s="68">
        <v>4.089819507229562</v>
      </c>
      <c r="L39" s="68">
        <v>3113.75</v>
      </c>
      <c r="M39" s="68">
        <v>654.3711211567298</v>
      </c>
      <c r="N39" s="68">
        <v>7.273266933453296</v>
      </c>
      <c r="O39" s="69">
        <v>56457.107</v>
      </c>
      <c r="P39" s="69">
        <v>18495.3214106426</v>
      </c>
      <c r="Q39" s="70">
        <v>115.59575881651624</v>
      </c>
      <c r="R39" s="70">
        <v>29.74634898572502</v>
      </c>
      <c r="S39" s="68">
        <v>550168.2852841268</v>
      </c>
      <c r="T39" s="68">
        <v>3.0525074826498226</v>
      </c>
      <c r="U39" s="68">
        <v>2822.8553500000003</v>
      </c>
      <c r="V39" s="68">
        <v>488.4011972239716</v>
      </c>
      <c r="W39" s="68">
        <v>9.744889784808256</v>
      </c>
      <c r="X39" s="71"/>
    </row>
    <row r="40" ht="14.25" hidden="1" customHeight="1">
      <c r="A40" s="67">
        <v>2025.0</v>
      </c>
      <c r="B40" s="68">
        <v>5.0</v>
      </c>
      <c r="C40" s="69">
        <v>20.0</v>
      </c>
      <c r="D40" s="68" t="s">
        <v>41</v>
      </c>
      <c r="E40" s="68" t="s">
        <v>32</v>
      </c>
      <c r="F40" s="69">
        <v>212569.0</v>
      </c>
      <c r="G40" s="69">
        <v>5906.0</v>
      </c>
      <c r="H40" s="70">
        <v>36.9125</v>
      </c>
      <c r="I40" s="70">
        <v>29.74634898572502</v>
      </c>
      <c r="J40" s="68">
        <v>175681.93710969196</v>
      </c>
      <c r="K40" s="68">
        <v>35.99204199119539</v>
      </c>
      <c r="L40" s="68">
        <v>10628.45</v>
      </c>
      <c r="M40" s="68">
        <v>5758.726718591263</v>
      </c>
      <c r="N40" s="68">
        <v>0.8264701678499309</v>
      </c>
      <c r="O40" s="69">
        <v>219409.0</v>
      </c>
      <c r="P40" s="69">
        <v>6505.710341365462</v>
      </c>
      <c r="Q40" s="70">
        <v>40.66068963353414</v>
      </c>
      <c r="R40" s="70">
        <v>29.74634898572502</v>
      </c>
      <c r="S40" s="68">
        <v>193521.1302142973</v>
      </c>
      <c r="T40" s="68">
        <v>33.725602353508556</v>
      </c>
      <c r="U40" s="68">
        <v>10970.45</v>
      </c>
      <c r="V40" s="68">
        <v>5396.096376561369</v>
      </c>
      <c r="W40" s="68">
        <v>0.8820109029907492</v>
      </c>
      <c r="X40" s="71"/>
    </row>
    <row r="41" ht="14.25" hidden="1" customHeight="1">
      <c r="A41" s="67">
        <v>2025.0</v>
      </c>
      <c r="B41" s="68">
        <v>5.0</v>
      </c>
      <c r="C41" s="69">
        <v>20.0</v>
      </c>
      <c r="D41" s="68" t="s">
        <v>86</v>
      </c>
      <c r="E41" s="68" t="s">
        <v>32</v>
      </c>
      <c r="F41" s="69">
        <v>0.0</v>
      </c>
      <c r="G41" s="69">
        <v>840.0</v>
      </c>
      <c r="H41" s="70">
        <v>5.25</v>
      </c>
      <c r="I41" s="70">
        <v>29.74634898572502</v>
      </c>
      <c r="J41" s="68">
        <v>24986.93314800902</v>
      </c>
      <c r="K41" s="68">
        <v>0.0</v>
      </c>
      <c r="L41" s="68">
        <v>0.0</v>
      </c>
      <c r="M41" s="68">
        <v>0.0</v>
      </c>
      <c r="N41" s="68">
        <v>0.0</v>
      </c>
      <c r="O41" s="69">
        <v>0.0</v>
      </c>
      <c r="P41" s="69">
        <v>2302.0205823293177</v>
      </c>
      <c r="Q41" s="70">
        <v>14.387628639558235</v>
      </c>
      <c r="R41" s="70">
        <v>29.74634898572502</v>
      </c>
      <c r="S41" s="68">
        <v>68476.70761428981</v>
      </c>
      <c r="T41" s="68">
        <v>0.0</v>
      </c>
      <c r="U41" s="68">
        <v>0.0</v>
      </c>
      <c r="V41" s="68">
        <v>0.0</v>
      </c>
      <c r="W41" s="68">
        <v>0.0</v>
      </c>
      <c r="X41" s="71"/>
    </row>
    <row r="42" ht="14.25" hidden="1" customHeight="1">
      <c r="A42" s="67">
        <v>2025.0</v>
      </c>
      <c r="B42" s="68">
        <v>6.0</v>
      </c>
      <c r="C42" s="69">
        <v>20.0</v>
      </c>
      <c r="D42" s="68" t="s">
        <v>37</v>
      </c>
      <c r="E42" s="68" t="s">
        <v>84</v>
      </c>
      <c r="F42" s="69">
        <v>13250.0</v>
      </c>
      <c r="G42" s="69">
        <v>2311.754885351824</v>
      </c>
      <c r="H42" s="70">
        <v>14.4484680334489</v>
      </c>
      <c r="I42" s="70">
        <v>29.960429000586167</v>
      </c>
      <c r="J42" s="68">
        <v>69261.16810934154</v>
      </c>
      <c r="K42" s="68">
        <v>5.731576510968849</v>
      </c>
      <c r="L42" s="68">
        <v>662.5</v>
      </c>
      <c r="M42" s="68">
        <v>917.0522417550159</v>
      </c>
      <c r="N42" s="68">
        <v>5.227257970516343</v>
      </c>
      <c r="O42" s="69">
        <v>11407.0</v>
      </c>
      <c r="P42" s="69">
        <v>1961.29774127159</v>
      </c>
      <c r="Q42" s="70">
        <v>12.258110882947436</v>
      </c>
      <c r="R42" s="70">
        <v>29.960429000586167</v>
      </c>
      <c r="S42" s="68">
        <v>58761.32172637749</v>
      </c>
      <c r="T42" s="68">
        <v>5.816047079422206</v>
      </c>
      <c r="U42" s="68">
        <v>570.35</v>
      </c>
      <c r="V42" s="68">
        <v>930.567532707553</v>
      </c>
      <c r="W42" s="68">
        <v>5.151338803048786</v>
      </c>
      <c r="X42" s="71"/>
    </row>
    <row r="43" ht="14.25" hidden="1" customHeight="1">
      <c r="A43" s="67">
        <v>2025.0</v>
      </c>
      <c r="B43" s="68">
        <v>6.0</v>
      </c>
      <c r="C43" s="69">
        <v>20.0</v>
      </c>
      <c r="D43" s="68" t="s">
        <v>37</v>
      </c>
      <c r="E43" s="68" t="s">
        <v>85</v>
      </c>
      <c r="F43" s="69">
        <v>12132.0</v>
      </c>
      <c r="G43" s="69">
        <v>2116.6951146481756</v>
      </c>
      <c r="H43" s="70">
        <v>13.2293444665511</v>
      </c>
      <c r="I43" s="70">
        <v>29.960429000586167</v>
      </c>
      <c r="J43" s="68">
        <v>63417.09369830426</v>
      </c>
      <c r="K43" s="68">
        <v>5.73157651096885</v>
      </c>
      <c r="L43" s="68">
        <v>606.6</v>
      </c>
      <c r="M43" s="68">
        <v>917.0522417550159</v>
      </c>
      <c r="N43" s="68">
        <v>5.227257970516342</v>
      </c>
      <c r="O43" s="69">
        <v>9229.0</v>
      </c>
      <c r="P43" s="69">
        <v>1586.816591057728</v>
      </c>
      <c r="Q43" s="70">
        <v>9.9176036941108</v>
      </c>
      <c r="R43" s="70">
        <v>29.960429000586167</v>
      </c>
      <c r="S43" s="68">
        <v>47541.705813337234</v>
      </c>
      <c r="T43" s="68">
        <v>5.816047079422207</v>
      </c>
      <c r="U43" s="68">
        <v>461.45</v>
      </c>
      <c r="V43" s="68">
        <v>930.5675327075529</v>
      </c>
      <c r="W43" s="68">
        <v>5.151338803048785</v>
      </c>
      <c r="X43" s="71"/>
    </row>
    <row r="44" ht="14.25" hidden="1" customHeight="1">
      <c r="A44" s="67">
        <v>2025.0</v>
      </c>
      <c r="B44" s="68">
        <v>6.0</v>
      </c>
      <c r="C44" s="69">
        <v>20.0</v>
      </c>
      <c r="D44" s="68" t="s">
        <v>37</v>
      </c>
      <c r="E44" s="68" t="s">
        <v>32</v>
      </c>
      <c r="F44" s="69">
        <v>25382.0</v>
      </c>
      <c r="G44" s="69">
        <v>4428.45</v>
      </c>
      <c r="H44" s="70">
        <v>27.677812499999998</v>
      </c>
      <c r="I44" s="70">
        <v>29.960429000586167</v>
      </c>
      <c r="J44" s="68">
        <v>132678.26180764582</v>
      </c>
      <c r="K44" s="68">
        <v>5.731576510968849</v>
      </c>
      <c r="L44" s="68">
        <v>1269.1</v>
      </c>
      <c r="M44" s="68">
        <v>917.0522417550159</v>
      </c>
      <c r="N44" s="68">
        <v>5.227257970516343</v>
      </c>
      <c r="O44" s="69">
        <v>20636.0</v>
      </c>
      <c r="P44" s="69">
        <v>3548.114332329318</v>
      </c>
      <c r="Q44" s="70">
        <v>22.175714577058237</v>
      </c>
      <c r="R44" s="70">
        <v>29.960429000586167</v>
      </c>
      <c r="S44" s="68">
        <v>106303.02753971473</v>
      </c>
      <c r="T44" s="68">
        <v>5.816047079422206</v>
      </c>
      <c r="U44" s="68">
        <v>1031.8</v>
      </c>
      <c r="V44" s="68">
        <v>930.5675327075529</v>
      </c>
      <c r="W44" s="68">
        <v>5.151338803048786</v>
      </c>
      <c r="X44" s="71"/>
    </row>
    <row r="45" ht="14.25" hidden="1" customHeight="1">
      <c r="A45" s="67">
        <v>2025.0</v>
      </c>
      <c r="B45" s="68">
        <v>6.0</v>
      </c>
      <c r="C45" s="69">
        <v>20.0</v>
      </c>
      <c r="D45" s="68" t="s">
        <v>42</v>
      </c>
      <c r="E45" s="68" t="s">
        <v>84</v>
      </c>
      <c r="F45" s="69">
        <v>26875.0</v>
      </c>
      <c r="G45" s="69">
        <v>7391.229841097806</v>
      </c>
      <c r="H45" s="70">
        <v>46.195186506861276</v>
      </c>
      <c r="I45" s="70">
        <v>29.960429000586167</v>
      </c>
      <c r="J45" s="68">
        <v>221444.41688122458</v>
      </c>
      <c r="K45" s="68">
        <v>3.636066064481673</v>
      </c>
      <c r="L45" s="68">
        <v>1343.75</v>
      </c>
      <c r="M45" s="68">
        <v>581.7705703170678</v>
      </c>
      <c r="N45" s="68">
        <v>8.239792256045567</v>
      </c>
      <c r="O45" s="69">
        <v>28111.875</v>
      </c>
      <c r="P45" s="69">
        <v>9205.951350922185</v>
      </c>
      <c r="Q45" s="70">
        <v>57.537195943263654</v>
      </c>
      <c r="R45" s="70">
        <v>29.960429000586167</v>
      </c>
      <c r="S45" s="68">
        <v>275814.25183215446</v>
      </c>
      <c r="T45" s="68">
        <v>3.0536632150661926</v>
      </c>
      <c r="U45" s="68">
        <v>1405.59375</v>
      </c>
      <c r="V45" s="68">
        <v>488.5861144105909</v>
      </c>
      <c r="W45" s="68">
        <v>9.811307564228798</v>
      </c>
      <c r="X45" s="71"/>
    </row>
    <row r="46" ht="14.25" hidden="1" customHeight="1">
      <c r="A46" s="67">
        <v>2025.0</v>
      </c>
      <c r="B46" s="68">
        <v>6.0</v>
      </c>
      <c r="C46" s="69">
        <v>20.0</v>
      </c>
      <c r="D46" s="68" t="s">
        <v>42</v>
      </c>
      <c r="E46" s="68" t="s">
        <v>85</v>
      </c>
      <c r="F46" s="69">
        <v>29407.0</v>
      </c>
      <c r="G46" s="69">
        <v>8087.586825568862</v>
      </c>
      <c r="H46" s="70">
        <v>50.54741765980538</v>
      </c>
      <c r="I46" s="70">
        <v>29.960429000586167</v>
      </c>
      <c r="J46" s="68">
        <v>242307.57087353195</v>
      </c>
      <c r="K46" s="68">
        <v>3.6360660644816734</v>
      </c>
      <c r="L46" s="68">
        <v>1470.35</v>
      </c>
      <c r="M46" s="68">
        <v>581.7705703170677</v>
      </c>
      <c r="N46" s="68">
        <v>8.239792256045567</v>
      </c>
      <c r="O46" s="69">
        <v>28345.232</v>
      </c>
      <c r="P46" s="69">
        <v>9282.370059720412</v>
      </c>
      <c r="Q46" s="70">
        <v>58.01481287325257</v>
      </c>
      <c r="R46" s="70">
        <v>29.960429000586167</v>
      </c>
      <c r="S46" s="68">
        <v>278103.78913142014</v>
      </c>
      <c r="T46" s="68">
        <v>3.0536632150661926</v>
      </c>
      <c r="U46" s="68">
        <v>1417.2616</v>
      </c>
      <c r="V46" s="68">
        <v>488.5861144105908</v>
      </c>
      <c r="W46" s="68">
        <v>9.811307564228796</v>
      </c>
      <c r="X46" s="71"/>
    </row>
    <row r="47" ht="14.25" customHeight="1">
      <c r="A47" s="67">
        <v>2025.0</v>
      </c>
      <c r="B47" s="68">
        <v>6.0</v>
      </c>
      <c r="C47" s="69">
        <v>20.0</v>
      </c>
      <c r="D47" s="68" t="s">
        <v>42</v>
      </c>
      <c r="E47" s="68" t="s">
        <v>32</v>
      </c>
      <c r="F47" s="69">
        <v>56282.0</v>
      </c>
      <c r="G47" s="69">
        <v>15478.816666666668</v>
      </c>
      <c r="H47" s="70">
        <v>96.74260416666667</v>
      </c>
      <c r="I47" s="70">
        <v>29.960429000586167</v>
      </c>
      <c r="J47" s="68">
        <v>463751.9877547565</v>
      </c>
      <c r="K47" s="68">
        <v>3.6360660644816734</v>
      </c>
      <c r="L47" s="68">
        <v>2814.1</v>
      </c>
      <c r="M47" s="68">
        <v>581.7705703170677</v>
      </c>
      <c r="N47" s="68">
        <v>8.239792256045567</v>
      </c>
      <c r="O47" s="69">
        <v>56457.107</v>
      </c>
      <c r="P47" s="69">
        <v>18488.3214106426</v>
      </c>
      <c r="Q47" s="70">
        <v>115.55200881651623</v>
      </c>
      <c r="R47" s="70">
        <v>29.960429000586167</v>
      </c>
      <c r="S47" s="68">
        <v>553918.0409635747</v>
      </c>
      <c r="T47" s="68">
        <v>3.0536632150661926</v>
      </c>
      <c r="U47" s="68">
        <v>2822.8553500000003</v>
      </c>
      <c r="V47" s="68">
        <v>488.5861144105908</v>
      </c>
      <c r="W47" s="68">
        <v>9.811307564228798</v>
      </c>
      <c r="X47" s="71"/>
    </row>
    <row r="48" ht="14.25" hidden="1" customHeight="1">
      <c r="A48" s="67">
        <v>2025.0</v>
      </c>
      <c r="B48" s="68">
        <v>6.0</v>
      </c>
      <c r="C48" s="69">
        <v>20.0</v>
      </c>
      <c r="D48" s="68" t="s">
        <v>41</v>
      </c>
      <c r="E48" s="68" t="s">
        <v>32</v>
      </c>
      <c r="F48" s="69">
        <v>206428.0</v>
      </c>
      <c r="G48" s="69">
        <v>6375.683333333333</v>
      </c>
      <c r="H48" s="70">
        <v>39.84802083333334</v>
      </c>
      <c r="I48" s="70">
        <v>29.960429000586167</v>
      </c>
      <c r="J48" s="68">
        <v>191018.20783855388</v>
      </c>
      <c r="K48" s="68">
        <v>32.37739222723839</v>
      </c>
      <c r="L48" s="68">
        <v>10321.4</v>
      </c>
      <c r="M48" s="68">
        <v>5180.382756358142</v>
      </c>
      <c r="N48" s="68">
        <v>0.9253502811564026</v>
      </c>
      <c r="O48" s="69">
        <v>219409.0</v>
      </c>
      <c r="P48" s="69">
        <v>6505.710341365462</v>
      </c>
      <c r="Q48" s="70">
        <v>40.66068963353414</v>
      </c>
      <c r="R48" s="70">
        <v>29.960429000586167</v>
      </c>
      <c r="S48" s="68">
        <v>194913.87278085912</v>
      </c>
      <c r="T48" s="68">
        <v>33.725602353508556</v>
      </c>
      <c r="U48" s="68">
        <v>10970.45</v>
      </c>
      <c r="V48" s="68">
        <v>5396.096376561369</v>
      </c>
      <c r="W48" s="68">
        <v>0.8883586032517313</v>
      </c>
      <c r="X48" s="71"/>
    </row>
    <row r="49" ht="14.25" hidden="1" customHeight="1">
      <c r="A49" s="67">
        <v>2025.0</v>
      </c>
      <c r="B49" s="68">
        <v>6.0</v>
      </c>
      <c r="C49" s="69">
        <v>20.0</v>
      </c>
      <c r="D49" s="68" t="s">
        <v>86</v>
      </c>
      <c r="E49" s="68" t="s">
        <v>32</v>
      </c>
      <c r="F49" s="69">
        <v>0.0</v>
      </c>
      <c r="G49" s="69">
        <v>1013.0499999999993</v>
      </c>
      <c r="H49" s="70">
        <v>6.331562499999995</v>
      </c>
      <c r="I49" s="70">
        <v>29.960429000586167</v>
      </c>
      <c r="J49" s="68">
        <v>30351.412599043793</v>
      </c>
      <c r="K49" s="68">
        <v>0.0</v>
      </c>
      <c r="L49" s="68">
        <v>0.0</v>
      </c>
      <c r="M49" s="68">
        <v>0.0</v>
      </c>
      <c r="N49" s="68">
        <v>0.0</v>
      </c>
      <c r="O49" s="69">
        <v>0.0</v>
      </c>
      <c r="P49" s="69">
        <v>2302.0205823293177</v>
      </c>
      <c r="Q49" s="70">
        <v>14.387628639558235</v>
      </c>
      <c r="R49" s="70">
        <v>29.960429000586167</v>
      </c>
      <c r="S49" s="68">
        <v>68969.52421476555</v>
      </c>
      <c r="T49" s="68">
        <v>0.0</v>
      </c>
      <c r="U49" s="68">
        <v>0.0</v>
      </c>
      <c r="V49" s="68">
        <v>0.0</v>
      </c>
      <c r="W49" s="68">
        <v>0.0</v>
      </c>
      <c r="X49" s="71"/>
    </row>
    <row r="50" ht="14.25" hidden="1" customHeight="1">
      <c r="A50" s="67">
        <v>2025.0</v>
      </c>
      <c r="B50" s="68">
        <v>7.0</v>
      </c>
      <c r="C50" s="69">
        <v>23.0</v>
      </c>
      <c r="D50" s="68" t="s">
        <v>37</v>
      </c>
      <c r="E50" s="68" t="s">
        <v>84</v>
      </c>
      <c r="F50" s="69">
        <v>14918.0</v>
      </c>
      <c r="G50" s="69">
        <v>2615.0227313722776</v>
      </c>
      <c r="H50" s="70">
        <v>14.212080061805853</v>
      </c>
      <c r="I50" s="70">
        <v>30.80378286318992</v>
      </c>
      <c r="J50" s="68">
        <v>80552.59239949746</v>
      </c>
      <c r="K50" s="68">
        <v>5.7047305252950995</v>
      </c>
      <c r="L50" s="68">
        <v>648.6086956521739</v>
      </c>
      <c r="M50" s="68">
        <v>1049.6704166542986</v>
      </c>
      <c r="N50" s="68">
        <v>5.399691138188595</v>
      </c>
      <c r="O50" s="69">
        <v>11407.0</v>
      </c>
      <c r="P50" s="69">
        <v>1959.3688726342828</v>
      </c>
      <c r="Q50" s="70">
        <v>10.648743873012405</v>
      </c>
      <c r="R50" s="70">
        <v>30.80378286318992</v>
      </c>
      <c r="S50" s="68">
        <v>60355.97330151967</v>
      </c>
      <c r="T50" s="68">
        <v>5.821772591836577</v>
      </c>
      <c r="U50" s="68">
        <v>495.95652173913044</v>
      </c>
      <c r="V50" s="68">
        <v>1071.2061568979302</v>
      </c>
      <c r="W50" s="68">
        <v>5.29113468059259</v>
      </c>
      <c r="X50" s="71"/>
    </row>
    <row r="51" ht="14.25" hidden="1" customHeight="1">
      <c r="A51" s="67">
        <v>2025.0</v>
      </c>
      <c r="B51" s="68">
        <v>7.0</v>
      </c>
      <c r="C51" s="69">
        <v>23.0</v>
      </c>
      <c r="D51" s="68" t="s">
        <v>37</v>
      </c>
      <c r="E51" s="68" t="s">
        <v>85</v>
      </c>
      <c r="F51" s="69">
        <v>13910.0</v>
      </c>
      <c r="G51" s="69">
        <v>2438.3272686277232</v>
      </c>
      <c r="H51" s="70">
        <v>13.251778633846321</v>
      </c>
      <c r="I51" s="70">
        <v>30.80378286318992</v>
      </c>
      <c r="J51" s="68">
        <v>75109.70373220334</v>
      </c>
      <c r="K51" s="68">
        <v>5.7047305252951</v>
      </c>
      <c r="L51" s="68">
        <v>604.7826086956521</v>
      </c>
      <c r="M51" s="68">
        <v>1049.6704166542986</v>
      </c>
      <c r="N51" s="68">
        <v>5.399691138188594</v>
      </c>
      <c r="O51" s="69">
        <v>9229.0</v>
      </c>
      <c r="P51" s="69">
        <v>1585.256011707004</v>
      </c>
      <c r="Q51" s="70">
        <v>8.615521802755456</v>
      </c>
      <c r="R51" s="70">
        <v>30.80378286318992</v>
      </c>
      <c r="S51" s="68">
        <v>48831.88196718901</v>
      </c>
      <c r="T51" s="68">
        <v>5.821772591836577</v>
      </c>
      <c r="U51" s="68">
        <v>401.2608695652174</v>
      </c>
      <c r="V51" s="68">
        <v>1071.2061568979302</v>
      </c>
      <c r="W51" s="68">
        <v>5.29113468059259</v>
      </c>
      <c r="X51" s="71"/>
    </row>
    <row r="52" ht="14.25" hidden="1" customHeight="1">
      <c r="A52" s="67">
        <v>2025.0</v>
      </c>
      <c r="B52" s="68">
        <v>7.0</v>
      </c>
      <c r="C52" s="69">
        <v>23.0</v>
      </c>
      <c r="D52" s="68" t="s">
        <v>37</v>
      </c>
      <c r="E52" s="68" t="s">
        <v>32</v>
      </c>
      <c r="F52" s="69">
        <v>28828.0</v>
      </c>
      <c r="G52" s="69">
        <v>5053.35</v>
      </c>
      <c r="H52" s="70">
        <v>27.463858695652174</v>
      </c>
      <c r="I52" s="70">
        <v>30.80378286318992</v>
      </c>
      <c r="J52" s="68">
        <v>155662.2961317008</v>
      </c>
      <c r="K52" s="68">
        <v>5.704730525295101</v>
      </c>
      <c r="L52" s="68">
        <v>1253.391304347826</v>
      </c>
      <c r="M52" s="68">
        <v>1049.6704166542986</v>
      </c>
      <c r="N52" s="68">
        <v>5.399691138188595</v>
      </c>
      <c r="O52" s="69">
        <v>20636.0</v>
      </c>
      <c r="P52" s="69">
        <v>3544.624884341287</v>
      </c>
      <c r="Q52" s="70">
        <v>19.264265675767863</v>
      </c>
      <c r="R52" s="70">
        <v>30.80378286318992</v>
      </c>
      <c r="S52" s="68">
        <v>109187.85526870868</v>
      </c>
      <c r="T52" s="68">
        <v>5.821772591836577</v>
      </c>
      <c r="U52" s="68">
        <v>897.2173913043479</v>
      </c>
      <c r="V52" s="68">
        <v>1071.2061568979302</v>
      </c>
      <c r="W52" s="68">
        <v>5.29113468059259</v>
      </c>
      <c r="X52" s="71"/>
    </row>
    <row r="53" ht="14.25" hidden="1" customHeight="1">
      <c r="A53" s="67">
        <v>2025.0</v>
      </c>
      <c r="B53" s="68">
        <v>7.0</v>
      </c>
      <c r="C53" s="69">
        <v>23.0</v>
      </c>
      <c r="D53" s="68" t="s">
        <v>42</v>
      </c>
      <c r="E53" s="68" t="s">
        <v>84</v>
      </c>
      <c r="F53" s="69">
        <v>32309.0</v>
      </c>
      <c r="G53" s="69">
        <v>7849.464585687678</v>
      </c>
      <c r="H53" s="70">
        <v>48.80985437497498</v>
      </c>
      <c r="I53" s="70">
        <v>30.80378286318992</v>
      </c>
      <c r="J53" s="68">
        <v>241793.20268982224</v>
      </c>
      <c r="K53" s="68">
        <v>4.116076918024526</v>
      </c>
      <c r="L53" s="68">
        <v>1404.7391304347825</v>
      </c>
      <c r="M53" s="68">
        <v>661.9360048032629</v>
      </c>
      <c r="N53" s="68">
        <v>7.483772406754224</v>
      </c>
      <c r="O53" s="69">
        <v>28111.875</v>
      </c>
      <c r="P53" s="69">
        <v>9205.951350922185</v>
      </c>
      <c r="Q53" s="70">
        <v>50.3394170975911</v>
      </c>
      <c r="R53" s="70">
        <v>30.80378286318992</v>
      </c>
      <c r="S53" s="68">
        <v>283578.1264628969</v>
      </c>
      <c r="T53" s="68">
        <v>3.0536632150661926</v>
      </c>
      <c r="U53" s="68">
        <v>1222.2554347826087</v>
      </c>
      <c r="V53" s="68">
        <v>558.4465736959287</v>
      </c>
      <c r="W53" s="68">
        <v>10.087485322942596</v>
      </c>
      <c r="X53" s="71"/>
    </row>
    <row r="54" ht="14.25" hidden="1" customHeight="1">
      <c r="A54" s="67">
        <v>2025.0</v>
      </c>
      <c r="B54" s="68">
        <v>7.0</v>
      </c>
      <c r="C54" s="69">
        <v>23.0</v>
      </c>
      <c r="D54" s="68" t="s">
        <v>42</v>
      </c>
      <c r="E54" s="68" t="s">
        <v>85</v>
      </c>
      <c r="F54" s="69">
        <v>31403.0</v>
      </c>
      <c r="G54" s="69">
        <v>7629.352080978989</v>
      </c>
      <c r="H54" s="70">
        <v>47.441142001836624</v>
      </c>
      <c r="I54" s="70">
        <v>30.80378286318992</v>
      </c>
      <c r="J54" s="68">
        <v>235012.90488930294</v>
      </c>
      <c r="K54" s="68">
        <v>4.116076918024526</v>
      </c>
      <c r="L54" s="68">
        <v>1365.3478260869565</v>
      </c>
      <c r="M54" s="68">
        <v>661.9360048032628</v>
      </c>
      <c r="N54" s="68">
        <v>7.483772406754225</v>
      </c>
      <c r="O54" s="69">
        <v>28345.232</v>
      </c>
      <c r="P54" s="69">
        <v>9282.370059720412</v>
      </c>
      <c r="Q54" s="70">
        <v>50.75728518200889</v>
      </c>
      <c r="R54" s="70">
        <v>30.80378286318992</v>
      </c>
      <c r="S54" s="68">
        <v>285932.1117754028</v>
      </c>
      <c r="T54" s="68">
        <v>3.0536632150661926</v>
      </c>
      <c r="U54" s="68">
        <v>1232.4013913043477</v>
      </c>
      <c r="V54" s="68">
        <v>558.4465736959287</v>
      </c>
      <c r="W54" s="68">
        <v>10.087485322942596</v>
      </c>
      <c r="X54" s="71"/>
    </row>
    <row r="55" ht="14.25" customHeight="1">
      <c r="A55" s="67">
        <v>2025.0</v>
      </c>
      <c r="B55" s="68">
        <v>7.0</v>
      </c>
      <c r="C55" s="69">
        <v>23.0</v>
      </c>
      <c r="D55" s="68" t="s">
        <v>42</v>
      </c>
      <c r="E55" s="68" t="s">
        <v>32</v>
      </c>
      <c r="F55" s="69">
        <v>63712.0</v>
      </c>
      <c r="G55" s="69">
        <v>15478.816666666668</v>
      </c>
      <c r="H55" s="70">
        <v>96.2509963768116</v>
      </c>
      <c r="I55" s="70">
        <v>30.80378286318992</v>
      </c>
      <c r="J55" s="68">
        <v>476806.1075791252</v>
      </c>
      <c r="K55" s="68">
        <v>4.116076918024525</v>
      </c>
      <c r="L55" s="68">
        <v>2770.086956521739</v>
      </c>
      <c r="M55" s="68">
        <v>661.9360048032629</v>
      </c>
      <c r="N55" s="68">
        <v>7.483772406754225</v>
      </c>
      <c r="O55" s="69">
        <v>56457.107</v>
      </c>
      <c r="P55" s="69">
        <v>18488.3214106426</v>
      </c>
      <c r="Q55" s="70">
        <v>101.09670227960001</v>
      </c>
      <c r="R55" s="70">
        <v>30.80378286318992</v>
      </c>
      <c r="S55" s="68">
        <v>569510.2382382997</v>
      </c>
      <c r="T55" s="68">
        <v>3.0536632150661926</v>
      </c>
      <c r="U55" s="68">
        <v>2454.6568260869567</v>
      </c>
      <c r="V55" s="68">
        <v>558.4465736959287</v>
      </c>
      <c r="W55" s="68">
        <v>10.087485322942596</v>
      </c>
      <c r="X55" s="71"/>
    </row>
    <row r="56" ht="14.25" hidden="1" customHeight="1">
      <c r="A56" s="67">
        <v>2025.0</v>
      </c>
      <c r="B56" s="68">
        <v>7.0</v>
      </c>
      <c r="C56" s="69">
        <v>23.0</v>
      </c>
      <c r="D56" s="68" t="s">
        <v>41</v>
      </c>
      <c r="E56" s="68" t="s">
        <v>32</v>
      </c>
      <c r="F56" s="69">
        <v>215070.0</v>
      </c>
      <c r="G56" s="69">
        <v>6665.633333333333</v>
      </c>
      <c r="H56" s="70">
        <v>36.22626811594203</v>
      </c>
      <c r="I56" s="70">
        <v>30.80378286318992</v>
      </c>
      <c r="J56" s="68">
        <v>205326.72184564083</v>
      </c>
      <c r="K56" s="68">
        <v>32.26550115267867</v>
      </c>
      <c r="L56" s="68">
        <v>9350.869565217392</v>
      </c>
      <c r="M56" s="68">
        <v>5936.852212092875</v>
      </c>
      <c r="N56" s="68">
        <v>0.9546971769453705</v>
      </c>
      <c r="O56" s="69">
        <v>219409.0</v>
      </c>
      <c r="P56" s="69">
        <v>6499.31219977951</v>
      </c>
      <c r="Q56" s="70">
        <v>35.32234891184516</v>
      </c>
      <c r="R56" s="70">
        <v>30.80378286318992</v>
      </c>
      <c r="S56" s="68">
        <v>200203.40176208923</v>
      </c>
      <c r="T56" s="68">
        <v>33.758802971096465</v>
      </c>
      <c r="U56" s="68">
        <v>9539.521739130434</v>
      </c>
      <c r="V56" s="68">
        <v>6211.619746681749</v>
      </c>
      <c r="W56" s="68">
        <v>0.9124666798631288</v>
      </c>
      <c r="X56" s="71"/>
    </row>
    <row r="57" ht="14.25" hidden="1" customHeight="1">
      <c r="A57" s="67">
        <v>2025.0</v>
      </c>
      <c r="B57" s="68">
        <v>7.0</v>
      </c>
      <c r="C57" s="69">
        <v>23.0</v>
      </c>
      <c r="D57" s="68" t="s">
        <v>86</v>
      </c>
      <c r="E57" s="68" t="s">
        <v>32</v>
      </c>
      <c r="F57" s="69">
        <v>0.0</v>
      </c>
      <c r="G57" s="69">
        <v>809.8333333333358</v>
      </c>
      <c r="H57" s="70">
        <v>4.401268115942043</v>
      </c>
      <c r="I57" s="70">
        <v>30.80378286318992</v>
      </c>
      <c r="J57" s="68">
        <v>24945.93015537338</v>
      </c>
      <c r="K57" s="68">
        <v>0.0</v>
      </c>
      <c r="L57" s="68">
        <v>0.0</v>
      </c>
      <c r="M57" s="68">
        <v>0.0</v>
      </c>
      <c r="N57" s="68">
        <v>0.0</v>
      </c>
      <c r="O57" s="69">
        <v>0.0</v>
      </c>
      <c r="P57" s="69">
        <v>2299.756624537365</v>
      </c>
      <c r="Q57" s="70">
        <v>12.498677307268288</v>
      </c>
      <c r="R57" s="70">
        <v>30.80378286318992</v>
      </c>
      <c r="S57" s="68">
        <v>70841.20370043158</v>
      </c>
      <c r="T57" s="68">
        <v>0.0</v>
      </c>
      <c r="U57" s="68">
        <v>0.0</v>
      </c>
      <c r="V57" s="68">
        <v>0.0</v>
      </c>
      <c r="W57" s="68">
        <v>0.0</v>
      </c>
      <c r="X57" s="71"/>
    </row>
    <row r="58" ht="14.25" hidden="1" customHeight="1">
      <c r="A58" s="67">
        <v>2025.0</v>
      </c>
      <c r="B58" s="68">
        <v>8.0</v>
      </c>
      <c r="C58" s="69">
        <v>21.0</v>
      </c>
      <c r="D58" s="68" t="s">
        <v>37</v>
      </c>
      <c r="E58" s="68" t="s">
        <v>84</v>
      </c>
      <c r="F58" s="69">
        <v>16157.0</v>
      </c>
      <c r="G58" s="69">
        <v>2474.31117162041</v>
      </c>
      <c r="H58" s="70">
        <v>14.728042688216725</v>
      </c>
      <c r="I58" s="70">
        <v>30.94292773962377</v>
      </c>
      <c r="J58" s="68">
        <v>76562.43178879417</v>
      </c>
      <c r="K58" s="68">
        <v>6.529898173405122</v>
      </c>
      <c r="L58" s="68">
        <v>769.3809523809524</v>
      </c>
      <c r="M58" s="68">
        <v>1097.0228931320605</v>
      </c>
      <c r="N58" s="68">
        <v>4.73865394496467</v>
      </c>
      <c r="O58" s="69">
        <v>11407.0</v>
      </c>
      <c r="P58" s="69">
        <v>1959.3688726342828</v>
      </c>
      <c r="Q58" s="70">
        <v>11.662909956156444</v>
      </c>
      <c r="R58" s="70">
        <v>30.94292773962377</v>
      </c>
      <c r="S58" s="68">
        <v>60628.6094411907</v>
      </c>
      <c r="T58" s="68">
        <v>5.821772591836577</v>
      </c>
      <c r="U58" s="68">
        <v>543.1904761904761</v>
      </c>
      <c r="V58" s="68">
        <v>978.057795428545</v>
      </c>
      <c r="W58" s="68">
        <v>5.315035455526493</v>
      </c>
      <c r="X58" s="71"/>
    </row>
    <row r="59" ht="14.25" hidden="1" customHeight="1">
      <c r="A59" s="67">
        <v>2025.0</v>
      </c>
      <c r="B59" s="68">
        <v>8.0</v>
      </c>
      <c r="C59" s="69">
        <v>21.0</v>
      </c>
      <c r="D59" s="68" t="s">
        <v>37</v>
      </c>
      <c r="E59" s="68" t="s">
        <v>85</v>
      </c>
      <c r="F59" s="69">
        <v>14325.0</v>
      </c>
      <c r="G59" s="69">
        <v>2193.755495046257</v>
      </c>
      <c r="H59" s="70">
        <v>13.058068422894387</v>
      </c>
      <c r="I59" s="70">
        <v>30.94292773962377</v>
      </c>
      <c r="J59" s="68">
        <v>67881.2177616189</v>
      </c>
      <c r="K59" s="68">
        <v>6.529898173405122</v>
      </c>
      <c r="L59" s="68">
        <v>682.1428571428571</v>
      </c>
      <c r="M59" s="68">
        <v>1097.0228931320603</v>
      </c>
      <c r="N59" s="68">
        <v>4.73865394496467</v>
      </c>
      <c r="O59" s="69">
        <v>9229.0</v>
      </c>
      <c r="P59" s="69">
        <v>1585.256011707004</v>
      </c>
      <c r="Q59" s="70">
        <v>9.436047688732167</v>
      </c>
      <c r="R59" s="70">
        <v>30.94292773962377</v>
      </c>
      <c r="S59" s="68">
        <v>49052.462219053996</v>
      </c>
      <c r="T59" s="68">
        <v>5.821772591836577</v>
      </c>
      <c r="U59" s="68">
        <v>439.4761904761905</v>
      </c>
      <c r="V59" s="68">
        <v>978.057795428545</v>
      </c>
      <c r="W59" s="68">
        <v>5.315035455526492</v>
      </c>
      <c r="X59" s="71"/>
    </row>
    <row r="60" ht="14.25" hidden="1" customHeight="1">
      <c r="A60" s="67">
        <v>2025.0</v>
      </c>
      <c r="B60" s="68">
        <v>8.0</v>
      </c>
      <c r="C60" s="69">
        <v>21.0</v>
      </c>
      <c r="D60" s="68" t="s">
        <v>37</v>
      </c>
      <c r="E60" s="68" t="s">
        <v>32</v>
      </c>
      <c r="F60" s="69">
        <v>30482.0</v>
      </c>
      <c r="G60" s="69">
        <v>4668.066666666667</v>
      </c>
      <c r="H60" s="70">
        <v>27.78611111111111</v>
      </c>
      <c r="I60" s="70">
        <v>30.94292773962377</v>
      </c>
      <c r="J60" s="68">
        <v>144443.64955041307</v>
      </c>
      <c r="K60" s="68">
        <v>6.529898173405122</v>
      </c>
      <c r="L60" s="68">
        <v>1451.5238095238096</v>
      </c>
      <c r="M60" s="68">
        <v>1097.0228931320603</v>
      </c>
      <c r="N60" s="68">
        <v>4.73865394496467</v>
      </c>
      <c r="O60" s="69">
        <v>20636.0</v>
      </c>
      <c r="P60" s="69">
        <v>3544.624884341287</v>
      </c>
      <c r="Q60" s="70">
        <v>21.09895764488861</v>
      </c>
      <c r="R60" s="70">
        <v>30.94292773962377</v>
      </c>
      <c r="S60" s="68">
        <v>109681.07166024469</v>
      </c>
      <c r="T60" s="68">
        <v>5.821772591836577</v>
      </c>
      <c r="U60" s="68">
        <v>982.6666666666666</v>
      </c>
      <c r="V60" s="68">
        <v>978.057795428545</v>
      </c>
      <c r="W60" s="68">
        <v>5.315035455526492</v>
      </c>
      <c r="X60" s="71"/>
    </row>
    <row r="61" ht="14.25" hidden="1" customHeight="1">
      <c r="A61" s="67">
        <v>2025.0</v>
      </c>
      <c r="B61" s="68">
        <v>8.0</v>
      </c>
      <c r="C61" s="69">
        <v>21.0</v>
      </c>
      <c r="D61" s="68" t="s">
        <v>42</v>
      </c>
      <c r="E61" s="68" t="s">
        <v>84</v>
      </c>
      <c r="F61" s="69">
        <v>27651.0</v>
      </c>
      <c r="G61" s="69">
        <v>7348.22037147677</v>
      </c>
      <c r="H61" s="70">
        <v>43.73940697307601</v>
      </c>
      <c r="I61" s="70">
        <v>30.94292773962377</v>
      </c>
      <c r="J61" s="68">
        <v>227375.45196943704</v>
      </c>
      <c r="K61" s="68">
        <v>3.762951926065193</v>
      </c>
      <c r="L61" s="68">
        <v>1316.7142857142858</v>
      </c>
      <c r="M61" s="68">
        <v>632.1759235789525</v>
      </c>
      <c r="N61" s="68">
        <v>8.223046254003004</v>
      </c>
      <c r="O61" s="69">
        <v>28111.875</v>
      </c>
      <c r="P61" s="69">
        <v>9266.934145880425</v>
      </c>
      <c r="Q61" s="70">
        <v>55.16032229690729</v>
      </c>
      <c r="R61" s="70">
        <v>30.94292773962377</v>
      </c>
      <c r="S61" s="68">
        <v>286746.0736438301</v>
      </c>
      <c r="T61" s="68">
        <v>3.033568012620119</v>
      </c>
      <c r="U61" s="68">
        <v>1338.6607142857142</v>
      </c>
      <c r="V61" s="68">
        <v>509.63942612018</v>
      </c>
      <c r="W61" s="68">
        <v>10.200176033929793</v>
      </c>
      <c r="X61" s="71"/>
    </row>
    <row r="62" ht="14.25" hidden="1" customHeight="1">
      <c r="A62" s="67">
        <v>2025.0</v>
      </c>
      <c r="B62" s="68">
        <v>8.0</v>
      </c>
      <c r="C62" s="69">
        <v>21.0</v>
      </c>
      <c r="D62" s="68" t="s">
        <v>42</v>
      </c>
      <c r="E62" s="68" t="s">
        <v>85</v>
      </c>
      <c r="F62" s="69">
        <v>29257.0</v>
      </c>
      <c r="G62" s="69">
        <v>7775.012961856563</v>
      </c>
      <c r="H62" s="70">
        <v>46.27983905867003</v>
      </c>
      <c r="I62" s="70">
        <v>30.94292773962377</v>
      </c>
      <c r="J62" s="68">
        <v>240581.66425336583</v>
      </c>
      <c r="K62" s="68">
        <v>3.7629519260651936</v>
      </c>
      <c r="L62" s="68">
        <v>1393.1904761904761</v>
      </c>
      <c r="M62" s="68">
        <v>632.1759235789524</v>
      </c>
      <c r="N62" s="68">
        <v>8.223046254003002</v>
      </c>
      <c r="O62" s="69">
        <v>28345.232</v>
      </c>
      <c r="P62" s="69">
        <v>9343.859073565975</v>
      </c>
      <c r="Q62" s="70">
        <v>55.61820877122604</v>
      </c>
      <c r="R62" s="70">
        <v>30.94292773962377</v>
      </c>
      <c r="S62" s="68">
        <v>289126.35612257983</v>
      </c>
      <c r="T62" s="68">
        <v>3.033568012620119</v>
      </c>
      <c r="U62" s="68">
        <v>1349.7729523809523</v>
      </c>
      <c r="V62" s="68">
        <v>509.63942612018</v>
      </c>
      <c r="W62" s="68">
        <v>10.200176033929793</v>
      </c>
      <c r="X62" s="71"/>
    </row>
    <row r="63" ht="14.25" customHeight="1">
      <c r="A63" s="67">
        <v>2025.0</v>
      </c>
      <c r="B63" s="68">
        <v>8.0</v>
      </c>
      <c r="C63" s="69">
        <v>21.0</v>
      </c>
      <c r="D63" s="68" t="s">
        <v>42</v>
      </c>
      <c r="E63" s="68" t="s">
        <v>32</v>
      </c>
      <c r="F63" s="69">
        <v>56908.0</v>
      </c>
      <c r="G63" s="69">
        <v>15123.233333333334</v>
      </c>
      <c r="H63" s="70">
        <v>90.01924603174604</v>
      </c>
      <c r="I63" s="70">
        <v>30.94292773962377</v>
      </c>
      <c r="J63" s="68">
        <v>467957.11622280284</v>
      </c>
      <c r="K63" s="68">
        <v>3.762951926065193</v>
      </c>
      <c r="L63" s="68">
        <v>2709.904761904762</v>
      </c>
      <c r="M63" s="68">
        <v>632.1759235789524</v>
      </c>
      <c r="N63" s="68">
        <v>8.223046254003002</v>
      </c>
      <c r="O63" s="69">
        <v>56457.107</v>
      </c>
      <c r="P63" s="69">
        <v>18610.7932194464</v>
      </c>
      <c r="Q63" s="70">
        <v>110.77853106813333</v>
      </c>
      <c r="R63" s="70">
        <v>30.94292773962377</v>
      </c>
      <c r="S63" s="68">
        <v>575872.42976641</v>
      </c>
      <c r="T63" s="68">
        <v>3.033568012620119</v>
      </c>
      <c r="U63" s="68">
        <v>2688.433666666667</v>
      </c>
      <c r="V63" s="68">
        <v>509.63942612018</v>
      </c>
      <c r="W63" s="68">
        <v>10.200176033929793</v>
      </c>
      <c r="X63" s="71"/>
    </row>
    <row r="64" ht="14.25" hidden="1" customHeight="1">
      <c r="A64" s="67">
        <v>2025.0</v>
      </c>
      <c r="B64" s="68">
        <v>8.0</v>
      </c>
      <c r="C64" s="69">
        <v>21.0</v>
      </c>
      <c r="D64" s="68" t="s">
        <v>41</v>
      </c>
      <c r="E64" s="68" t="s">
        <v>32</v>
      </c>
      <c r="F64" s="69">
        <v>197524.0</v>
      </c>
      <c r="G64" s="69">
        <v>6269.083333333333</v>
      </c>
      <c r="H64" s="70">
        <v>37.31597222222222</v>
      </c>
      <c r="I64" s="70">
        <v>30.94292773962377</v>
      </c>
      <c r="J64" s="68">
        <v>193983.79257701302</v>
      </c>
      <c r="K64" s="68">
        <v>31.507636682662273</v>
      </c>
      <c r="L64" s="68">
        <v>9405.904761904761</v>
      </c>
      <c r="M64" s="68">
        <v>5293.282962687262</v>
      </c>
      <c r="N64" s="68">
        <v>0.9820770770995576</v>
      </c>
      <c r="O64" s="69">
        <v>219409.0</v>
      </c>
      <c r="P64" s="69">
        <v>6499.31219977951</v>
      </c>
      <c r="Q64" s="70">
        <v>38.6863821415447</v>
      </c>
      <c r="R64" s="70">
        <v>30.94292773962377</v>
      </c>
      <c r="S64" s="68">
        <v>201107.7477550326</v>
      </c>
      <c r="T64" s="68">
        <v>33.758802971096465</v>
      </c>
      <c r="U64" s="68">
        <v>10448.047619047618</v>
      </c>
      <c r="V64" s="68">
        <v>5671.4788991442065</v>
      </c>
      <c r="W64" s="68">
        <v>0.9165884159493576</v>
      </c>
      <c r="X64" s="71"/>
    </row>
    <row r="65" ht="14.25" hidden="1" customHeight="1">
      <c r="A65" s="67">
        <v>2025.0</v>
      </c>
      <c r="B65" s="68">
        <v>8.0</v>
      </c>
      <c r="C65" s="69">
        <v>21.0</v>
      </c>
      <c r="D65" s="68" t="s">
        <v>86</v>
      </c>
      <c r="E65" s="68" t="s">
        <v>32</v>
      </c>
      <c r="F65" s="69">
        <v>0.0</v>
      </c>
      <c r="G65" s="69">
        <v>916.1</v>
      </c>
      <c r="H65" s="70">
        <v>5.452976190476191</v>
      </c>
      <c r="I65" s="70">
        <v>30.94292773962377</v>
      </c>
      <c r="J65" s="68">
        <v>28346.816102269335</v>
      </c>
      <c r="K65" s="68">
        <v>0.0</v>
      </c>
      <c r="L65" s="68">
        <v>0.0</v>
      </c>
      <c r="M65" s="68">
        <v>0.0</v>
      </c>
      <c r="N65" s="68">
        <v>0.0</v>
      </c>
      <c r="O65" s="69">
        <v>0.0</v>
      </c>
      <c r="P65" s="69">
        <v>2299.756624537365</v>
      </c>
      <c r="Q65" s="70">
        <v>13.689027527008125</v>
      </c>
      <c r="R65" s="70">
        <v>30.94292773962377</v>
      </c>
      <c r="S65" s="68">
        <v>71161.20305178076</v>
      </c>
      <c r="T65" s="68">
        <v>0.0</v>
      </c>
      <c r="U65" s="68">
        <v>0.0</v>
      </c>
      <c r="V65" s="68">
        <v>0.0</v>
      </c>
      <c r="W65" s="68">
        <v>0.0</v>
      </c>
      <c r="X65" s="71"/>
    </row>
    <row r="66" ht="14.25" hidden="1" customHeight="1">
      <c r="A66" s="67">
        <v>2025.0</v>
      </c>
      <c r="B66" s="68">
        <v>9.0</v>
      </c>
      <c r="C66" s="69">
        <v>22.0</v>
      </c>
      <c r="D66" s="68" t="s">
        <v>37</v>
      </c>
      <c r="E66" s="68" t="s">
        <v>84</v>
      </c>
      <c r="F66" s="69">
        <v>12731.0</v>
      </c>
      <c r="G66" s="69">
        <v>2367.812367235608</v>
      </c>
      <c r="H66" s="70">
        <v>13.453479359293226</v>
      </c>
      <c r="I66" s="70">
        <v>30.862570683398854</v>
      </c>
      <c r="J66" s="68">
        <v>73076.77654883491</v>
      </c>
      <c r="K66" s="68">
        <v>5.376692923883698</v>
      </c>
      <c r="L66" s="68">
        <v>578.6818181818181</v>
      </c>
      <c r="M66" s="68">
        <v>946.2979546035308</v>
      </c>
      <c r="N66" s="68">
        <v>5.740065709593505</v>
      </c>
      <c r="O66" s="69">
        <v>11407.0</v>
      </c>
      <c r="P66" s="69">
        <v>1959.3688726342828</v>
      </c>
      <c r="Q66" s="70">
        <v>11.132777685422061</v>
      </c>
      <c r="R66" s="70">
        <v>30.862570683398854</v>
      </c>
      <c r="S66" s="68">
        <v>60471.160326527075</v>
      </c>
      <c r="T66" s="68">
        <v>5.821772591836577</v>
      </c>
      <c r="U66" s="68">
        <v>518.5</v>
      </c>
      <c r="V66" s="68">
        <v>1024.6319761632376</v>
      </c>
      <c r="W66" s="68">
        <v>5.30123260511327</v>
      </c>
      <c r="X66" s="71"/>
    </row>
    <row r="67" ht="14.25" hidden="1" customHeight="1">
      <c r="A67" s="67">
        <v>2025.0</v>
      </c>
      <c r="B67" s="68">
        <v>9.0</v>
      </c>
      <c r="C67" s="69">
        <v>22.0</v>
      </c>
      <c r="D67" s="68" t="s">
        <v>37</v>
      </c>
      <c r="E67" s="68" t="s">
        <v>85</v>
      </c>
      <c r="F67" s="69">
        <v>11466.0</v>
      </c>
      <c r="G67" s="69">
        <v>2132.537632764392</v>
      </c>
      <c r="H67" s="70">
        <v>12.11669109525223</v>
      </c>
      <c r="I67" s="70">
        <v>30.862570683398854</v>
      </c>
      <c r="J67" s="68">
        <v>65815.59342619912</v>
      </c>
      <c r="K67" s="68">
        <v>5.376692923883699</v>
      </c>
      <c r="L67" s="68">
        <v>521.1818181818181</v>
      </c>
      <c r="M67" s="68">
        <v>946.2979546035307</v>
      </c>
      <c r="N67" s="68">
        <v>5.740065709593504</v>
      </c>
      <c r="O67" s="69">
        <v>9229.0</v>
      </c>
      <c r="P67" s="69">
        <v>1585.256011707004</v>
      </c>
      <c r="Q67" s="70">
        <v>9.007136430153432</v>
      </c>
      <c r="R67" s="70">
        <v>30.862570683398854</v>
      </c>
      <c r="S67" s="68">
        <v>48925.07571259038</v>
      </c>
      <c r="T67" s="68">
        <v>5.821772591836577</v>
      </c>
      <c r="U67" s="68">
        <v>419.5</v>
      </c>
      <c r="V67" s="68">
        <v>1024.6319761632376</v>
      </c>
      <c r="W67" s="68">
        <v>5.301232605113271</v>
      </c>
      <c r="X67" s="71"/>
    </row>
    <row r="68" ht="14.25" hidden="1" customHeight="1">
      <c r="A68" s="67">
        <v>2025.0</v>
      </c>
      <c r="B68" s="68">
        <v>9.0</v>
      </c>
      <c r="C68" s="69">
        <v>22.0</v>
      </c>
      <c r="D68" s="68" t="s">
        <v>37</v>
      </c>
      <c r="E68" s="68" t="s">
        <v>32</v>
      </c>
      <c r="F68" s="69">
        <v>24197.0</v>
      </c>
      <c r="G68" s="69">
        <v>4500.35</v>
      </c>
      <c r="H68" s="70">
        <v>25.57017045454546</v>
      </c>
      <c r="I68" s="70">
        <v>30.862570683398854</v>
      </c>
      <c r="J68" s="68">
        <v>138892.36997503403</v>
      </c>
      <c r="K68" s="68">
        <v>5.376692923883698</v>
      </c>
      <c r="L68" s="68">
        <v>1099.8636363636363</v>
      </c>
      <c r="M68" s="68">
        <v>946.2979546035307</v>
      </c>
      <c r="N68" s="68">
        <v>5.740065709593504</v>
      </c>
      <c r="O68" s="69">
        <v>20636.0</v>
      </c>
      <c r="P68" s="69">
        <v>3544.624884341287</v>
      </c>
      <c r="Q68" s="70">
        <v>20.139914115575493</v>
      </c>
      <c r="R68" s="70">
        <v>30.862570683398854</v>
      </c>
      <c r="S68" s="68">
        <v>109396.23603911744</v>
      </c>
      <c r="T68" s="68">
        <v>5.821772591836577</v>
      </c>
      <c r="U68" s="68">
        <v>938.0</v>
      </c>
      <c r="V68" s="68">
        <v>1024.6319761632376</v>
      </c>
      <c r="W68" s="68">
        <v>5.30123260511327</v>
      </c>
      <c r="X68" s="71"/>
    </row>
    <row r="69" ht="14.25" hidden="1" customHeight="1">
      <c r="A69" s="67">
        <v>2025.0</v>
      </c>
      <c r="B69" s="68">
        <v>9.0</v>
      </c>
      <c r="C69" s="69">
        <v>22.0</v>
      </c>
      <c r="D69" s="68" t="s">
        <v>42</v>
      </c>
      <c r="E69" s="68" t="s">
        <v>84</v>
      </c>
      <c r="F69" s="69">
        <v>28250.0</v>
      </c>
      <c r="G69" s="69">
        <v>7398.906701846681</v>
      </c>
      <c r="H69" s="70">
        <v>42.03924262412887</v>
      </c>
      <c r="I69" s="70">
        <v>30.862570683398854</v>
      </c>
      <c r="J69" s="68">
        <v>228349.2810656167</v>
      </c>
      <c r="K69" s="68">
        <v>3.818131669770769</v>
      </c>
      <c r="L69" s="68">
        <v>1284.090909090909</v>
      </c>
      <c r="M69" s="68">
        <v>671.9911738796553</v>
      </c>
      <c r="N69" s="68">
        <v>8.083160391703245</v>
      </c>
      <c r="O69" s="69">
        <v>28111.875</v>
      </c>
      <c r="P69" s="69">
        <v>9230.585013166276</v>
      </c>
      <c r="Q69" s="70">
        <v>52.44650575662656</v>
      </c>
      <c r="R69" s="70">
        <v>30.862570683398854</v>
      </c>
      <c r="S69" s="68">
        <v>284879.58241796633</v>
      </c>
      <c r="T69" s="68">
        <v>3.04551390403771</v>
      </c>
      <c r="U69" s="68">
        <v>1277.8125</v>
      </c>
      <c r="V69" s="68">
        <v>536.0104471106371</v>
      </c>
      <c r="W69" s="68">
        <v>10.133780917066767</v>
      </c>
      <c r="X69" s="71"/>
    </row>
    <row r="70" ht="14.25" hidden="1" customHeight="1">
      <c r="A70" s="67">
        <v>2025.0</v>
      </c>
      <c r="B70" s="68">
        <v>9.0</v>
      </c>
      <c r="C70" s="69">
        <v>22.0</v>
      </c>
      <c r="D70" s="68" t="s">
        <v>42</v>
      </c>
      <c r="E70" s="68" t="s">
        <v>85</v>
      </c>
      <c r="F70" s="69">
        <v>30306.0</v>
      </c>
      <c r="G70" s="69">
        <v>7937.389964820019</v>
      </c>
      <c r="H70" s="70">
        <v>45.098806618295555</v>
      </c>
      <c r="I70" s="70">
        <v>30.862570683398854</v>
      </c>
      <c r="J70" s="68">
        <v>244968.25883095857</v>
      </c>
      <c r="K70" s="68">
        <v>3.818131669770769</v>
      </c>
      <c r="L70" s="68">
        <v>1377.5454545454545</v>
      </c>
      <c r="M70" s="68">
        <v>671.9911738796553</v>
      </c>
      <c r="N70" s="68">
        <v>8.083160391703245</v>
      </c>
      <c r="O70" s="69">
        <v>28345.232</v>
      </c>
      <c r="P70" s="69">
        <v>9307.208206280126</v>
      </c>
      <c r="Q70" s="70">
        <v>52.8818648084098</v>
      </c>
      <c r="R70" s="70">
        <v>30.862570683398854</v>
      </c>
      <c r="S70" s="68">
        <v>287244.3711314302</v>
      </c>
      <c r="T70" s="68">
        <v>3.04551390403771</v>
      </c>
      <c r="U70" s="68">
        <v>1288.4196363636363</v>
      </c>
      <c r="V70" s="68">
        <v>536.0104471106371</v>
      </c>
      <c r="W70" s="68">
        <v>10.133780917066765</v>
      </c>
      <c r="X70" s="71"/>
    </row>
    <row r="71" ht="14.25" customHeight="1">
      <c r="A71" s="67">
        <v>2025.0</v>
      </c>
      <c r="B71" s="68">
        <v>9.0</v>
      </c>
      <c r="C71" s="69">
        <v>22.0</v>
      </c>
      <c r="D71" s="68" t="s">
        <v>42</v>
      </c>
      <c r="E71" s="68" t="s">
        <v>32</v>
      </c>
      <c r="F71" s="69">
        <v>58556.0</v>
      </c>
      <c r="G71" s="69">
        <v>15336.2966666667</v>
      </c>
      <c r="H71" s="70">
        <v>87.13804924242443</v>
      </c>
      <c r="I71" s="70">
        <v>30.862570683398854</v>
      </c>
      <c r="J71" s="68">
        <v>473317.53989657527</v>
      </c>
      <c r="K71" s="68">
        <v>3.818131669770769</v>
      </c>
      <c r="L71" s="68">
        <v>2661.6363636363635</v>
      </c>
      <c r="M71" s="68">
        <v>671.9911738796553</v>
      </c>
      <c r="N71" s="68">
        <v>8.083160391703245</v>
      </c>
      <c r="O71" s="69">
        <v>56457.107</v>
      </c>
      <c r="P71" s="69">
        <v>18537.7932194464</v>
      </c>
      <c r="Q71" s="70">
        <v>105.32837056503637</v>
      </c>
      <c r="R71" s="70">
        <v>30.862570683398854</v>
      </c>
      <c r="S71" s="68">
        <v>572123.9535493966</v>
      </c>
      <c r="T71" s="68">
        <v>3.04551390403771</v>
      </c>
      <c r="U71" s="68">
        <v>2566.2321363636365</v>
      </c>
      <c r="V71" s="68">
        <v>536.0104471106371</v>
      </c>
      <c r="W71" s="68">
        <v>10.133780917066767</v>
      </c>
      <c r="X71" s="71"/>
    </row>
    <row r="72" ht="14.25" hidden="1" customHeight="1">
      <c r="A72" s="67">
        <v>2025.0</v>
      </c>
      <c r="B72" s="68">
        <v>9.0</v>
      </c>
      <c r="C72" s="69">
        <v>22.0</v>
      </c>
      <c r="D72" s="68" t="s">
        <v>41</v>
      </c>
      <c r="E72" s="68" t="s">
        <v>32</v>
      </c>
      <c r="F72" s="69">
        <v>188935.0</v>
      </c>
      <c r="G72" s="69">
        <v>5680.116666666667</v>
      </c>
      <c r="H72" s="70">
        <v>32.27339015151515</v>
      </c>
      <c r="I72" s="70">
        <v>30.862570683398854</v>
      </c>
      <c r="J72" s="68">
        <v>175303.0021149519</v>
      </c>
      <c r="K72" s="68">
        <v>33.262521016293675</v>
      </c>
      <c r="L72" s="68">
        <v>8587.954545454546</v>
      </c>
      <c r="M72" s="68">
        <v>5854.203698867687</v>
      </c>
      <c r="N72" s="68">
        <v>0.9278482129565825</v>
      </c>
      <c r="O72" s="69">
        <v>219409.0</v>
      </c>
      <c r="P72" s="69">
        <v>6499.31219977951</v>
      </c>
      <c r="Q72" s="70">
        <v>36.92791022601994</v>
      </c>
      <c r="R72" s="70">
        <v>30.862570683398854</v>
      </c>
      <c r="S72" s="68">
        <v>200585.4821591716</v>
      </c>
      <c r="T72" s="68">
        <v>33.758802971096465</v>
      </c>
      <c r="U72" s="68">
        <v>9973.136363636364</v>
      </c>
      <c r="V72" s="68">
        <v>5941.549322912978</v>
      </c>
      <c r="W72" s="68">
        <v>0.9142080869935673</v>
      </c>
      <c r="X72" s="71"/>
    </row>
    <row r="73" ht="14.25" hidden="1" customHeight="1">
      <c r="A73" s="67">
        <v>2025.0</v>
      </c>
      <c r="B73" s="68">
        <v>9.0</v>
      </c>
      <c r="C73" s="69">
        <v>22.0</v>
      </c>
      <c r="D73" s="68" t="s">
        <v>86</v>
      </c>
      <c r="E73" s="68" t="s">
        <v>32</v>
      </c>
      <c r="F73" s="69">
        <v>0.0</v>
      </c>
      <c r="G73" s="69">
        <v>962.27</v>
      </c>
      <c r="H73" s="70">
        <v>5.467443181818182</v>
      </c>
      <c r="I73" s="70">
        <v>30.862570683398854</v>
      </c>
      <c r="J73" s="68">
        <v>29698.125891514213</v>
      </c>
      <c r="K73" s="68">
        <v>0.0</v>
      </c>
      <c r="L73" s="68">
        <v>0.0</v>
      </c>
      <c r="M73" s="68">
        <v>0.0</v>
      </c>
      <c r="N73" s="68">
        <v>0.0</v>
      </c>
      <c r="O73" s="69">
        <v>0.0</v>
      </c>
      <c r="P73" s="69">
        <v>2299.756624537365</v>
      </c>
      <c r="Q73" s="70">
        <v>13.06679900305321</v>
      </c>
      <c r="R73" s="70">
        <v>30.862570683398854</v>
      </c>
      <c r="S73" s="68">
        <v>70976.40137939919</v>
      </c>
      <c r="T73" s="68">
        <v>0.0</v>
      </c>
      <c r="U73" s="68">
        <v>0.0</v>
      </c>
      <c r="V73" s="68">
        <v>0.0</v>
      </c>
      <c r="W73" s="68">
        <v>0.0</v>
      </c>
      <c r="X73" s="71"/>
    </row>
    <row r="74" ht="14.25" hidden="1" customHeight="1">
      <c r="A74" s="67">
        <v>2025.0</v>
      </c>
      <c r="B74" s="68">
        <v>10.0</v>
      </c>
      <c r="C74" s="69">
        <v>23.0</v>
      </c>
      <c r="D74" s="68" t="s">
        <v>37</v>
      </c>
      <c r="E74" s="68" t="s">
        <v>84</v>
      </c>
      <c r="F74" s="69">
        <v>14547.0</v>
      </c>
      <c r="G74" s="69">
        <v>2527.04323477313</v>
      </c>
      <c r="H74" s="70">
        <v>13.733930623767009</v>
      </c>
      <c r="I74" s="70">
        <v>31.144104349048984</v>
      </c>
      <c r="J74" s="68">
        <v>78702.49819833264</v>
      </c>
      <c r="K74" s="68">
        <v>5.756529923915601</v>
      </c>
      <c r="L74" s="68">
        <v>632.4782608695652</v>
      </c>
      <c r="M74" s="68">
        <v>1059.2015060004708</v>
      </c>
      <c r="N74" s="68">
        <v>5.410221915056894</v>
      </c>
      <c r="O74" s="69">
        <v>11407.0</v>
      </c>
      <c r="P74" s="69">
        <v>1959.3688726342828</v>
      </c>
      <c r="Q74" s="70">
        <v>10.648743873012405</v>
      </c>
      <c r="R74" s="70">
        <v>31.144104349048984</v>
      </c>
      <c r="S74" s="68">
        <v>61022.78862760057</v>
      </c>
      <c r="T74" s="68">
        <v>5.821772591836577</v>
      </c>
      <c r="U74" s="68">
        <v>495.95652173913044</v>
      </c>
      <c r="V74" s="68">
        <v>1071.2061568979302</v>
      </c>
      <c r="W74" s="68">
        <v>5.349591358604416</v>
      </c>
      <c r="X74" s="71"/>
    </row>
    <row r="75" ht="14.25" hidden="1" customHeight="1">
      <c r="A75" s="67">
        <v>2025.0</v>
      </c>
      <c r="B75" s="68">
        <v>10.0</v>
      </c>
      <c r="C75" s="69">
        <v>23.0</v>
      </c>
      <c r="D75" s="68" t="s">
        <v>37</v>
      </c>
      <c r="E75" s="68" t="s">
        <v>85</v>
      </c>
      <c r="F75" s="69">
        <v>14809.0</v>
      </c>
      <c r="G75" s="69">
        <v>2572.5567652268705</v>
      </c>
      <c r="H75" s="70">
        <v>13.98128676753734</v>
      </c>
      <c r="I75" s="70">
        <v>31.144104349048984</v>
      </c>
      <c r="J75" s="68">
        <v>80119.97634007757</v>
      </c>
      <c r="K75" s="68">
        <v>5.7565299239156005</v>
      </c>
      <c r="L75" s="68">
        <v>643.8695652173913</v>
      </c>
      <c r="M75" s="68">
        <v>1059.2015060004705</v>
      </c>
      <c r="N75" s="68">
        <v>5.410221915056896</v>
      </c>
      <c r="O75" s="69">
        <v>9229.0</v>
      </c>
      <c r="P75" s="69">
        <v>1585.256011707004</v>
      </c>
      <c r="Q75" s="70">
        <v>8.615521802755456</v>
      </c>
      <c r="R75" s="70">
        <v>31.144104349048984</v>
      </c>
      <c r="S75" s="68">
        <v>49371.37864856015</v>
      </c>
      <c r="T75" s="68">
        <v>5.821772591836577</v>
      </c>
      <c r="U75" s="68">
        <v>401.2608695652174</v>
      </c>
      <c r="V75" s="68">
        <v>1071.2061568979302</v>
      </c>
      <c r="W75" s="68">
        <v>5.349591358604416</v>
      </c>
      <c r="X75" s="71"/>
    </row>
    <row r="76" ht="14.25" hidden="1" customHeight="1">
      <c r="A76" s="67">
        <v>2025.0</v>
      </c>
      <c r="B76" s="68">
        <v>10.0</v>
      </c>
      <c r="C76" s="69">
        <v>23.0</v>
      </c>
      <c r="D76" s="68" t="s">
        <v>37</v>
      </c>
      <c r="E76" s="68" t="s">
        <v>32</v>
      </c>
      <c r="F76" s="69">
        <v>29356.0</v>
      </c>
      <c r="G76" s="69">
        <v>5099.6</v>
      </c>
      <c r="H76" s="70">
        <v>27.71521739130435</v>
      </c>
      <c r="I76" s="70">
        <v>31.144104349048984</v>
      </c>
      <c r="J76" s="68">
        <v>158822.4745384102</v>
      </c>
      <c r="K76" s="68">
        <v>5.7565299239156005</v>
      </c>
      <c r="L76" s="68">
        <v>1276.3478260869565</v>
      </c>
      <c r="M76" s="68">
        <v>1059.2015060004705</v>
      </c>
      <c r="N76" s="68">
        <v>5.410221915056894</v>
      </c>
      <c r="O76" s="69">
        <v>20636.0</v>
      </c>
      <c r="P76" s="69">
        <v>3544.624884341287</v>
      </c>
      <c r="Q76" s="70">
        <v>19.264265675767863</v>
      </c>
      <c r="R76" s="70">
        <v>31.144104349048984</v>
      </c>
      <c r="S76" s="68">
        <v>110394.16727616072</v>
      </c>
      <c r="T76" s="68">
        <v>5.821772591836577</v>
      </c>
      <c r="U76" s="68">
        <v>897.2173913043479</v>
      </c>
      <c r="V76" s="68">
        <v>1071.2061568979302</v>
      </c>
      <c r="W76" s="68">
        <v>5.349591358604416</v>
      </c>
      <c r="X76" s="71"/>
    </row>
    <row r="77" ht="14.25" hidden="1" customHeight="1">
      <c r="A77" s="67">
        <v>2025.0</v>
      </c>
      <c r="B77" s="68">
        <v>10.0</v>
      </c>
      <c r="C77" s="69">
        <v>23.0</v>
      </c>
      <c r="D77" s="68" t="s">
        <v>42</v>
      </c>
      <c r="E77" s="68" t="s">
        <v>84</v>
      </c>
      <c r="F77" s="69">
        <v>30305.0</v>
      </c>
      <c r="G77" s="69">
        <v>8029.525156287402</v>
      </c>
      <c r="H77" s="70">
        <v>43.63872367547501</v>
      </c>
      <c r="I77" s="70">
        <v>31.144104349048984</v>
      </c>
      <c r="J77" s="68">
        <v>250072.3693407287</v>
      </c>
      <c r="K77" s="68">
        <v>3.7741957849487666</v>
      </c>
      <c r="L77" s="68">
        <v>1317.608695652174</v>
      </c>
      <c r="M77" s="68">
        <v>694.452024430573</v>
      </c>
      <c r="N77" s="68">
        <v>8.251851817875885</v>
      </c>
      <c r="O77" s="69">
        <v>28111.875</v>
      </c>
      <c r="P77" s="69">
        <v>9228.095346542017</v>
      </c>
      <c r="Q77" s="70">
        <v>50.15269210077184</v>
      </c>
      <c r="R77" s="70">
        <v>31.144104349048984</v>
      </c>
      <c r="S77" s="68">
        <v>287400.7644156779</v>
      </c>
      <c r="T77" s="68">
        <v>3.0463355594320096</v>
      </c>
      <c r="U77" s="68">
        <v>1222.2554347826087</v>
      </c>
      <c r="V77" s="68">
        <v>560.5257429354897</v>
      </c>
      <c r="W77" s="68">
        <v>10.223464796128964</v>
      </c>
      <c r="X77" s="71"/>
    </row>
    <row r="78" ht="14.25" hidden="1" customHeight="1">
      <c r="A78" s="67">
        <v>2025.0</v>
      </c>
      <c r="B78" s="68">
        <v>10.0</v>
      </c>
      <c r="C78" s="69">
        <v>23.0</v>
      </c>
      <c r="D78" s="68" t="s">
        <v>42</v>
      </c>
      <c r="E78" s="68" t="s">
        <v>85</v>
      </c>
      <c r="F78" s="69">
        <v>29574.0</v>
      </c>
      <c r="G78" s="69">
        <v>7835.841510379265</v>
      </c>
      <c r="H78" s="70">
        <v>42.58609516510471</v>
      </c>
      <c r="I78" s="70">
        <v>31.144104349048984</v>
      </c>
      <c r="J78" s="68">
        <v>244040.26566186143</v>
      </c>
      <c r="K78" s="68">
        <v>3.7741957849487666</v>
      </c>
      <c r="L78" s="68">
        <v>1285.8260869565217</v>
      </c>
      <c r="M78" s="68">
        <v>694.4520244305729</v>
      </c>
      <c r="N78" s="68">
        <v>8.251851817875885</v>
      </c>
      <c r="O78" s="69">
        <v>28345.232</v>
      </c>
      <c r="P78" s="69">
        <v>9304.697872904382</v>
      </c>
      <c r="Q78" s="70">
        <v>50.569010178828165</v>
      </c>
      <c r="R78" s="70">
        <v>31.144104349048984</v>
      </c>
      <c r="S78" s="68">
        <v>289786.4814901082</v>
      </c>
      <c r="T78" s="68">
        <v>3.0463355594320096</v>
      </c>
      <c r="U78" s="68">
        <v>1232.4013913043477</v>
      </c>
      <c r="V78" s="68">
        <v>560.5257429354897</v>
      </c>
      <c r="W78" s="68">
        <v>10.223464796128964</v>
      </c>
      <c r="X78" s="71"/>
    </row>
    <row r="79" ht="14.25" customHeight="1">
      <c r="A79" s="67">
        <v>2025.0</v>
      </c>
      <c r="B79" s="68">
        <v>10.0</v>
      </c>
      <c r="C79" s="69">
        <v>23.0</v>
      </c>
      <c r="D79" s="68" t="s">
        <v>42</v>
      </c>
      <c r="E79" s="68" t="s">
        <v>32</v>
      </c>
      <c r="F79" s="69">
        <v>59879.0</v>
      </c>
      <c r="G79" s="69">
        <v>15865.366666666667</v>
      </c>
      <c r="H79" s="70">
        <v>86.22481884057972</v>
      </c>
      <c r="I79" s="70">
        <v>31.144104349048984</v>
      </c>
      <c r="J79" s="68">
        <v>494112.63500259013</v>
      </c>
      <c r="K79" s="68">
        <v>3.7741957849487666</v>
      </c>
      <c r="L79" s="68">
        <v>2603.4347826086955</v>
      </c>
      <c r="M79" s="68">
        <v>694.452024430573</v>
      </c>
      <c r="N79" s="68">
        <v>8.251851817875885</v>
      </c>
      <c r="O79" s="69">
        <v>56457.107</v>
      </c>
      <c r="P79" s="69">
        <v>18532.7932194464</v>
      </c>
      <c r="Q79" s="70">
        <v>100.72170227960001</v>
      </c>
      <c r="R79" s="70">
        <v>31.144104349048984</v>
      </c>
      <c r="S79" s="68">
        <v>577187.2459057862</v>
      </c>
      <c r="T79" s="68">
        <v>3.0463355594320096</v>
      </c>
      <c r="U79" s="68">
        <v>2454.6568260869567</v>
      </c>
      <c r="V79" s="68">
        <v>560.5257429354897</v>
      </c>
      <c r="W79" s="68">
        <v>10.223464796128965</v>
      </c>
      <c r="X79" s="71"/>
    </row>
    <row r="80" ht="14.25" hidden="1" customHeight="1">
      <c r="A80" s="67">
        <v>2025.0</v>
      </c>
      <c r="B80" s="68">
        <v>10.0</v>
      </c>
      <c r="C80" s="69">
        <v>23.0</v>
      </c>
      <c r="D80" s="68" t="s">
        <v>41</v>
      </c>
      <c r="E80" s="68" t="s">
        <v>32</v>
      </c>
      <c r="F80" s="69">
        <v>183894.0</v>
      </c>
      <c r="G80" s="69">
        <v>6511.8</v>
      </c>
      <c r="H80" s="70">
        <v>35.39021739130435</v>
      </c>
      <c r="I80" s="70">
        <v>31.144104349048984</v>
      </c>
      <c r="J80" s="68">
        <v>202804.17870013718</v>
      </c>
      <c r="K80" s="68">
        <v>28.240117939740163</v>
      </c>
      <c r="L80" s="68">
        <v>7995.391304347826</v>
      </c>
      <c r="M80" s="68">
        <v>5196.1817009121905</v>
      </c>
      <c r="N80" s="68">
        <v>1.1028319504722133</v>
      </c>
      <c r="O80" s="69">
        <v>219409.0</v>
      </c>
      <c r="P80" s="69">
        <v>6499.31219977951</v>
      </c>
      <c r="Q80" s="70">
        <v>35.32234891184516</v>
      </c>
      <c r="R80" s="70">
        <v>31.144104349048984</v>
      </c>
      <c r="S80" s="68">
        <v>202415.25734698016</v>
      </c>
      <c r="T80" s="68">
        <v>33.758802971096465</v>
      </c>
      <c r="U80" s="68">
        <v>9539.521739130434</v>
      </c>
      <c r="V80" s="68">
        <v>6211.619746681749</v>
      </c>
      <c r="W80" s="68">
        <v>0.9225476500370549</v>
      </c>
      <c r="X80" s="71"/>
    </row>
    <row r="81" ht="14.25" hidden="1" customHeight="1">
      <c r="A81" s="73">
        <v>2025.0</v>
      </c>
      <c r="B81" s="74">
        <v>10.0</v>
      </c>
      <c r="C81" s="75">
        <v>23.0</v>
      </c>
      <c r="D81" s="74" t="s">
        <v>86</v>
      </c>
      <c r="E81" s="74" t="s">
        <v>32</v>
      </c>
      <c r="F81" s="75">
        <v>0.0</v>
      </c>
      <c r="G81" s="75">
        <v>1031.7</v>
      </c>
      <c r="H81" s="76">
        <v>5.6070652173913045</v>
      </c>
      <c r="I81" s="76">
        <v>31.144104349048984</v>
      </c>
      <c r="J81" s="74">
        <v>32131.37245691384</v>
      </c>
      <c r="K81" s="74">
        <v>0.0</v>
      </c>
      <c r="L81" s="74">
        <v>0.0</v>
      </c>
      <c r="M81" s="74">
        <v>0.0</v>
      </c>
      <c r="N81" s="74">
        <v>0.0</v>
      </c>
      <c r="O81" s="75">
        <v>0.0</v>
      </c>
      <c r="P81" s="75">
        <v>2299.756624537365</v>
      </c>
      <c r="Q81" s="76">
        <v>12.498677307268288</v>
      </c>
      <c r="R81" s="76">
        <v>31.144104349048984</v>
      </c>
      <c r="S81" s="74">
        <v>71623.86029200836</v>
      </c>
      <c r="T81" s="74">
        <v>0.0</v>
      </c>
      <c r="U81" s="74">
        <v>0.0</v>
      </c>
      <c r="V81" s="74">
        <v>0.0</v>
      </c>
      <c r="W81" s="74">
        <v>0.0</v>
      </c>
      <c r="X81" s="77"/>
    </row>
    <row r="82" ht="14.25" customHeight="1">
      <c r="A82" s="67">
        <v>2025.0</v>
      </c>
      <c r="B82" s="68">
        <v>11.0</v>
      </c>
      <c r="C82" s="69">
        <v>20.0</v>
      </c>
      <c r="D82" s="68" t="s">
        <v>37</v>
      </c>
      <c r="E82" s="68" t="s">
        <v>84</v>
      </c>
      <c r="F82" s="69">
        <v>13467.0</v>
      </c>
      <c r="G82" s="69">
        <v>2114.5976498026553</v>
      </c>
      <c r="H82" s="70">
        <v>13.216235311266596</v>
      </c>
      <c r="I82" s="70">
        <v>30.922752603433718</v>
      </c>
      <c r="J82" s="68">
        <v>65389.17998064988</v>
      </c>
      <c r="K82" s="68">
        <v>6.3685874243058995</v>
      </c>
      <c r="L82" s="68">
        <v>673.35</v>
      </c>
      <c r="M82" s="68">
        <v>1018.9739878889438</v>
      </c>
      <c r="N82" s="68">
        <v>4.855511990840564</v>
      </c>
      <c r="O82" s="69">
        <v>11407.0</v>
      </c>
      <c r="P82" s="69">
        <v>1959.3688726342825</v>
      </c>
      <c r="Q82" s="70">
        <v>12.246055453964265</v>
      </c>
      <c r="R82" s="70">
        <v>30.922752603433718</v>
      </c>
      <c r="S82" s="68">
        <v>60589.07890733875</v>
      </c>
      <c r="T82" s="68">
        <v>5.821772591836577</v>
      </c>
      <c r="U82" s="68">
        <v>570.35</v>
      </c>
      <c r="V82" s="68">
        <v>931.4836146938525</v>
      </c>
      <c r="W82" s="68">
        <v>5.311569992753463</v>
      </c>
      <c r="X82" s="71"/>
    </row>
    <row r="83" ht="14.25" customHeight="1">
      <c r="A83" s="67">
        <v>2025.0</v>
      </c>
      <c r="B83" s="68">
        <v>11.0</v>
      </c>
      <c r="C83" s="69">
        <v>20.0</v>
      </c>
      <c r="D83" s="68" t="s">
        <v>37</v>
      </c>
      <c r="E83" s="68" t="s">
        <v>85</v>
      </c>
      <c r="F83" s="69">
        <v>14403.0</v>
      </c>
      <c r="G83" s="69">
        <v>2261.5690168640117</v>
      </c>
      <c r="H83" s="70">
        <v>14.134806355400071</v>
      </c>
      <c r="I83" s="70">
        <v>30.922752603433718</v>
      </c>
      <c r="J83" s="68">
        <v>69933.93920407665</v>
      </c>
      <c r="K83" s="68">
        <v>6.368587424305899</v>
      </c>
      <c r="L83" s="68">
        <v>720.15</v>
      </c>
      <c r="M83" s="68">
        <v>1018.973987888944</v>
      </c>
      <c r="N83" s="68">
        <v>4.855511990840565</v>
      </c>
      <c r="O83" s="69">
        <v>9229.0</v>
      </c>
      <c r="P83" s="69">
        <v>1585.256011707004</v>
      </c>
      <c r="Q83" s="70">
        <v>9.907850073168774</v>
      </c>
      <c r="R83" s="70">
        <v>30.922752603433718</v>
      </c>
      <c r="S83" s="68">
        <v>49020.479463121716</v>
      </c>
      <c r="T83" s="68">
        <v>5.821772591836577</v>
      </c>
      <c r="U83" s="68">
        <v>461.45</v>
      </c>
      <c r="V83" s="68">
        <v>931.4836146938525</v>
      </c>
      <c r="W83" s="68">
        <v>5.311569992753464</v>
      </c>
      <c r="X83" s="71"/>
    </row>
    <row r="84" ht="14.25" customHeight="1">
      <c r="A84" s="67">
        <v>2025.0</v>
      </c>
      <c r="B84" s="68">
        <v>11.0</v>
      </c>
      <c r="C84" s="69">
        <v>20.0</v>
      </c>
      <c r="D84" s="68" t="s">
        <v>37</v>
      </c>
      <c r="E84" s="68" t="s">
        <v>32</v>
      </c>
      <c r="F84" s="69">
        <v>27870.0</v>
      </c>
      <c r="G84" s="69">
        <v>4376.166666666667</v>
      </c>
      <c r="H84" s="70">
        <v>27.351041666666667</v>
      </c>
      <c r="I84" s="70">
        <v>30.922752603433718</v>
      </c>
      <c r="J84" s="68">
        <v>135323.11918472653</v>
      </c>
      <c r="K84" s="68">
        <v>6.368587424305899</v>
      </c>
      <c r="L84" s="68">
        <v>1393.5</v>
      </c>
      <c r="M84" s="68">
        <v>1018.9739878889438</v>
      </c>
      <c r="N84" s="68">
        <v>4.855511990840564</v>
      </c>
      <c r="O84" s="69">
        <v>20636.0</v>
      </c>
      <c r="P84" s="69">
        <v>3544.624884341287</v>
      </c>
      <c r="Q84" s="70">
        <v>22.15390552713304</v>
      </c>
      <c r="R84" s="70">
        <v>30.922752603433718</v>
      </c>
      <c r="S84" s="68">
        <v>109609.55837046047</v>
      </c>
      <c r="T84" s="68">
        <v>5.821772591836577</v>
      </c>
      <c r="U84" s="68">
        <v>1031.8</v>
      </c>
      <c r="V84" s="68">
        <v>931.4836146938524</v>
      </c>
      <c r="W84" s="68">
        <v>5.311569992753463</v>
      </c>
      <c r="X84" s="71"/>
    </row>
    <row r="85" ht="14.25" customHeight="1">
      <c r="A85" s="67">
        <v>2025.0</v>
      </c>
      <c r="B85" s="68">
        <v>11.0</v>
      </c>
      <c r="C85" s="69">
        <v>20.0</v>
      </c>
      <c r="D85" s="68" t="s">
        <v>42</v>
      </c>
      <c r="E85" s="68" t="s">
        <v>84</v>
      </c>
      <c r="F85" s="69">
        <v>29766.0</v>
      </c>
      <c r="G85" s="69">
        <v>7647.109977926542</v>
      </c>
      <c r="H85" s="70">
        <v>47.794437362040895</v>
      </c>
      <c r="I85" s="70">
        <v>30.922752603433718</v>
      </c>
      <c r="J85" s="68">
        <v>236469.68997867196</v>
      </c>
      <c r="K85" s="68">
        <v>3.8924508848335972</v>
      </c>
      <c r="L85" s="68">
        <v>1488.3</v>
      </c>
      <c r="M85" s="68">
        <v>622.7921415733755</v>
      </c>
      <c r="N85" s="68">
        <v>7.9442884491927686</v>
      </c>
      <c r="O85" s="69">
        <v>28111.875</v>
      </c>
      <c r="P85" s="69">
        <v>9235.066413089937</v>
      </c>
      <c r="Q85" s="70">
        <v>57.71916508181211</v>
      </c>
      <c r="R85" s="70">
        <v>30.922752603433718</v>
      </c>
      <c r="S85" s="68">
        <v>285573.6739682601</v>
      </c>
      <c r="T85" s="68">
        <v>3.044036040732069</v>
      </c>
      <c r="U85" s="68">
        <v>1405.59375</v>
      </c>
      <c r="V85" s="68">
        <v>487.04576651713097</v>
      </c>
      <c r="W85" s="68">
        <v>10.158471249899202</v>
      </c>
      <c r="X85" s="71"/>
    </row>
    <row r="86" ht="14.25" customHeight="1">
      <c r="A86" s="67">
        <v>2025.0</v>
      </c>
      <c r="B86" s="68">
        <v>11.0</v>
      </c>
      <c r="C86" s="69">
        <v>20.0</v>
      </c>
      <c r="D86" s="68" t="s">
        <v>42</v>
      </c>
      <c r="E86" s="68" t="s">
        <v>85</v>
      </c>
      <c r="F86" s="69">
        <v>25504.0</v>
      </c>
      <c r="G86" s="69">
        <v>6552.170022073458</v>
      </c>
      <c r="H86" s="70">
        <v>40.95106263795911</v>
      </c>
      <c r="I86" s="70">
        <v>30.922752603433718</v>
      </c>
      <c r="J86" s="68">
        <v>202611.13260821239</v>
      </c>
      <c r="K86" s="68">
        <v>3.892450884833597</v>
      </c>
      <c r="L86" s="68">
        <v>1275.2</v>
      </c>
      <c r="M86" s="68">
        <v>622.7921415733755</v>
      </c>
      <c r="N86" s="68">
        <v>7.944288449192769</v>
      </c>
      <c r="O86" s="69">
        <v>28345.232</v>
      </c>
      <c r="P86" s="69">
        <v>9311.726806356464</v>
      </c>
      <c r="Q86" s="70">
        <v>58.1982925397279</v>
      </c>
      <c r="R86" s="70">
        <v>30.922752603433718</v>
      </c>
      <c r="S86" s="68">
        <v>287944.2243437229</v>
      </c>
      <c r="T86" s="68">
        <v>3.0440360407320686</v>
      </c>
      <c r="U86" s="68">
        <v>1417.2616</v>
      </c>
      <c r="V86" s="68">
        <v>487.04576651713097</v>
      </c>
      <c r="W86" s="68">
        <v>10.158471249899204</v>
      </c>
      <c r="X86" s="71"/>
    </row>
    <row r="87" ht="14.25" customHeight="1">
      <c r="A87" s="67">
        <v>2025.0</v>
      </c>
      <c r="B87" s="68">
        <v>11.0</v>
      </c>
      <c r="C87" s="69">
        <v>20.0</v>
      </c>
      <c r="D87" s="68" t="s">
        <v>42</v>
      </c>
      <c r="E87" s="68" t="s">
        <v>32</v>
      </c>
      <c r="F87" s="69">
        <v>55270.0</v>
      </c>
      <c r="G87" s="69">
        <v>14199.28</v>
      </c>
      <c r="H87" s="70">
        <v>88.7455</v>
      </c>
      <c r="I87" s="70">
        <v>30.922752603433718</v>
      </c>
      <c r="J87" s="68">
        <v>439080.8225868844</v>
      </c>
      <c r="K87" s="68">
        <v>3.892450884833597</v>
      </c>
      <c r="L87" s="68">
        <v>2763.5</v>
      </c>
      <c r="M87" s="68">
        <v>622.7921415733755</v>
      </c>
      <c r="N87" s="68">
        <v>7.944288449192769</v>
      </c>
      <c r="O87" s="69">
        <v>56457.107</v>
      </c>
      <c r="P87" s="69">
        <v>18546.7932194464</v>
      </c>
      <c r="Q87" s="70">
        <v>115.91745762154001</v>
      </c>
      <c r="R87" s="70">
        <v>30.922752603433718</v>
      </c>
      <c r="S87" s="68">
        <v>573517.898311983</v>
      </c>
      <c r="T87" s="68">
        <v>3.044036040732069</v>
      </c>
      <c r="U87" s="68">
        <v>2822.8553500000003</v>
      </c>
      <c r="V87" s="68">
        <v>487.045766517131</v>
      </c>
      <c r="W87" s="68">
        <v>10.1584712498992</v>
      </c>
      <c r="X87" s="71"/>
    </row>
    <row r="88" ht="14.25" customHeight="1">
      <c r="A88" s="67">
        <v>2025.0</v>
      </c>
      <c r="B88" s="68">
        <v>11.0</v>
      </c>
      <c r="C88" s="69">
        <v>20.0</v>
      </c>
      <c r="D88" s="68" t="s">
        <v>41</v>
      </c>
      <c r="E88" s="68" t="s">
        <v>32</v>
      </c>
      <c r="F88" s="69">
        <v>160213.0</v>
      </c>
      <c r="G88" s="69">
        <v>5383.516666666666</v>
      </c>
      <c r="H88" s="70">
        <v>33.64697916666667</v>
      </c>
      <c r="I88" s="70">
        <v>30.922752603433718</v>
      </c>
      <c r="J88" s="68">
        <v>166473.15401979547</v>
      </c>
      <c r="K88" s="68">
        <v>29.75991529700227</v>
      </c>
      <c r="L88" s="68">
        <v>8010.65</v>
      </c>
      <c r="M88" s="68">
        <v>4761.5864475203625</v>
      </c>
      <c r="N88" s="68">
        <v>1.0390739454338629</v>
      </c>
      <c r="O88" s="69">
        <v>219409.0</v>
      </c>
      <c r="P88" s="69">
        <v>6499.31219977951</v>
      </c>
      <c r="Q88" s="70">
        <v>40.620701248621934</v>
      </c>
      <c r="R88" s="70">
        <v>30.922752603433718</v>
      </c>
      <c r="S88" s="68">
        <v>200976.62324626037</v>
      </c>
      <c r="T88" s="68">
        <v>33.758802971096465</v>
      </c>
      <c r="U88" s="68">
        <v>10970.45</v>
      </c>
      <c r="V88" s="68">
        <v>5401.408475375434</v>
      </c>
      <c r="W88" s="68">
        <v>0.9159907900143585</v>
      </c>
      <c r="X88" s="71"/>
    </row>
    <row r="89" ht="14.25" customHeight="1">
      <c r="A89" s="73">
        <v>2025.0</v>
      </c>
      <c r="B89" s="74">
        <v>11.0</v>
      </c>
      <c r="C89" s="75">
        <v>20.0</v>
      </c>
      <c r="D89" s="74" t="s">
        <v>86</v>
      </c>
      <c r="E89" s="74" t="s">
        <v>32</v>
      </c>
      <c r="F89" s="75">
        <v>0.0</v>
      </c>
      <c r="G89" s="75">
        <v>913.3666666666667</v>
      </c>
      <c r="H89" s="76">
        <v>5.708541666666667</v>
      </c>
      <c r="I89" s="76">
        <v>30.922752603433718</v>
      </c>
      <c r="J89" s="74">
        <v>28243.811469556244</v>
      </c>
      <c r="K89" s="74">
        <v>0.0</v>
      </c>
      <c r="L89" s="74">
        <v>0.0</v>
      </c>
      <c r="M89" s="74">
        <v>0.0</v>
      </c>
      <c r="N89" s="74">
        <v>0.0</v>
      </c>
      <c r="O89" s="75">
        <v>0.0</v>
      </c>
      <c r="P89" s="75">
        <v>2299.756624537365</v>
      </c>
      <c r="Q89" s="76">
        <v>14.373478903358532</v>
      </c>
      <c r="R89" s="76">
        <v>30.922752603433718</v>
      </c>
      <c r="S89" s="74">
        <v>71114.80514867675</v>
      </c>
      <c r="T89" s="74">
        <v>0.0</v>
      </c>
      <c r="U89" s="74">
        <v>0.0</v>
      </c>
      <c r="V89" s="74">
        <v>0.0</v>
      </c>
      <c r="W89" s="74">
        <v>0.0</v>
      </c>
      <c r="X89" s="77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X$81">
    <filterColumn colId="3">
      <filters>
        <filter val="FG"/>
      </filters>
    </filterColumn>
    <filterColumn colId="4">
      <filters>
        <filter val="Total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2025-01-31T11:35:32Z</dcterms:created>
  <dc:creator>Nienke van Hoof - DSV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2025-01-31T12:14:01Z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5932e659-4b7b-491c-a237-33e572279214</vt:lpwstr>
  </property>
  <property fmtid="{D5CDD505-2E9C-101B-9397-08002B2CF9AE}" pid="8" name="MSIP_Label_fc6c1fee-2f04-49ca-98cf-bcf61896c7fa_ContentBits">
    <vt:lpwstr>2</vt:lpwstr>
  </property>
  <property fmtid="{D5CDD505-2E9C-101B-9397-08002B2CF9AE}" pid="9" name="MediaServiceImageTags">
    <vt:lpwstr/>
  </property>
  <property fmtid="{D5CDD505-2E9C-101B-9397-08002B2CF9AE}" pid="10" name="ContentTypeId">
    <vt:lpwstr>0x01010006E0518F6C56FA4995724250354910A1</vt:lpwstr>
  </property>
</Properties>
</file>